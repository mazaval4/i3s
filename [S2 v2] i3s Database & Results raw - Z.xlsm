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am\workspace\Capstone\repo\i3s\"/>
    </mc:Choice>
  </mc:AlternateContent>
  <bookViews>
    <workbookView xWindow="0" yWindow="0" windowWidth="20325" windowHeight="10950"/>
  </bookViews>
  <sheets>
    <sheet name="Sheet1" sheetId="1" r:id="rId1"/>
    <sheet name="Sheet2" sheetId="2" r:id="rId2"/>
    <sheet name="Sheet4" sheetId="4" r:id="rId3"/>
    <sheet name="Sheet1 (2)" sheetId="5" r:id="rId4"/>
  </sheets>
  <definedNames>
    <definedName name="_xlnm._FilterDatabase" localSheetId="0" hidden="1">Sheet1!$A$1:$K$150</definedName>
    <definedName name="_xlnm._FilterDatabase" localSheetId="3" hidden="1">'Sheet1 (2)'!$A$1:$K$150</definedName>
  </definedNames>
  <calcPr calcId="171027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527" i="1" s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26" i="1" s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5"/>
  <c r="B527" i="5"/>
  <c r="F2" i="1"/>
  <c r="F526" i="1" s="1"/>
  <c r="F3" i="1"/>
  <c r="F527" i="1" s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G2" i="1"/>
  <c r="H2" i="1"/>
  <c r="I2" i="1"/>
  <c r="J2" i="1"/>
  <c r="K2" i="1"/>
  <c r="G3" i="1"/>
  <c r="G526" i="1" s="1"/>
  <c r="H3" i="1"/>
  <c r="I3" i="1"/>
  <c r="J3" i="1"/>
  <c r="K3" i="1"/>
  <c r="G4" i="1"/>
  <c r="H4" i="1"/>
  <c r="I4" i="1"/>
  <c r="I527" i="1" s="1"/>
  <c r="J4" i="1"/>
  <c r="K4" i="1"/>
  <c r="G5" i="1"/>
  <c r="H5" i="1"/>
  <c r="I5" i="1"/>
  <c r="J5" i="1"/>
  <c r="K5" i="1"/>
  <c r="K526" i="1" s="1"/>
  <c r="G6" i="1"/>
  <c r="H6" i="1"/>
  <c r="I6" i="1"/>
  <c r="J6" i="1"/>
  <c r="K6" i="1"/>
  <c r="G7" i="1"/>
  <c r="H7" i="1"/>
  <c r="I7" i="1"/>
  <c r="J7" i="1"/>
  <c r="K7" i="1"/>
  <c r="G8" i="1"/>
  <c r="H8" i="1"/>
  <c r="I8" i="1"/>
  <c r="J8" i="1"/>
  <c r="K8" i="1"/>
  <c r="G9" i="1"/>
  <c r="H9" i="1"/>
  <c r="I9" i="1"/>
  <c r="J9" i="1"/>
  <c r="K9" i="1"/>
  <c r="G10" i="1"/>
  <c r="H10" i="1"/>
  <c r="I10" i="1"/>
  <c r="J10" i="1"/>
  <c r="K10" i="1"/>
  <c r="G11" i="1"/>
  <c r="H11" i="1"/>
  <c r="I11" i="1"/>
  <c r="J11" i="1"/>
  <c r="K11" i="1"/>
  <c r="G12" i="1"/>
  <c r="H12" i="1"/>
  <c r="I12" i="1"/>
  <c r="J12" i="1"/>
  <c r="K12" i="1"/>
  <c r="G13" i="1"/>
  <c r="H13" i="1"/>
  <c r="I13" i="1"/>
  <c r="J13" i="1"/>
  <c r="K13" i="1"/>
  <c r="G14" i="1"/>
  <c r="H14" i="1"/>
  <c r="I14" i="1"/>
  <c r="J14" i="1"/>
  <c r="K14" i="1"/>
  <c r="G15" i="1"/>
  <c r="H15" i="1"/>
  <c r="I15" i="1"/>
  <c r="J15" i="1"/>
  <c r="K15" i="1"/>
  <c r="G16" i="1"/>
  <c r="H16" i="1"/>
  <c r="I16" i="1"/>
  <c r="J16" i="1"/>
  <c r="K16" i="1"/>
  <c r="G17" i="1"/>
  <c r="H17" i="1"/>
  <c r="I17" i="1"/>
  <c r="J17" i="1"/>
  <c r="K17" i="1"/>
  <c r="K527" i="1" s="1"/>
  <c r="G18" i="1"/>
  <c r="H18" i="1"/>
  <c r="I18" i="1"/>
  <c r="J18" i="1"/>
  <c r="K18" i="1"/>
  <c r="G19" i="1"/>
  <c r="H19" i="1"/>
  <c r="I19" i="1"/>
  <c r="J19" i="1"/>
  <c r="K19" i="1"/>
  <c r="G20" i="1"/>
  <c r="H20" i="1"/>
  <c r="I20" i="1"/>
  <c r="J20" i="1"/>
  <c r="K20" i="1"/>
  <c r="G21" i="1"/>
  <c r="H21" i="1"/>
  <c r="I21" i="1"/>
  <c r="J21" i="1"/>
  <c r="K21" i="1"/>
  <c r="G22" i="1"/>
  <c r="H22" i="1"/>
  <c r="I22" i="1"/>
  <c r="J22" i="1"/>
  <c r="K22" i="1"/>
  <c r="G23" i="1"/>
  <c r="H23" i="1"/>
  <c r="I23" i="1"/>
  <c r="J23" i="1"/>
  <c r="K23" i="1"/>
  <c r="G24" i="1"/>
  <c r="H24" i="1"/>
  <c r="I24" i="1"/>
  <c r="J24" i="1"/>
  <c r="K24" i="1"/>
  <c r="G25" i="1"/>
  <c r="H25" i="1"/>
  <c r="I25" i="1"/>
  <c r="J25" i="1"/>
  <c r="K25" i="1"/>
  <c r="G26" i="1"/>
  <c r="H26" i="1"/>
  <c r="I26" i="1"/>
  <c r="J26" i="1"/>
  <c r="K26" i="1"/>
  <c r="G27" i="1"/>
  <c r="H27" i="1"/>
  <c r="I27" i="1"/>
  <c r="J27" i="1"/>
  <c r="K27" i="1"/>
  <c r="G28" i="1"/>
  <c r="H28" i="1"/>
  <c r="I28" i="1"/>
  <c r="J28" i="1"/>
  <c r="K28" i="1"/>
  <c r="G29" i="1"/>
  <c r="H29" i="1"/>
  <c r="I29" i="1"/>
  <c r="J29" i="1"/>
  <c r="K29" i="1"/>
  <c r="G30" i="1"/>
  <c r="H30" i="1"/>
  <c r="I30" i="1"/>
  <c r="J30" i="1"/>
  <c r="K30" i="1"/>
  <c r="G31" i="1"/>
  <c r="H31" i="1"/>
  <c r="I31" i="1"/>
  <c r="J31" i="1"/>
  <c r="K31" i="1"/>
  <c r="G32" i="1"/>
  <c r="H32" i="1"/>
  <c r="I32" i="1"/>
  <c r="J32" i="1"/>
  <c r="K32" i="1"/>
  <c r="G33" i="1"/>
  <c r="H33" i="1"/>
  <c r="I33" i="1"/>
  <c r="J33" i="1"/>
  <c r="K33" i="1"/>
  <c r="G34" i="1"/>
  <c r="H34" i="1"/>
  <c r="I34" i="1"/>
  <c r="J34" i="1"/>
  <c r="K34" i="1"/>
  <c r="G35" i="1"/>
  <c r="H35" i="1"/>
  <c r="I35" i="1"/>
  <c r="J35" i="1"/>
  <c r="K35" i="1"/>
  <c r="G36" i="1"/>
  <c r="H36" i="1"/>
  <c r="I36" i="1"/>
  <c r="J36" i="1"/>
  <c r="K36" i="1"/>
  <c r="G37" i="1"/>
  <c r="H37" i="1"/>
  <c r="I37" i="1"/>
  <c r="J37" i="1"/>
  <c r="K37" i="1"/>
  <c r="G38" i="1"/>
  <c r="H38" i="1"/>
  <c r="I38" i="1"/>
  <c r="J38" i="1"/>
  <c r="K38" i="1"/>
  <c r="G39" i="1"/>
  <c r="H39" i="1"/>
  <c r="I39" i="1"/>
  <c r="J39" i="1"/>
  <c r="K39" i="1"/>
  <c r="G40" i="1"/>
  <c r="H40" i="1"/>
  <c r="I40" i="1"/>
  <c r="J40" i="1"/>
  <c r="K40" i="1"/>
  <c r="G41" i="1"/>
  <c r="H41" i="1"/>
  <c r="I41" i="1"/>
  <c r="J41" i="1"/>
  <c r="K41" i="1"/>
  <c r="G42" i="1"/>
  <c r="H42" i="1"/>
  <c r="I42" i="1"/>
  <c r="J42" i="1"/>
  <c r="K42" i="1"/>
  <c r="G43" i="1"/>
  <c r="H43" i="1"/>
  <c r="I43" i="1"/>
  <c r="J43" i="1"/>
  <c r="K43" i="1"/>
  <c r="G44" i="1"/>
  <c r="H44" i="1"/>
  <c r="I44" i="1"/>
  <c r="J44" i="1"/>
  <c r="K44" i="1"/>
  <c r="G45" i="1"/>
  <c r="H45" i="1"/>
  <c r="I45" i="1"/>
  <c r="J45" i="1"/>
  <c r="K45" i="1"/>
  <c r="G46" i="1"/>
  <c r="H46" i="1"/>
  <c r="I46" i="1"/>
  <c r="J46" i="1"/>
  <c r="K46" i="1"/>
  <c r="G47" i="1"/>
  <c r="H47" i="1"/>
  <c r="I47" i="1"/>
  <c r="J47" i="1"/>
  <c r="K47" i="1"/>
  <c r="G48" i="1"/>
  <c r="H48" i="1"/>
  <c r="I48" i="1"/>
  <c r="J48" i="1"/>
  <c r="K48" i="1"/>
  <c r="G49" i="1"/>
  <c r="H49" i="1"/>
  <c r="I49" i="1"/>
  <c r="J49" i="1"/>
  <c r="K49" i="1"/>
  <c r="G50" i="1"/>
  <c r="H50" i="1"/>
  <c r="I50" i="1"/>
  <c r="J50" i="1"/>
  <c r="K50" i="1"/>
  <c r="G51" i="1"/>
  <c r="H51" i="1"/>
  <c r="I51" i="1"/>
  <c r="J51" i="1"/>
  <c r="K51" i="1"/>
  <c r="G52" i="1"/>
  <c r="H52" i="1"/>
  <c r="I52" i="1"/>
  <c r="J52" i="1"/>
  <c r="K52" i="1"/>
  <c r="G53" i="1"/>
  <c r="H53" i="1"/>
  <c r="I53" i="1"/>
  <c r="J53" i="1"/>
  <c r="K53" i="1"/>
  <c r="G54" i="1"/>
  <c r="H54" i="1"/>
  <c r="I54" i="1"/>
  <c r="J54" i="1"/>
  <c r="K54" i="1"/>
  <c r="G55" i="1"/>
  <c r="H55" i="1"/>
  <c r="I55" i="1"/>
  <c r="J55" i="1"/>
  <c r="K55" i="1"/>
  <c r="G56" i="1"/>
  <c r="H56" i="1"/>
  <c r="I56" i="1"/>
  <c r="J56" i="1"/>
  <c r="K56" i="1"/>
  <c r="G57" i="1"/>
  <c r="H57" i="1"/>
  <c r="I57" i="1"/>
  <c r="J57" i="1"/>
  <c r="K57" i="1"/>
  <c r="G58" i="1"/>
  <c r="H58" i="1"/>
  <c r="I58" i="1"/>
  <c r="J58" i="1"/>
  <c r="K58" i="1"/>
  <c r="G59" i="1"/>
  <c r="H59" i="1"/>
  <c r="I59" i="1"/>
  <c r="J59" i="1"/>
  <c r="K59" i="1"/>
  <c r="G60" i="1"/>
  <c r="H60" i="1"/>
  <c r="I60" i="1"/>
  <c r="J60" i="1"/>
  <c r="K60" i="1"/>
  <c r="G61" i="1"/>
  <c r="H61" i="1"/>
  <c r="I61" i="1"/>
  <c r="J61" i="1"/>
  <c r="K61" i="1"/>
  <c r="G62" i="1"/>
  <c r="H62" i="1"/>
  <c r="I62" i="1"/>
  <c r="J62" i="1"/>
  <c r="K62" i="1"/>
  <c r="G63" i="1"/>
  <c r="H63" i="1"/>
  <c r="I63" i="1"/>
  <c r="J63" i="1"/>
  <c r="K63" i="1"/>
  <c r="G64" i="1"/>
  <c r="H64" i="1"/>
  <c r="I64" i="1"/>
  <c r="J64" i="1"/>
  <c r="K64" i="1"/>
  <c r="G65" i="1"/>
  <c r="H65" i="1"/>
  <c r="I65" i="1"/>
  <c r="J65" i="1"/>
  <c r="K65" i="1"/>
  <c r="G66" i="1"/>
  <c r="H66" i="1"/>
  <c r="I66" i="1"/>
  <c r="J66" i="1"/>
  <c r="K66" i="1"/>
  <c r="G67" i="1"/>
  <c r="H67" i="1"/>
  <c r="I67" i="1"/>
  <c r="J67" i="1"/>
  <c r="K67" i="1"/>
  <c r="G68" i="1"/>
  <c r="H68" i="1"/>
  <c r="I68" i="1"/>
  <c r="J68" i="1"/>
  <c r="K68" i="1"/>
  <c r="G69" i="1"/>
  <c r="H69" i="1"/>
  <c r="I69" i="1"/>
  <c r="J69" i="1"/>
  <c r="K69" i="1"/>
  <c r="G70" i="1"/>
  <c r="H70" i="1"/>
  <c r="I70" i="1"/>
  <c r="J70" i="1"/>
  <c r="K70" i="1"/>
  <c r="G71" i="1"/>
  <c r="H71" i="1"/>
  <c r="I71" i="1"/>
  <c r="J71" i="1"/>
  <c r="K71" i="1"/>
  <c r="G72" i="1"/>
  <c r="H72" i="1"/>
  <c r="I72" i="1"/>
  <c r="J72" i="1"/>
  <c r="K72" i="1"/>
  <c r="G73" i="1"/>
  <c r="H73" i="1"/>
  <c r="I73" i="1"/>
  <c r="J73" i="1"/>
  <c r="K73" i="1"/>
  <c r="G74" i="1"/>
  <c r="H74" i="1"/>
  <c r="I74" i="1"/>
  <c r="J74" i="1"/>
  <c r="K74" i="1"/>
  <c r="G75" i="1"/>
  <c r="H75" i="1"/>
  <c r="I75" i="1"/>
  <c r="J75" i="1"/>
  <c r="K75" i="1"/>
  <c r="G76" i="1"/>
  <c r="H76" i="1"/>
  <c r="I76" i="1"/>
  <c r="J76" i="1"/>
  <c r="K76" i="1"/>
  <c r="G77" i="1"/>
  <c r="H77" i="1"/>
  <c r="I77" i="1"/>
  <c r="J77" i="1"/>
  <c r="K77" i="1"/>
  <c r="G78" i="1"/>
  <c r="H78" i="1"/>
  <c r="I78" i="1"/>
  <c r="J78" i="1"/>
  <c r="K78" i="1"/>
  <c r="G79" i="1"/>
  <c r="H79" i="1"/>
  <c r="I79" i="1"/>
  <c r="J79" i="1"/>
  <c r="K79" i="1"/>
  <c r="G80" i="1"/>
  <c r="H80" i="1"/>
  <c r="I80" i="1"/>
  <c r="J80" i="1"/>
  <c r="K80" i="1"/>
  <c r="G81" i="1"/>
  <c r="H81" i="1"/>
  <c r="I81" i="1"/>
  <c r="J81" i="1"/>
  <c r="K81" i="1"/>
  <c r="G82" i="1"/>
  <c r="H82" i="1"/>
  <c r="I82" i="1"/>
  <c r="J82" i="1"/>
  <c r="K82" i="1"/>
  <c r="G83" i="1"/>
  <c r="H83" i="1"/>
  <c r="I83" i="1"/>
  <c r="J83" i="1"/>
  <c r="K83" i="1"/>
  <c r="G84" i="1"/>
  <c r="H84" i="1"/>
  <c r="I84" i="1"/>
  <c r="J84" i="1"/>
  <c r="K84" i="1"/>
  <c r="G85" i="1"/>
  <c r="H85" i="1"/>
  <c r="I85" i="1"/>
  <c r="J85" i="1"/>
  <c r="K85" i="1"/>
  <c r="G86" i="1"/>
  <c r="H86" i="1"/>
  <c r="I86" i="1"/>
  <c r="J86" i="1"/>
  <c r="K86" i="1"/>
  <c r="G87" i="1"/>
  <c r="H87" i="1"/>
  <c r="I87" i="1"/>
  <c r="J87" i="1"/>
  <c r="K87" i="1"/>
  <c r="G88" i="1"/>
  <c r="H88" i="1"/>
  <c r="I88" i="1"/>
  <c r="J88" i="1"/>
  <c r="K88" i="1"/>
  <c r="G89" i="1"/>
  <c r="H89" i="1"/>
  <c r="I89" i="1"/>
  <c r="J89" i="1"/>
  <c r="K89" i="1"/>
  <c r="G90" i="1"/>
  <c r="H90" i="1"/>
  <c r="I90" i="1"/>
  <c r="J90" i="1"/>
  <c r="K90" i="1"/>
  <c r="G91" i="1"/>
  <c r="H91" i="1"/>
  <c r="I91" i="1"/>
  <c r="J91" i="1"/>
  <c r="K91" i="1"/>
  <c r="G92" i="1"/>
  <c r="H92" i="1"/>
  <c r="I92" i="1"/>
  <c r="J92" i="1"/>
  <c r="K92" i="1"/>
  <c r="G93" i="1"/>
  <c r="H93" i="1"/>
  <c r="I93" i="1"/>
  <c r="J93" i="1"/>
  <c r="K93" i="1"/>
  <c r="G94" i="1"/>
  <c r="H94" i="1"/>
  <c r="I94" i="1"/>
  <c r="J94" i="1"/>
  <c r="K94" i="1"/>
  <c r="G95" i="1"/>
  <c r="H95" i="1"/>
  <c r="I95" i="1"/>
  <c r="J95" i="1"/>
  <c r="K95" i="1"/>
  <c r="G96" i="1"/>
  <c r="H96" i="1"/>
  <c r="I96" i="1"/>
  <c r="J96" i="1"/>
  <c r="K96" i="1"/>
  <c r="G97" i="1"/>
  <c r="H97" i="1"/>
  <c r="I97" i="1"/>
  <c r="J97" i="1"/>
  <c r="K97" i="1"/>
  <c r="G98" i="1"/>
  <c r="H98" i="1"/>
  <c r="I98" i="1"/>
  <c r="J98" i="1"/>
  <c r="K98" i="1"/>
  <c r="G99" i="1"/>
  <c r="H99" i="1"/>
  <c r="I99" i="1"/>
  <c r="J99" i="1"/>
  <c r="K99" i="1"/>
  <c r="G100" i="1"/>
  <c r="H100" i="1"/>
  <c r="I100" i="1"/>
  <c r="J100" i="1"/>
  <c r="K100" i="1"/>
  <c r="G101" i="1"/>
  <c r="H101" i="1"/>
  <c r="I101" i="1"/>
  <c r="J101" i="1"/>
  <c r="K101" i="1"/>
  <c r="G102" i="1"/>
  <c r="H102" i="1"/>
  <c r="I102" i="1"/>
  <c r="J102" i="1"/>
  <c r="K102" i="1"/>
  <c r="G103" i="1"/>
  <c r="H103" i="1"/>
  <c r="I103" i="1"/>
  <c r="J103" i="1"/>
  <c r="K103" i="1"/>
  <c r="G104" i="1"/>
  <c r="H104" i="1"/>
  <c r="I104" i="1"/>
  <c r="J104" i="1"/>
  <c r="K104" i="1"/>
  <c r="G105" i="1"/>
  <c r="H105" i="1"/>
  <c r="I105" i="1"/>
  <c r="J105" i="1"/>
  <c r="K105" i="1"/>
  <c r="G106" i="1"/>
  <c r="H106" i="1"/>
  <c r="I106" i="1"/>
  <c r="J106" i="1"/>
  <c r="K106" i="1"/>
  <c r="G107" i="1"/>
  <c r="H107" i="1"/>
  <c r="I107" i="1"/>
  <c r="J107" i="1"/>
  <c r="K107" i="1"/>
  <c r="G108" i="1"/>
  <c r="H108" i="1"/>
  <c r="I108" i="1"/>
  <c r="J108" i="1"/>
  <c r="K108" i="1"/>
  <c r="G109" i="1"/>
  <c r="H109" i="1"/>
  <c r="I109" i="1"/>
  <c r="J109" i="1"/>
  <c r="K109" i="1"/>
  <c r="G110" i="1"/>
  <c r="H110" i="1"/>
  <c r="I110" i="1"/>
  <c r="J110" i="1"/>
  <c r="K110" i="1"/>
  <c r="G111" i="1"/>
  <c r="H111" i="1"/>
  <c r="I111" i="1"/>
  <c r="J111" i="1"/>
  <c r="K111" i="1"/>
  <c r="G112" i="1"/>
  <c r="H112" i="1"/>
  <c r="I112" i="1"/>
  <c r="J112" i="1"/>
  <c r="K112" i="1"/>
  <c r="G113" i="1"/>
  <c r="H113" i="1"/>
  <c r="I113" i="1"/>
  <c r="J113" i="1"/>
  <c r="K113" i="1"/>
  <c r="G114" i="1"/>
  <c r="H114" i="1"/>
  <c r="I114" i="1"/>
  <c r="J114" i="1"/>
  <c r="K114" i="1"/>
  <c r="G115" i="1"/>
  <c r="H115" i="1"/>
  <c r="I115" i="1"/>
  <c r="J115" i="1"/>
  <c r="K115" i="1"/>
  <c r="G116" i="1"/>
  <c r="H116" i="1"/>
  <c r="I116" i="1"/>
  <c r="J116" i="1"/>
  <c r="K116" i="1"/>
  <c r="G117" i="1"/>
  <c r="H117" i="1"/>
  <c r="I117" i="1"/>
  <c r="J117" i="1"/>
  <c r="K117" i="1"/>
  <c r="G118" i="1"/>
  <c r="H118" i="1"/>
  <c r="I118" i="1"/>
  <c r="J118" i="1"/>
  <c r="K118" i="1"/>
  <c r="G119" i="1"/>
  <c r="H119" i="1"/>
  <c r="I119" i="1"/>
  <c r="J119" i="1"/>
  <c r="K119" i="1"/>
  <c r="G120" i="1"/>
  <c r="H120" i="1"/>
  <c r="I120" i="1"/>
  <c r="J120" i="1"/>
  <c r="K120" i="1"/>
  <c r="G121" i="1"/>
  <c r="H121" i="1"/>
  <c r="I121" i="1"/>
  <c r="J121" i="1"/>
  <c r="K121" i="1"/>
  <c r="G122" i="1"/>
  <c r="H122" i="1"/>
  <c r="I122" i="1"/>
  <c r="J122" i="1"/>
  <c r="K122" i="1"/>
  <c r="G123" i="1"/>
  <c r="H123" i="1"/>
  <c r="I123" i="1"/>
  <c r="J123" i="1"/>
  <c r="K123" i="1"/>
  <c r="G124" i="1"/>
  <c r="H124" i="1"/>
  <c r="I124" i="1"/>
  <c r="J124" i="1"/>
  <c r="K124" i="1"/>
  <c r="G125" i="1"/>
  <c r="H125" i="1"/>
  <c r="I125" i="1"/>
  <c r="J125" i="1"/>
  <c r="K125" i="1"/>
  <c r="G126" i="1"/>
  <c r="H126" i="1"/>
  <c r="I126" i="1"/>
  <c r="J126" i="1"/>
  <c r="K126" i="1"/>
  <c r="G127" i="1"/>
  <c r="H127" i="1"/>
  <c r="I127" i="1"/>
  <c r="J127" i="1"/>
  <c r="K127" i="1"/>
  <c r="G128" i="1"/>
  <c r="H128" i="1"/>
  <c r="I128" i="1"/>
  <c r="J128" i="1"/>
  <c r="K128" i="1"/>
  <c r="G129" i="1"/>
  <c r="H129" i="1"/>
  <c r="I129" i="1"/>
  <c r="J129" i="1"/>
  <c r="K129" i="1"/>
  <c r="G130" i="1"/>
  <c r="H130" i="1"/>
  <c r="I130" i="1"/>
  <c r="J130" i="1"/>
  <c r="K130" i="1"/>
  <c r="G131" i="1"/>
  <c r="H131" i="1"/>
  <c r="I131" i="1"/>
  <c r="J131" i="1"/>
  <c r="K131" i="1"/>
  <c r="G132" i="1"/>
  <c r="H132" i="1"/>
  <c r="I132" i="1"/>
  <c r="J132" i="1"/>
  <c r="K132" i="1"/>
  <c r="G133" i="1"/>
  <c r="H133" i="1"/>
  <c r="I133" i="1"/>
  <c r="J133" i="1"/>
  <c r="K133" i="1"/>
  <c r="G134" i="1"/>
  <c r="H134" i="1"/>
  <c r="I134" i="1"/>
  <c r="J134" i="1"/>
  <c r="K134" i="1"/>
  <c r="G135" i="1"/>
  <c r="H135" i="1"/>
  <c r="I135" i="1"/>
  <c r="J135" i="1"/>
  <c r="K135" i="1"/>
  <c r="G136" i="1"/>
  <c r="H136" i="1"/>
  <c r="I136" i="1"/>
  <c r="J136" i="1"/>
  <c r="K136" i="1"/>
  <c r="G137" i="1"/>
  <c r="H137" i="1"/>
  <c r="I137" i="1"/>
  <c r="J137" i="1"/>
  <c r="K137" i="1"/>
  <c r="G138" i="1"/>
  <c r="H138" i="1"/>
  <c r="I138" i="1"/>
  <c r="J138" i="1"/>
  <c r="K138" i="1"/>
  <c r="G139" i="1"/>
  <c r="H139" i="1"/>
  <c r="I139" i="1"/>
  <c r="J139" i="1"/>
  <c r="K139" i="1"/>
  <c r="G140" i="1"/>
  <c r="H140" i="1"/>
  <c r="I140" i="1"/>
  <c r="J140" i="1"/>
  <c r="K140" i="1"/>
  <c r="G141" i="1"/>
  <c r="H141" i="1"/>
  <c r="I141" i="1"/>
  <c r="J141" i="1"/>
  <c r="K141" i="1"/>
  <c r="G142" i="1"/>
  <c r="H142" i="1"/>
  <c r="I142" i="1"/>
  <c r="J142" i="1"/>
  <c r="K142" i="1"/>
  <c r="G143" i="1"/>
  <c r="H143" i="1"/>
  <c r="I143" i="1"/>
  <c r="J143" i="1"/>
  <c r="K143" i="1"/>
  <c r="G144" i="1"/>
  <c r="H144" i="1"/>
  <c r="I144" i="1"/>
  <c r="J144" i="1"/>
  <c r="K144" i="1"/>
  <c r="G145" i="1"/>
  <c r="H145" i="1"/>
  <c r="I145" i="1"/>
  <c r="J145" i="1"/>
  <c r="K145" i="1"/>
  <c r="G146" i="1"/>
  <c r="H146" i="1"/>
  <c r="I146" i="1"/>
  <c r="J146" i="1"/>
  <c r="K146" i="1"/>
  <c r="G147" i="1"/>
  <c r="H147" i="1"/>
  <c r="I147" i="1"/>
  <c r="J147" i="1"/>
  <c r="K147" i="1"/>
  <c r="G148" i="1"/>
  <c r="H148" i="1"/>
  <c r="I148" i="1"/>
  <c r="J148" i="1"/>
  <c r="K148" i="1"/>
  <c r="G149" i="1"/>
  <c r="H149" i="1"/>
  <c r="I149" i="1"/>
  <c r="J149" i="1"/>
  <c r="K149" i="1"/>
  <c r="G150" i="1"/>
  <c r="H150" i="1"/>
  <c r="I150" i="1"/>
  <c r="J150" i="1"/>
  <c r="K150" i="1"/>
  <c r="G151" i="1"/>
  <c r="H151" i="1"/>
  <c r="I151" i="1"/>
  <c r="J151" i="1"/>
  <c r="K151" i="1"/>
  <c r="G152" i="1"/>
  <c r="H152" i="1"/>
  <c r="I152" i="1"/>
  <c r="J152" i="1"/>
  <c r="K152" i="1"/>
  <c r="G153" i="1"/>
  <c r="H153" i="1"/>
  <c r="I153" i="1"/>
  <c r="J153" i="1"/>
  <c r="K153" i="1"/>
  <c r="G154" i="1"/>
  <c r="H154" i="1"/>
  <c r="I154" i="1"/>
  <c r="J154" i="1"/>
  <c r="K154" i="1"/>
  <c r="G155" i="1"/>
  <c r="H155" i="1"/>
  <c r="I155" i="1"/>
  <c r="J155" i="1"/>
  <c r="K155" i="1"/>
  <c r="G156" i="1"/>
  <c r="H156" i="1"/>
  <c r="I156" i="1"/>
  <c r="J156" i="1"/>
  <c r="K156" i="1"/>
  <c r="G157" i="1"/>
  <c r="H157" i="1"/>
  <c r="I157" i="1"/>
  <c r="J157" i="1"/>
  <c r="K157" i="1"/>
  <c r="G158" i="1"/>
  <c r="H158" i="1"/>
  <c r="I158" i="1"/>
  <c r="J158" i="1"/>
  <c r="K158" i="1"/>
  <c r="G159" i="1"/>
  <c r="H159" i="1"/>
  <c r="I159" i="1"/>
  <c r="J159" i="1"/>
  <c r="K159" i="1"/>
  <c r="G160" i="1"/>
  <c r="H160" i="1"/>
  <c r="I160" i="1"/>
  <c r="J160" i="1"/>
  <c r="K160" i="1"/>
  <c r="G161" i="1"/>
  <c r="H161" i="1"/>
  <c r="I161" i="1"/>
  <c r="J161" i="1"/>
  <c r="K161" i="1"/>
  <c r="G162" i="1"/>
  <c r="H162" i="1"/>
  <c r="I162" i="1"/>
  <c r="J162" i="1"/>
  <c r="K162" i="1"/>
  <c r="G163" i="1"/>
  <c r="H163" i="1"/>
  <c r="I163" i="1"/>
  <c r="J163" i="1"/>
  <c r="K163" i="1"/>
  <c r="G164" i="1"/>
  <c r="H164" i="1"/>
  <c r="I164" i="1"/>
  <c r="J164" i="1"/>
  <c r="K164" i="1"/>
  <c r="G165" i="1"/>
  <c r="H165" i="1"/>
  <c r="I165" i="1"/>
  <c r="J165" i="1"/>
  <c r="K165" i="1"/>
  <c r="G166" i="1"/>
  <c r="H166" i="1"/>
  <c r="I166" i="1"/>
  <c r="J166" i="1"/>
  <c r="K166" i="1"/>
  <c r="G167" i="1"/>
  <c r="H167" i="1"/>
  <c r="I167" i="1"/>
  <c r="J167" i="1"/>
  <c r="K167" i="1"/>
  <c r="G168" i="1"/>
  <c r="H168" i="1"/>
  <c r="I168" i="1"/>
  <c r="J168" i="1"/>
  <c r="K168" i="1"/>
  <c r="G169" i="1"/>
  <c r="H169" i="1"/>
  <c r="I169" i="1"/>
  <c r="J169" i="1"/>
  <c r="K169" i="1"/>
  <c r="G170" i="1"/>
  <c r="H170" i="1"/>
  <c r="I170" i="1"/>
  <c r="J170" i="1"/>
  <c r="K170" i="1"/>
  <c r="G171" i="1"/>
  <c r="H171" i="1"/>
  <c r="I171" i="1"/>
  <c r="J171" i="1"/>
  <c r="K171" i="1"/>
  <c r="G172" i="1"/>
  <c r="H172" i="1"/>
  <c r="I172" i="1"/>
  <c r="J172" i="1"/>
  <c r="K172" i="1"/>
  <c r="G173" i="1"/>
  <c r="H173" i="1"/>
  <c r="I173" i="1"/>
  <c r="J173" i="1"/>
  <c r="K173" i="1"/>
  <c r="G174" i="1"/>
  <c r="H174" i="1"/>
  <c r="I174" i="1"/>
  <c r="J174" i="1"/>
  <c r="K174" i="1"/>
  <c r="G175" i="1"/>
  <c r="H175" i="1"/>
  <c r="I175" i="1"/>
  <c r="J175" i="1"/>
  <c r="K175" i="1"/>
  <c r="G176" i="1"/>
  <c r="H176" i="1"/>
  <c r="I176" i="1"/>
  <c r="J176" i="1"/>
  <c r="K176" i="1"/>
  <c r="G177" i="1"/>
  <c r="H177" i="1"/>
  <c r="I177" i="1"/>
  <c r="J177" i="1"/>
  <c r="K177" i="1"/>
  <c r="G178" i="1"/>
  <c r="H178" i="1"/>
  <c r="I178" i="1"/>
  <c r="J178" i="1"/>
  <c r="K178" i="1"/>
  <c r="G179" i="1"/>
  <c r="H179" i="1"/>
  <c r="I179" i="1"/>
  <c r="J179" i="1"/>
  <c r="K179" i="1"/>
  <c r="G180" i="1"/>
  <c r="H180" i="1"/>
  <c r="I180" i="1"/>
  <c r="J180" i="1"/>
  <c r="K180" i="1"/>
  <c r="G181" i="1"/>
  <c r="H181" i="1"/>
  <c r="I181" i="1"/>
  <c r="J181" i="1"/>
  <c r="K181" i="1"/>
  <c r="G182" i="1"/>
  <c r="H182" i="1"/>
  <c r="I182" i="1"/>
  <c r="J182" i="1"/>
  <c r="K182" i="1"/>
  <c r="G183" i="1"/>
  <c r="H183" i="1"/>
  <c r="I183" i="1"/>
  <c r="J183" i="1"/>
  <c r="K183" i="1"/>
  <c r="G184" i="1"/>
  <c r="H184" i="1"/>
  <c r="I184" i="1"/>
  <c r="J184" i="1"/>
  <c r="K184" i="1"/>
  <c r="G185" i="1"/>
  <c r="H185" i="1"/>
  <c r="I185" i="1"/>
  <c r="J185" i="1"/>
  <c r="K185" i="1"/>
  <c r="G186" i="1"/>
  <c r="H186" i="1"/>
  <c r="I186" i="1"/>
  <c r="J186" i="1"/>
  <c r="K186" i="1"/>
  <c r="G187" i="1"/>
  <c r="H187" i="1"/>
  <c r="I187" i="1"/>
  <c r="J187" i="1"/>
  <c r="K187" i="1"/>
  <c r="G188" i="1"/>
  <c r="H188" i="1"/>
  <c r="I188" i="1"/>
  <c r="J188" i="1"/>
  <c r="K188" i="1"/>
  <c r="G189" i="1"/>
  <c r="H189" i="1"/>
  <c r="I189" i="1"/>
  <c r="J189" i="1"/>
  <c r="K189" i="1"/>
  <c r="G190" i="1"/>
  <c r="H190" i="1"/>
  <c r="I190" i="1"/>
  <c r="J190" i="1"/>
  <c r="K190" i="1"/>
  <c r="G191" i="1"/>
  <c r="H191" i="1"/>
  <c r="I191" i="1"/>
  <c r="J191" i="1"/>
  <c r="K191" i="1"/>
  <c r="G192" i="1"/>
  <c r="H192" i="1"/>
  <c r="I192" i="1"/>
  <c r="J192" i="1"/>
  <c r="K192" i="1"/>
  <c r="G193" i="1"/>
  <c r="H193" i="1"/>
  <c r="I193" i="1"/>
  <c r="J193" i="1"/>
  <c r="K193" i="1"/>
  <c r="G194" i="1"/>
  <c r="H194" i="1"/>
  <c r="I194" i="1"/>
  <c r="J194" i="1"/>
  <c r="K194" i="1"/>
  <c r="G195" i="1"/>
  <c r="H195" i="1"/>
  <c r="I195" i="1"/>
  <c r="J195" i="1"/>
  <c r="K195" i="1"/>
  <c r="G196" i="1"/>
  <c r="H196" i="1"/>
  <c r="I196" i="1"/>
  <c r="J196" i="1"/>
  <c r="K196" i="1"/>
  <c r="G197" i="1"/>
  <c r="H197" i="1"/>
  <c r="I197" i="1"/>
  <c r="J197" i="1"/>
  <c r="K197" i="1"/>
  <c r="G198" i="1"/>
  <c r="H198" i="1"/>
  <c r="I198" i="1"/>
  <c r="J198" i="1"/>
  <c r="K198" i="1"/>
  <c r="G199" i="1"/>
  <c r="H199" i="1"/>
  <c r="I199" i="1"/>
  <c r="J199" i="1"/>
  <c r="K199" i="1"/>
  <c r="G200" i="1"/>
  <c r="H200" i="1"/>
  <c r="I200" i="1"/>
  <c r="J200" i="1"/>
  <c r="K200" i="1"/>
  <c r="G201" i="1"/>
  <c r="H201" i="1"/>
  <c r="I201" i="1"/>
  <c r="J201" i="1"/>
  <c r="K201" i="1"/>
  <c r="G202" i="1"/>
  <c r="H202" i="1"/>
  <c r="I202" i="1"/>
  <c r="J202" i="1"/>
  <c r="K202" i="1"/>
  <c r="G203" i="1"/>
  <c r="H203" i="1"/>
  <c r="I203" i="1"/>
  <c r="J203" i="1"/>
  <c r="K203" i="1"/>
  <c r="G204" i="1"/>
  <c r="H204" i="1"/>
  <c r="I204" i="1"/>
  <c r="J204" i="1"/>
  <c r="K204" i="1"/>
  <c r="G205" i="1"/>
  <c r="H205" i="1"/>
  <c r="I205" i="1"/>
  <c r="J205" i="1"/>
  <c r="K205" i="1"/>
  <c r="G206" i="1"/>
  <c r="H206" i="1"/>
  <c r="I206" i="1"/>
  <c r="J206" i="1"/>
  <c r="K206" i="1"/>
  <c r="G207" i="1"/>
  <c r="H207" i="1"/>
  <c r="I207" i="1"/>
  <c r="J207" i="1"/>
  <c r="K207" i="1"/>
  <c r="G208" i="1"/>
  <c r="H208" i="1"/>
  <c r="I208" i="1"/>
  <c r="J208" i="1"/>
  <c r="K208" i="1"/>
  <c r="G209" i="1"/>
  <c r="H209" i="1"/>
  <c r="I209" i="1"/>
  <c r="J209" i="1"/>
  <c r="K209" i="1"/>
  <c r="G210" i="1"/>
  <c r="H210" i="1"/>
  <c r="I210" i="1"/>
  <c r="J210" i="1"/>
  <c r="K210" i="1"/>
  <c r="G211" i="1"/>
  <c r="H211" i="1"/>
  <c r="I211" i="1"/>
  <c r="J211" i="1"/>
  <c r="K211" i="1"/>
  <c r="G212" i="1"/>
  <c r="H212" i="1"/>
  <c r="I212" i="1"/>
  <c r="J212" i="1"/>
  <c r="K212" i="1"/>
  <c r="G213" i="1"/>
  <c r="H213" i="1"/>
  <c r="I213" i="1"/>
  <c r="J213" i="1"/>
  <c r="K213" i="1"/>
  <c r="G214" i="1"/>
  <c r="H214" i="1"/>
  <c r="I214" i="1"/>
  <c r="J214" i="1"/>
  <c r="K214" i="1"/>
  <c r="G215" i="1"/>
  <c r="H215" i="1"/>
  <c r="I215" i="1"/>
  <c r="J215" i="1"/>
  <c r="K215" i="1"/>
  <c r="G216" i="1"/>
  <c r="H216" i="1"/>
  <c r="I216" i="1"/>
  <c r="J216" i="1"/>
  <c r="K216" i="1"/>
  <c r="G217" i="1"/>
  <c r="H217" i="1"/>
  <c r="I217" i="1"/>
  <c r="J217" i="1"/>
  <c r="K217" i="1"/>
  <c r="G218" i="1"/>
  <c r="H218" i="1"/>
  <c r="I218" i="1"/>
  <c r="J218" i="1"/>
  <c r="K218" i="1"/>
  <c r="G219" i="1"/>
  <c r="H219" i="1"/>
  <c r="I219" i="1"/>
  <c r="J219" i="1"/>
  <c r="K219" i="1"/>
  <c r="G220" i="1"/>
  <c r="H220" i="1"/>
  <c r="I220" i="1"/>
  <c r="J220" i="1"/>
  <c r="K220" i="1"/>
  <c r="G221" i="1"/>
  <c r="H221" i="1"/>
  <c r="I221" i="1"/>
  <c r="J221" i="1"/>
  <c r="K221" i="1"/>
  <c r="G222" i="1"/>
  <c r="H222" i="1"/>
  <c r="I222" i="1"/>
  <c r="J222" i="1"/>
  <c r="K222" i="1"/>
  <c r="G223" i="1"/>
  <c r="H223" i="1"/>
  <c r="I223" i="1"/>
  <c r="J223" i="1"/>
  <c r="K223" i="1"/>
  <c r="G224" i="1"/>
  <c r="H224" i="1"/>
  <c r="I224" i="1"/>
  <c r="J224" i="1"/>
  <c r="K224" i="1"/>
  <c r="G225" i="1"/>
  <c r="H225" i="1"/>
  <c r="I225" i="1"/>
  <c r="J225" i="1"/>
  <c r="K225" i="1"/>
  <c r="G226" i="1"/>
  <c r="H226" i="1"/>
  <c r="I226" i="1"/>
  <c r="J226" i="1"/>
  <c r="K226" i="1"/>
  <c r="G227" i="1"/>
  <c r="H227" i="1"/>
  <c r="I227" i="1"/>
  <c r="J227" i="1"/>
  <c r="K227" i="1"/>
  <c r="G228" i="1"/>
  <c r="H228" i="1"/>
  <c r="I228" i="1"/>
  <c r="J228" i="1"/>
  <c r="K228" i="1"/>
  <c r="G229" i="1"/>
  <c r="H229" i="1"/>
  <c r="I229" i="1"/>
  <c r="J229" i="1"/>
  <c r="K229" i="1"/>
  <c r="G230" i="1"/>
  <c r="H230" i="1"/>
  <c r="I230" i="1"/>
  <c r="J230" i="1"/>
  <c r="K230" i="1"/>
  <c r="G231" i="1"/>
  <c r="H231" i="1"/>
  <c r="I231" i="1"/>
  <c r="J231" i="1"/>
  <c r="K231" i="1"/>
  <c r="G232" i="1"/>
  <c r="H232" i="1"/>
  <c r="I232" i="1"/>
  <c r="J232" i="1"/>
  <c r="K232" i="1"/>
  <c r="G233" i="1"/>
  <c r="H233" i="1"/>
  <c r="I233" i="1"/>
  <c r="J233" i="1"/>
  <c r="K233" i="1"/>
  <c r="G234" i="1"/>
  <c r="H234" i="1"/>
  <c r="I234" i="1"/>
  <c r="J234" i="1"/>
  <c r="K234" i="1"/>
  <c r="G235" i="1"/>
  <c r="H235" i="1"/>
  <c r="I235" i="1"/>
  <c r="J235" i="1"/>
  <c r="K235" i="1"/>
  <c r="G236" i="1"/>
  <c r="H236" i="1"/>
  <c r="I236" i="1"/>
  <c r="J236" i="1"/>
  <c r="K236" i="1"/>
  <c r="G237" i="1"/>
  <c r="H237" i="1"/>
  <c r="I237" i="1"/>
  <c r="J237" i="1"/>
  <c r="K237" i="1"/>
  <c r="G238" i="1"/>
  <c r="H238" i="1"/>
  <c r="I238" i="1"/>
  <c r="J238" i="1"/>
  <c r="K238" i="1"/>
  <c r="G239" i="1"/>
  <c r="H239" i="1"/>
  <c r="I239" i="1"/>
  <c r="J239" i="1"/>
  <c r="K239" i="1"/>
  <c r="G240" i="1"/>
  <c r="H240" i="1"/>
  <c r="I240" i="1"/>
  <c r="J240" i="1"/>
  <c r="K240" i="1"/>
  <c r="G241" i="1"/>
  <c r="H241" i="1"/>
  <c r="I241" i="1"/>
  <c r="J241" i="1"/>
  <c r="K241" i="1"/>
  <c r="G242" i="1"/>
  <c r="H242" i="1"/>
  <c r="I242" i="1"/>
  <c r="J242" i="1"/>
  <c r="K242" i="1"/>
  <c r="G243" i="1"/>
  <c r="H243" i="1"/>
  <c r="I243" i="1"/>
  <c r="J243" i="1"/>
  <c r="K243" i="1"/>
  <c r="G244" i="1"/>
  <c r="H244" i="1"/>
  <c r="I244" i="1"/>
  <c r="J244" i="1"/>
  <c r="K244" i="1"/>
  <c r="G245" i="1"/>
  <c r="H245" i="1"/>
  <c r="I245" i="1"/>
  <c r="J245" i="1"/>
  <c r="K245" i="1"/>
  <c r="G246" i="1"/>
  <c r="H246" i="1"/>
  <c r="I246" i="1"/>
  <c r="J246" i="1"/>
  <c r="K246" i="1"/>
  <c r="G247" i="1"/>
  <c r="H247" i="1"/>
  <c r="I247" i="1"/>
  <c r="J247" i="1"/>
  <c r="K247" i="1"/>
  <c r="G248" i="1"/>
  <c r="H248" i="1"/>
  <c r="I248" i="1"/>
  <c r="J248" i="1"/>
  <c r="K248" i="1"/>
  <c r="G249" i="1"/>
  <c r="H249" i="1"/>
  <c r="I249" i="1"/>
  <c r="J249" i="1"/>
  <c r="K249" i="1"/>
  <c r="G250" i="1"/>
  <c r="H250" i="1"/>
  <c r="I250" i="1"/>
  <c r="J250" i="1"/>
  <c r="K250" i="1"/>
  <c r="G251" i="1"/>
  <c r="H251" i="1"/>
  <c r="I251" i="1"/>
  <c r="J251" i="1"/>
  <c r="K251" i="1"/>
  <c r="G252" i="1"/>
  <c r="H252" i="1"/>
  <c r="I252" i="1"/>
  <c r="J252" i="1"/>
  <c r="K252" i="1"/>
  <c r="G253" i="1"/>
  <c r="H253" i="1"/>
  <c r="I253" i="1"/>
  <c r="J253" i="1"/>
  <c r="K253" i="1"/>
  <c r="G254" i="1"/>
  <c r="H254" i="1"/>
  <c r="I254" i="1"/>
  <c r="J254" i="1"/>
  <c r="K254" i="1"/>
  <c r="G255" i="1"/>
  <c r="H255" i="1"/>
  <c r="I255" i="1"/>
  <c r="J255" i="1"/>
  <c r="K255" i="1"/>
  <c r="G256" i="1"/>
  <c r="H256" i="1"/>
  <c r="I256" i="1"/>
  <c r="J256" i="1"/>
  <c r="K256" i="1"/>
  <c r="G257" i="1"/>
  <c r="H257" i="1"/>
  <c r="I257" i="1"/>
  <c r="J257" i="1"/>
  <c r="K257" i="1"/>
  <c r="G258" i="1"/>
  <c r="H258" i="1"/>
  <c r="I258" i="1"/>
  <c r="J258" i="1"/>
  <c r="K258" i="1"/>
  <c r="G259" i="1"/>
  <c r="H259" i="1"/>
  <c r="I259" i="1"/>
  <c r="J259" i="1"/>
  <c r="K259" i="1"/>
  <c r="G260" i="1"/>
  <c r="H260" i="1"/>
  <c r="I260" i="1"/>
  <c r="J260" i="1"/>
  <c r="K260" i="1"/>
  <c r="G261" i="1"/>
  <c r="H261" i="1"/>
  <c r="I261" i="1"/>
  <c r="J261" i="1"/>
  <c r="K261" i="1"/>
  <c r="G262" i="1"/>
  <c r="H262" i="1"/>
  <c r="I262" i="1"/>
  <c r="J262" i="1"/>
  <c r="K262" i="1"/>
  <c r="G263" i="1"/>
  <c r="H263" i="1"/>
  <c r="I263" i="1"/>
  <c r="J263" i="1"/>
  <c r="K263" i="1"/>
  <c r="G264" i="1"/>
  <c r="H264" i="1"/>
  <c r="I264" i="1"/>
  <c r="J264" i="1"/>
  <c r="K264" i="1"/>
  <c r="G265" i="1"/>
  <c r="H265" i="1"/>
  <c r="I265" i="1"/>
  <c r="J265" i="1"/>
  <c r="K265" i="1"/>
  <c r="G266" i="1"/>
  <c r="H266" i="1"/>
  <c r="I266" i="1"/>
  <c r="J266" i="1"/>
  <c r="K266" i="1"/>
  <c r="G267" i="1"/>
  <c r="H267" i="1"/>
  <c r="I267" i="1"/>
  <c r="J267" i="1"/>
  <c r="K267" i="1"/>
  <c r="G268" i="1"/>
  <c r="H268" i="1"/>
  <c r="I268" i="1"/>
  <c r="J268" i="1"/>
  <c r="K268" i="1"/>
  <c r="G269" i="1"/>
  <c r="H269" i="1"/>
  <c r="I269" i="1"/>
  <c r="J269" i="1"/>
  <c r="K269" i="1"/>
  <c r="G270" i="1"/>
  <c r="H270" i="1"/>
  <c r="I270" i="1"/>
  <c r="J270" i="1"/>
  <c r="K270" i="1"/>
  <c r="G271" i="1"/>
  <c r="H271" i="1"/>
  <c r="I271" i="1"/>
  <c r="J271" i="1"/>
  <c r="K271" i="1"/>
  <c r="G272" i="1"/>
  <c r="H272" i="1"/>
  <c r="I272" i="1"/>
  <c r="J272" i="1"/>
  <c r="K272" i="1"/>
  <c r="G273" i="1"/>
  <c r="H273" i="1"/>
  <c r="I273" i="1"/>
  <c r="J273" i="1"/>
  <c r="K273" i="1"/>
  <c r="G274" i="1"/>
  <c r="H274" i="1"/>
  <c r="I274" i="1"/>
  <c r="J274" i="1"/>
  <c r="K274" i="1"/>
  <c r="G275" i="1"/>
  <c r="H275" i="1"/>
  <c r="I275" i="1"/>
  <c r="J275" i="1"/>
  <c r="K275" i="1"/>
  <c r="G276" i="1"/>
  <c r="H276" i="1"/>
  <c r="I276" i="1"/>
  <c r="J276" i="1"/>
  <c r="K276" i="1"/>
  <c r="G277" i="1"/>
  <c r="H277" i="1"/>
  <c r="I277" i="1"/>
  <c r="J277" i="1"/>
  <c r="K277" i="1"/>
  <c r="G278" i="1"/>
  <c r="H278" i="1"/>
  <c r="I278" i="1"/>
  <c r="J278" i="1"/>
  <c r="K278" i="1"/>
  <c r="G279" i="1"/>
  <c r="H279" i="1"/>
  <c r="I279" i="1"/>
  <c r="J279" i="1"/>
  <c r="K279" i="1"/>
  <c r="G280" i="1"/>
  <c r="H280" i="1"/>
  <c r="I280" i="1"/>
  <c r="J280" i="1"/>
  <c r="K280" i="1"/>
  <c r="G281" i="1"/>
  <c r="H281" i="1"/>
  <c r="I281" i="1"/>
  <c r="J281" i="1"/>
  <c r="K281" i="1"/>
  <c r="G282" i="1"/>
  <c r="H282" i="1"/>
  <c r="I282" i="1"/>
  <c r="J282" i="1"/>
  <c r="K282" i="1"/>
  <c r="G283" i="1"/>
  <c r="H283" i="1"/>
  <c r="I283" i="1"/>
  <c r="J283" i="1"/>
  <c r="K283" i="1"/>
  <c r="G284" i="1"/>
  <c r="H284" i="1"/>
  <c r="I284" i="1"/>
  <c r="J284" i="1"/>
  <c r="K284" i="1"/>
  <c r="G285" i="1"/>
  <c r="H285" i="1"/>
  <c r="I285" i="1"/>
  <c r="J285" i="1"/>
  <c r="K285" i="1"/>
  <c r="G286" i="1"/>
  <c r="H286" i="1"/>
  <c r="I286" i="1"/>
  <c r="J286" i="1"/>
  <c r="K286" i="1"/>
  <c r="G287" i="1"/>
  <c r="H287" i="1"/>
  <c r="I287" i="1"/>
  <c r="J287" i="1"/>
  <c r="K287" i="1"/>
  <c r="G288" i="1"/>
  <c r="H288" i="1"/>
  <c r="I288" i="1"/>
  <c r="J288" i="1"/>
  <c r="K288" i="1"/>
  <c r="G289" i="1"/>
  <c r="H289" i="1"/>
  <c r="I289" i="1"/>
  <c r="J289" i="1"/>
  <c r="K289" i="1"/>
  <c r="G290" i="1"/>
  <c r="H290" i="1"/>
  <c r="I290" i="1"/>
  <c r="J290" i="1"/>
  <c r="K290" i="1"/>
  <c r="G291" i="1"/>
  <c r="H291" i="1"/>
  <c r="I291" i="1"/>
  <c r="J291" i="1"/>
  <c r="K291" i="1"/>
  <c r="G292" i="1"/>
  <c r="H292" i="1"/>
  <c r="I292" i="1"/>
  <c r="J292" i="1"/>
  <c r="K292" i="1"/>
  <c r="G293" i="1"/>
  <c r="H293" i="1"/>
  <c r="I293" i="1"/>
  <c r="J293" i="1"/>
  <c r="K293" i="1"/>
  <c r="G294" i="1"/>
  <c r="H294" i="1"/>
  <c r="I294" i="1"/>
  <c r="J294" i="1"/>
  <c r="K294" i="1"/>
  <c r="G295" i="1"/>
  <c r="H295" i="1"/>
  <c r="I295" i="1"/>
  <c r="J295" i="1"/>
  <c r="K295" i="1"/>
  <c r="G296" i="1"/>
  <c r="H296" i="1"/>
  <c r="I296" i="1"/>
  <c r="J296" i="1"/>
  <c r="K296" i="1"/>
  <c r="G297" i="1"/>
  <c r="H297" i="1"/>
  <c r="I297" i="1"/>
  <c r="J297" i="1"/>
  <c r="K297" i="1"/>
  <c r="G298" i="1"/>
  <c r="H298" i="1"/>
  <c r="I298" i="1"/>
  <c r="J298" i="1"/>
  <c r="K298" i="1"/>
  <c r="G299" i="1"/>
  <c r="H299" i="1"/>
  <c r="I299" i="1"/>
  <c r="J299" i="1"/>
  <c r="K299" i="1"/>
  <c r="G300" i="1"/>
  <c r="H300" i="1"/>
  <c r="I300" i="1"/>
  <c r="J300" i="1"/>
  <c r="K300" i="1"/>
  <c r="G301" i="1"/>
  <c r="H301" i="1"/>
  <c r="I301" i="1"/>
  <c r="J301" i="1"/>
  <c r="K301" i="1"/>
  <c r="G302" i="1"/>
  <c r="H302" i="1"/>
  <c r="I302" i="1"/>
  <c r="J302" i="1"/>
  <c r="K302" i="1"/>
  <c r="G303" i="1"/>
  <c r="H303" i="1"/>
  <c r="I303" i="1"/>
  <c r="J303" i="1"/>
  <c r="K303" i="1"/>
  <c r="G304" i="1"/>
  <c r="H304" i="1"/>
  <c r="I304" i="1"/>
  <c r="J304" i="1"/>
  <c r="K304" i="1"/>
  <c r="G305" i="1"/>
  <c r="H305" i="1"/>
  <c r="I305" i="1"/>
  <c r="J305" i="1"/>
  <c r="K305" i="1"/>
  <c r="G306" i="1"/>
  <c r="H306" i="1"/>
  <c r="I306" i="1"/>
  <c r="J306" i="1"/>
  <c r="K306" i="1"/>
  <c r="G307" i="1"/>
  <c r="H307" i="1"/>
  <c r="I307" i="1"/>
  <c r="J307" i="1"/>
  <c r="K307" i="1"/>
  <c r="G308" i="1"/>
  <c r="H308" i="1"/>
  <c r="I308" i="1"/>
  <c r="J308" i="1"/>
  <c r="K308" i="1"/>
  <c r="G309" i="1"/>
  <c r="H309" i="1"/>
  <c r="I309" i="1"/>
  <c r="J309" i="1"/>
  <c r="K309" i="1"/>
  <c r="G310" i="1"/>
  <c r="H310" i="1"/>
  <c r="I310" i="1"/>
  <c r="J310" i="1"/>
  <c r="K310" i="1"/>
  <c r="G311" i="1"/>
  <c r="H311" i="1"/>
  <c r="I311" i="1"/>
  <c r="J311" i="1"/>
  <c r="K311" i="1"/>
  <c r="G312" i="1"/>
  <c r="H312" i="1"/>
  <c r="I312" i="1"/>
  <c r="J312" i="1"/>
  <c r="K312" i="1"/>
  <c r="G313" i="1"/>
  <c r="H313" i="1"/>
  <c r="I313" i="1"/>
  <c r="J313" i="1"/>
  <c r="K313" i="1"/>
  <c r="G314" i="1"/>
  <c r="H314" i="1"/>
  <c r="I314" i="1"/>
  <c r="J314" i="1"/>
  <c r="K314" i="1"/>
  <c r="G315" i="1"/>
  <c r="H315" i="1"/>
  <c r="I315" i="1"/>
  <c r="J315" i="1"/>
  <c r="K315" i="1"/>
  <c r="G316" i="1"/>
  <c r="H316" i="1"/>
  <c r="I316" i="1"/>
  <c r="J316" i="1"/>
  <c r="K316" i="1"/>
  <c r="G317" i="1"/>
  <c r="H317" i="1"/>
  <c r="I317" i="1"/>
  <c r="J317" i="1"/>
  <c r="K317" i="1"/>
  <c r="G318" i="1"/>
  <c r="H318" i="1"/>
  <c r="I318" i="1"/>
  <c r="J318" i="1"/>
  <c r="K318" i="1"/>
  <c r="G319" i="1"/>
  <c r="H319" i="1"/>
  <c r="I319" i="1"/>
  <c r="J319" i="1"/>
  <c r="K319" i="1"/>
  <c r="G320" i="1"/>
  <c r="H320" i="1"/>
  <c r="I320" i="1"/>
  <c r="J320" i="1"/>
  <c r="K320" i="1"/>
  <c r="G321" i="1"/>
  <c r="H321" i="1"/>
  <c r="I321" i="1"/>
  <c r="J321" i="1"/>
  <c r="K321" i="1"/>
  <c r="G322" i="1"/>
  <c r="H322" i="1"/>
  <c r="I322" i="1"/>
  <c r="J322" i="1"/>
  <c r="K322" i="1"/>
  <c r="G323" i="1"/>
  <c r="H323" i="1"/>
  <c r="I323" i="1"/>
  <c r="J323" i="1"/>
  <c r="K323" i="1"/>
  <c r="G324" i="1"/>
  <c r="H324" i="1"/>
  <c r="I324" i="1"/>
  <c r="J324" i="1"/>
  <c r="K324" i="1"/>
  <c r="G325" i="1"/>
  <c r="H325" i="1"/>
  <c r="I325" i="1"/>
  <c r="J325" i="1"/>
  <c r="K325" i="1"/>
  <c r="G326" i="1"/>
  <c r="H326" i="1"/>
  <c r="I326" i="1"/>
  <c r="J326" i="1"/>
  <c r="K326" i="1"/>
  <c r="G327" i="1"/>
  <c r="H327" i="1"/>
  <c r="I327" i="1"/>
  <c r="J327" i="1"/>
  <c r="K327" i="1"/>
  <c r="G328" i="1"/>
  <c r="H328" i="1"/>
  <c r="I328" i="1"/>
  <c r="J328" i="1"/>
  <c r="K328" i="1"/>
  <c r="G329" i="1"/>
  <c r="H329" i="1"/>
  <c r="I329" i="1"/>
  <c r="J329" i="1"/>
  <c r="K329" i="1"/>
  <c r="G330" i="1"/>
  <c r="H330" i="1"/>
  <c r="I330" i="1"/>
  <c r="J330" i="1"/>
  <c r="K330" i="1"/>
  <c r="G331" i="1"/>
  <c r="H331" i="1"/>
  <c r="I331" i="1"/>
  <c r="J331" i="1"/>
  <c r="K331" i="1"/>
  <c r="G332" i="1"/>
  <c r="H332" i="1"/>
  <c r="I332" i="1"/>
  <c r="J332" i="1"/>
  <c r="K332" i="1"/>
  <c r="G333" i="1"/>
  <c r="H333" i="1"/>
  <c r="I333" i="1"/>
  <c r="J333" i="1"/>
  <c r="K333" i="1"/>
  <c r="G334" i="1"/>
  <c r="H334" i="1"/>
  <c r="I334" i="1"/>
  <c r="J334" i="1"/>
  <c r="K334" i="1"/>
  <c r="G335" i="1"/>
  <c r="H335" i="1"/>
  <c r="I335" i="1"/>
  <c r="J335" i="1"/>
  <c r="K335" i="1"/>
  <c r="G336" i="1"/>
  <c r="H336" i="1"/>
  <c r="I336" i="1"/>
  <c r="J336" i="1"/>
  <c r="K336" i="1"/>
  <c r="G337" i="1"/>
  <c r="H337" i="1"/>
  <c r="I337" i="1"/>
  <c r="J337" i="1"/>
  <c r="K337" i="1"/>
  <c r="G338" i="1"/>
  <c r="H338" i="1"/>
  <c r="I338" i="1"/>
  <c r="J338" i="1"/>
  <c r="K338" i="1"/>
  <c r="G339" i="1"/>
  <c r="H339" i="1"/>
  <c r="I339" i="1"/>
  <c r="J339" i="1"/>
  <c r="K339" i="1"/>
  <c r="G340" i="1"/>
  <c r="H340" i="1"/>
  <c r="I340" i="1"/>
  <c r="J340" i="1"/>
  <c r="K340" i="1"/>
  <c r="G341" i="1"/>
  <c r="H341" i="1"/>
  <c r="I341" i="1"/>
  <c r="J341" i="1"/>
  <c r="K341" i="1"/>
  <c r="G342" i="1"/>
  <c r="H342" i="1"/>
  <c r="I342" i="1"/>
  <c r="J342" i="1"/>
  <c r="K342" i="1"/>
  <c r="G343" i="1"/>
  <c r="H343" i="1"/>
  <c r="I343" i="1"/>
  <c r="J343" i="1"/>
  <c r="K343" i="1"/>
  <c r="G344" i="1"/>
  <c r="H344" i="1"/>
  <c r="I344" i="1"/>
  <c r="J344" i="1"/>
  <c r="K344" i="1"/>
  <c r="G345" i="1"/>
  <c r="H345" i="1"/>
  <c r="I345" i="1"/>
  <c r="J345" i="1"/>
  <c r="K345" i="1"/>
  <c r="G346" i="1"/>
  <c r="H346" i="1"/>
  <c r="I346" i="1"/>
  <c r="J346" i="1"/>
  <c r="K346" i="1"/>
  <c r="G347" i="1"/>
  <c r="H347" i="1"/>
  <c r="I347" i="1"/>
  <c r="J347" i="1"/>
  <c r="K347" i="1"/>
  <c r="G348" i="1"/>
  <c r="H348" i="1"/>
  <c r="I348" i="1"/>
  <c r="J348" i="1"/>
  <c r="K348" i="1"/>
  <c r="G349" i="1"/>
  <c r="H349" i="1"/>
  <c r="I349" i="1"/>
  <c r="J349" i="1"/>
  <c r="K349" i="1"/>
  <c r="G350" i="1"/>
  <c r="H350" i="1"/>
  <c r="I350" i="1"/>
  <c r="J350" i="1"/>
  <c r="K350" i="1"/>
  <c r="G351" i="1"/>
  <c r="H351" i="1"/>
  <c r="I351" i="1"/>
  <c r="J351" i="1"/>
  <c r="K351" i="1"/>
  <c r="G352" i="1"/>
  <c r="H352" i="1"/>
  <c r="I352" i="1"/>
  <c r="J352" i="1"/>
  <c r="K352" i="1"/>
  <c r="G353" i="1"/>
  <c r="H353" i="1"/>
  <c r="I353" i="1"/>
  <c r="J353" i="1"/>
  <c r="K353" i="1"/>
  <c r="G354" i="1"/>
  <c r="H354" i="1"/>
  <c r="I354" i="1"/>
  <c r="J354" i="1"/>
  <c r="K354" i="1"/>
  <c r="G355" i="1"/>
  <c r="H355" i="1"/>
  <c r="I355" i="1"/>
  <c r="J355" i="1"/>
  <c r="K355" i="1"/>
  <c r="G356" i="1"/>
  <c r="H356" i="1"/>
  <c r="I356" i="1"/>
  <c r="J356" i="1"/>
  <c r="K356" i="1"/>
  <c r="G357" i="1"/>
  <c r="H357" i="1"/>
  <c r="I357" i="1"/>
  <c r="J357" i="1"/>
  <c r="K357" i="1"/>
  <c r="G358" i="1"/>
  <c r="H358" i="1"/>
  <c r="I358" i="1"/>
  <c r="J358" i="1"/>
  <c r="K358" i="1"/>
  <c r="G359" i="1"/>
  <c r="H359" i="1"/>
  <c r="I359" i="1"/>
  <c r="J359" i="1"/>
  <c r="K359" i="1"/>
  <c r="G360" i="1"/>
  <c r="H360" i="1"/>
  <c r="I360" i="1"/>
  <c r="J360" i="1"/>
  <c r="K360" i="1"/>
  <c r="G361" i="1"/>
  <c r="H361" i="1"/>
  <c r="I361" i="1"/>
  <c r="J361" i="1"/>
  <c r="K361" i="1"/>
  <c r="G362" i="1"/>
  <c r="H362" i="1"/>
  <c r="I362" i="1"/>
  <c r="J362" i="1"/>
  <c r="K362" i="1"/>
  <c r="G363" i="1"/>
  <c r="H363" i="1"/>
  <c r="I363" i="1"/>
  <c r="J363" i="1"/>
  <c r="K363" i="1"/>
  <c r="G364" i="1"/>
  <c r="H364" i="1"/>
  <c r="I364" i="1"/>
  <c r="J364" i="1"/>
  <c r="K364" i="1"/>
  <c r="G365" i="1"/>
  <c r="H365" i="1"/>
  <c r="I365" i="1"/>
  <c r="J365" i="1"/>
  <c r="K365" i="1"/>
  <c r="G366" i="1"/>
  <c r="H366" i="1"/>
  <c r="I366" i="1"/>
  <c r="J366" i="1"/>
  <c r="K366" i="1"/>
  <c r="G367" i="1"/>
  <c r="H367" i="1"/>
  <c r="I367" i="1"/>
  <c r="J367" i="1"/>
  <c r="K367" i="1"/>
  <c r="G368" i="1"/>
  <c r="H368" i="1"/>
  <c r="I368" i="1"/>
  <c r="J368" i="1"/>
  <c r="K368" i="1"/>
  <c r="G369" i="1"/>
  <c r="H369" i="1"/>
  <c r="I369" i="1"/>
  <c r="J369" i="1"/>
  <c r="K369" i="1"/>
  <c r="G370" i="1"/>
  <c r="H370" i="1"/>
  <c r="I370" i="1"/>
  <c r="J370" i="1"/>
  <c r="K370" i="1"/>
  <c r="G371" i="1"/>
  <c r="H371" i="1"/>
  <c r="I371" i="1"/>
  <c r="J371" i="1"/>
  <c r="K371" i="1"/>
  <c r="G372" i="1"/>
  <c r="H372" i="1"/>
  <c r="I372" i="1"/>
  <c r="J372" i="1"/>
  <c r="K372" i="1"/>
  <c r="G373" i="1"/>
  <c r="H373" i="1"/>
  <c r="I373" i="1"/>
  <c r="J373" i="1"/>
  <c r="K373" i="1"/>
  <c r="G374" i="1"/>
  <c r="H374" i="1"/>
  <c r="I374" i="1"/>
  <c r="J374" i="1"/>
  <c r="K374" i="1"/>
  <c r="G375" i="1"/>
  <c r="H375" i="1"/>
  <c r="I375" i="1"/>
  <c r="J375" i="1"/>
  <c r="K375" i="1"/>
  <c r="G376" i="1"/>
  <c r="H376" i="1"/>
  <c r="I376" i="1"/>
  <c r="J376" i="1"/>
  <c r="K376" i="1"/>
  <c r="G377" i="1"/>
  <c r="H377" i="1"/>
  <c r="I377" i="1"/>
  <c r="J377" i="1"/>
  <c r="K377" i="1"/>
  <c r="G378" i="1"/>
  <c r="H378" i="1"/>
  <c r="I378" i="1"/>
  <c r="J378" i="1"/>
  <c r="K378" i="1"/>
  <c r="G379" i="1"/>
  <c r="H379" i="1"/>
  <c r="I379" i="1"/>
  <c r="J379" i="1"/>
  <c r="K379" i="1"/>
  <c r="G380" i="1"/>
  <c r="H380" i="1"/>
  <c r="I380" i="1"/>
  <c r="J380" i="1"/>
  <c r="K380" i="1"/>
  <c r="G381" i="1"/>
  <c r="H381" i="1"/>
  <c r="I381" i="1"/>
  <c r="J381" i="1"/>
  <c r="K381" i="1"/>
  <c r="G382" i="1"/>
  <c r="H382" i="1"/>
  <c r="I382" i="1"/>
  <c r="J382" i="1"/>
  <c r="K382" i="1"/>
  <c r="G383" i="1"/>
  <c r="H383" i="1"/>
  <c r="I383" i="1"/>
  <c r="J383" i="1"/>
  <c r="K383" i="1"/>
  <c r="G384" i="1"/>
  <c r="H384" i="1"/>
  <c r="I384" i="1"/>
  <c r="J384" i="1"/>
  <c r="K384" i="1"/>
  <c r="G385" i="1"/>
  <c r="H385" i="1"/>
  <c r="I385" i="1"/>
  <c r="J385" i="1"/>
  <c r="K385" i="1"/>
  <c r="G386" i="1"/>
  <c r="H386" i="1"/>
  <c r="I386" i="1"/>
  <c r="J386" i="1"/>
  <c r="K386" i="1"/>
  <c r="G387" i="1"/>
  <c r="H387" i="1"/>
  <c r="I387" i="1"/>
  <c r="J387" i="1"/>
  <c r="K387" i="1"/>
  <c r="G388" i="1"/>
  <c r="H388" i="1"/>
  <c r="I388" i="1"/>
  <c r="J388" i="1"/>
  <c r="K388" i="1"/>
  <c r="G389" i="1"/>
  <c r="H389" i="1"/>
  <c r="I389" i="1"/>
  <c r="J389" i="1"/>
  <c r="K389" i="1"/>
  <c r="G390" i="1"/>
  <c r="H390" i="1"/>
  <c r="I390" i="1"/>
  <c r="J390" i="1"/>
  <c r="K390" i="1"/>
  <c r="G391" i="1"/>
  <c r="H391" i="1"/>
  <c r="I391" i="1"/>
  <c r="J391" i="1"/>
  <c r="K391" i="1"/>
  <c r="G392" i="1"/>
  <c r="H392" i="1"/>
  <c r="I392" i="1"/>
  <c r="J392" i="1"/>
  <c r="K392" i="1"/>
  <c r="G393" i="1"/>
  <c r="H393" i="1"/>
  <c r="I393" i="1"/>
  <c r="J393" i="1"/>
  <c r="K393" i="1"/>
  <c r="G394" i="1"/>
  <c r="H394" i="1"/>
  <c r="I394" i="1"/>
  <c r="J394" i="1"/>
  <c r="K394" i="1"/>
  <c r="G395" i="1"/>
  <c r="H395" i="1"/>
  <c r="I395" i="1"/>
  <c r="J395" i="1"/>
  <c r="K395" i="1"/>
  <c r="G396" i="1"/>
  <c r="H396" i="1"/>
  <c r="I396" i="1"/>
  <c r="J396" i="1"/>
  <c r="K396" i="1"/>
  <c r="G397" i="1"/>
  <c r="H397" i="1"/>
  <c r="I397" i="1"/>
  <c r="J397" i="1"/>
  <c r="K397" i="1"/>
  <c r="G398" i="1"/>
  <c r="H398" i="1"/>
  <c r="I398" i="1"/>
  <c r="J398" i="1"/>
  <c r="K398" i="1"/>
  <c r="G399" i="1"/>
  <c r="H399" i="1"/>
  <c r="I399" i="1"/>
  <c r="J399" i="1"/>
  <c r="K399" i="1"/>
  <c r="G400" i="1"/>
  <c r="H400" i="1"/>
  <c r="I400" i="1"/>
  <c r="J400" i="1"/>
  <c r="K400" i="1"/>
  <c r="G401" i="1"/>
  <c r="H401" i="1"/>
  <c r="I401" i="1"/>
  <c r="J401" i="1"/>
  <c r="K401" i="1"/>
  <c r="G402" i="1"/>
  <c r="H402" i="1"/>
  <c r="I402" i="1"/>
  <c r="J402" i="1"/>
  <c r="K402" i="1"/>
  <c r="G403" i="1"/>
  <c r="H403" i="1"/>
  <c r="I403" i="1"/>
  <c r="J403" i="1"/>
  <c r="K403" i="1"/>
  <c r="G404" i="1"/>
  <c r="H404" i="1"/>
  <c r="I404" i="1"/>
  <c r="J404" i="1"/>
  <c r="K404" i="1"/>
  <c r="G405" i="1"/>
  <c r="H405" i="1"/>
  <c r="I405" i="1"/>
  <c r="J405" i="1"/>
  <c r="K405" i="1"/>
  <c r="G406" i="1"/>
  <c r="H406" i="1"/>
  <c r="I406" i="1"/>
  <c r="J406" i="1"/>
  <c r="K406" i="1"/>
  <c r="G407" i="1"/>
  <c r="H407" i="1"/>
  <c r="I407" i="1"/>
  <c r="J407" i="1"/>
  <c r="K407" i="1"/>
  <c r="G408" i="1"/>
  <c r="H408" i="1"/>
  <c r="I408" i="1"/>
  <c r="J408" i="1"/>
  <c r="K408" i="1"/>
  <c r="G409" i="1"/>
  <c r="H409" i="1"/>
  <c r="I409" i="1"/>
  <c r="J409" i="1"/>
  <c r="K409" i="1"/>
  <c r="G410" i="1"/>
  <c r="H410" i="1"/>
  <c r="I410" i="1"/>
  <c r="J410" i="1"/>
  <c r="K410" i="1"/>
  <c r="G411" i="1"/>
  <c r="H411" i="1"/>
  <c r="I411" i="1"/>
  <c r="J411" i="1"/>
  <c r="K411" i="1"/>
  <c r="G412" i="1"/>
  <c r="H412" i="1"/>
  <c r="I412" i="1"/>
  <c r="J412" i="1"/>
  <c r="K412" i="1"/>
  <c r="G413" i="1"/>
  <c r="H413" i="1"/>
  <c r="I413" i="1"/>
  <c r="J413" i="1"/>
  <c r="K413" i="1"/>
  <c r="G414" i="1"/>
  <c r="H414" i="1"/>
  <c r="I414" i="1"/>
  <c r="J414" i="1"/>
  <c r="K414" i="1"/>
  <c r="G415" i="1"/>
  <c r="H415" i="1"/>
  <c r="I415" i="1"/>
  <c r="J415" i="1"/>
  <c r="K415" i="1"/>
  <c r="G416" i="1"/>
  <c r="H416" i="1"/>
  <c r="I416" i="1"/>
  <c r="J416" i="1"/>
  <c r="K416" i="1"/>
  <c r="G417" i="1"/>
  <c r="H417" i="1"/>
  <c r="I417" i="1"/>
  <c r="J417" i="1"/>
  <c r="K417" i="1"/>
  <c r="G418" i="1"/>
  <c r="H418" i="1"/>
  <c r="I418" i="1"/>
  <c r="J418" i="1"/>
  <c r="K418" i="1"/>
  <c r="G419" i="1"/>
  <c r="H419" i="1"/>
  <c r="I419" i="1"/>
  <c r="J419" i="1"/>
  <c r="K419" i="1"/>
  <c r="G420" i="1"/>
  <c r="H420" i="1"/>
  <c r="I420" i="1"/>
  <c r="J420" i="1"/>
  <c r="K420" i="1"/>
  <c r="G421" i="1"/>
  <c r="H421" i="1"/>
  <c r="I421" i="1"/>
  <c r="J421" i="1"/>
  <c r="K421" i="1"/>
  <c r="G422" i="1"/>
  <c r="H422" i="1"/>
  <c r="I422" i="1"/>
  <c r="J422" i="1"/>
  <c r="K422" i="1"/>
  <c r="G423" i="1"/>
  <c r="H423" i="1"/>
  <c r="I423" i="1"/>
  <c r="J423" i="1"/>
  <c r="K423" i="1"/>
  <c r="G424" i="1"/>
  <c r="H424" i="1"/>
  <c r="I424" i="1"/>
  <c r="J424" i="1"/>
  <c r="K424" i="1"/>
  <c r="G425" i="1"/>
  <c r="H425" i="1"/>
  <c r="I425" i="1"/>
  <c r="J425" i="1"/>
  <c r="K425" i="1"/>
  <c r="G426" i="1"/>
  <c r="H426" i="1"/>
  <c r="I426" i="1"/>
  <c r="J426" i="1"/>
  <c r="K426" i="1"/>
  <c r="G427" i="1"/>
  <c r="H427" i="1"/>
  <c r="I427" i="1"/>
  <c r="J427" i="1"/>
  <c r="K427" i="1"/>
  <c r="G428" i="1"/>
  <c r="H428" i="1"/>
  <c r="I428" i="1"/>
  <c r="J428" i="1"/>
  <c r="K428" i="1"/>
  <c r="G429" i="1"/>
  <c r="H429" i="1"/>
  <c r="I429" i="1"/>
  <c r="J429" i="1"/>
  <c r="K429" i="1"/>
  <c r="G430" i="1"/>
  <c r="H430" i="1"/>
  <c r="I430" i="1"/>
  <c r="J430" i="1"/>
  <c r="K430" i="1"/>
  <c r="G431" i="1"/>
  <c r="H431" i="1"/>
  <c r="I431" i="1"/>
  <c r="J431" i="1"/>
  <c r="K431" i="1"/>
  <c r="G432" i="1"/>
  <c r="H432" i="1"/>
  <c r="I432" i="1"/>
  <c r="J432" i="1"/>
  <c r="K432" i="1"/>
  <c r="G433" i="1"/>
  <c r="H433" i="1"/>
  <c r="I433" i="1"/>
  <c r="J433" i="1"/>
  <c r="K433" i="1"/>
  <c r="G434" i="1"/>
  <c r="H434" i="1"/>
  <c r="I434" i="1"/>
  <c r="J434" i="1"/>
  <c r="K434" i="1"/>
  <c r="G435" i="1"/>
  <c r="H435" i="1"/>
  <c r="I435" i="1"/>
  <c r="J435" i="1"/>
  <c r="K435" i="1"/>
  <c r="G436" i="1"/>
  <c r="H436" i="1"/>
  <c r="I436" i="1"/>
  <c r="J436" i="1"/>
  <c r="K436" i="1"/>
  <c r="G437" i="1"/>
  <c r="H437" i="1"/>
  <c r="I437" i="1"/>
  <c r="J437" i="1"/>
  <c r="K437" i="1"/>
  <c r="G438" i="1"/>
  <c r="H438" i="1"/>
  <c r="I438" i="1"/>
  <c r="J438" i="1"/>
  <c r="K438" i="1"/>
  <c r="G439" i="1"/>
  <c r="H439" i="1"/>
  <c r="I439" i="1"/>
  <c r="J439" i="1"/>
  <c r="K439" i="1"/>
  <c r="G440" i="1"/>
  <c r="H440" i="1"/>
  <c r="I440" i="1"/>
  <c r="J440" i="1"/>
  <c r="K440" i="1"/>
  <c r="G441" i="1"/>
  <c r="H441" i="1"/>
  <c r="I441" i="1"/>
  <c r="J441" i="1"/>
  <c r="K441" i="1"/>
  <c r="G442" i="1"/>
  <c r="H442" i="1"/>
  <c r="I442" i="1"/>
  <c r="J442" i="1"/>
  <c r="K442" i="1"/>
  <c r="G443" i="1"/>
  <c r="H443" i="1"/>
  <c r="I443" i="1"/>
  <c r="J443" i="1"/>
  <c r="K443" i="1"/>
  <c r="G444" i="1"/>
  <c r="H444" i="1"/>
  <c r="I444" i="1"/>
  <c r="J444" i="1"/>
  <c r="K444" i="1"/>
  <c r="G445" i="1"/>
  <c r="H445" i="1"/>
  <c r="I445" i="1"/>
  <c r="J445" i="1"/>
  <c r="K445" i="1"/>
  <c r="G446" i="1"/>
  <c r="H446" i="1"/>
  <c r="I446" i="1"/>
  <c r="J446" i="1"/>
  <c r="K446" i="1"/>
  <c r="G447" i="1"/>
  <c r="H447" i="1"/>
  <c r="I447" i="1"/>
  <c r="J447" i="1"/>
  <c r="K447" i="1"/>
  <c r="G448" i="1"/>
  <c r="H448" i="1"/>
  <c r="I448" i="1"/>
  <c r="J448" i="1"/>
  <c r="K448" i="1"/>
  <c r="G449" i="1"/>
  <c r="H449" i="1"/>
  <c r="I449" i="1"/>
  <c r="J449" i="1"/>
  <c r="K449" i="1"/>
  <c r="G450" i="1"/>
  <c r="H450" i="1"/>
  <c r="I450" i="1"/>
  <c r="J450" i="1"/>
  <c r="K450" i="1"/>
  <c r="G451" i="1"/>
  <c r="H451" i="1"/>
  <c r="I451" i="1"/>
  <c r="J451" i="1"/>
  <c r="K451" i="1"/>
  <c r="G452" i="1"/>
  <c r="H452" i="1"/>
  <c r="I452" i="1"/>
  <c r="J452" i="1"/>
  <c r="K452" i="1"/>
  <c r="G453" i="1"/>
  <c r="H453" i="1"/>
  <c r="I453" i="1"/>
  <c r="J453" i="1"/>
  <c r="K453" i="1"/>
  <c r="G454" i="1"/>
  <c r="H454" i="1"/>
  <c r="I454" i="1"/>
  <c r="J454" i="1"/>
  <c r="K454" i="1"/>
  <c r="G455" i="1"/>
  <c r="H455" i="1"/>
  <c r="I455" i="1"/>
  <c r="J455" i="1"/>
  <c r="K455" i="1"/>
  <c r="G456" i="1"/>
  <c r="H456" i="1"/>
  <c r="I456" i="1"/>
  <c r="J456" i="1"/>
  <c r="K456" i="1"/>
  <c r="G457" i="1"/>
  <c r="H457" i="1"/>
  <c r="I457" i="1"/>
  <c r="J457" i="1"/>
  <c r="K457" i="1"/>
  <c r="G458" i="1"/>
  <c r="H458" i="1"/>
  <c r="I458" i="1"/>
  <c r="J458" i="1"/>
  <c r="K458" i="1"/>
  <c r="G459" i="1"/>
  <c r="H459" i="1"/>
  <c r="I459" i="1"/>
  <c r="J459" i="1"/>
  <c r="K459" i="1"/>
  <c r="G460" i="1"/>
  <c r="H460" i="1"/>
  <c r="I460" i="1"/>
  <c r="J460" i="1"/>
  <c r="K460" i="1"/>
  <c r="G461" i="1"/>
  <c r="H461" i="1"/>
  <c r="I461" i="1"/>
  <c r="J461" i="1"/>
  <c r="K461" i="1"/>
  <c r="G462" i="1"/>
  <c r="H462" i="1"/>
  <c r="I462" i="1"/>
  <c r="J462" i="1"/>
  <c r="K462" i="1"/>
  <c r="G463" i="1"/>
  <c r="H463" i="1"/>
  <c r="I463" i="1"/>
  <c r="J463" i="1"/>
  <c r="K463" i="1"/>
  <c r="G464" i="1"/>
  <c r="H464" i="1"/>
  <c r="I464" i="1"/>
  <c r="J464" i="1"/>
  <c r="K464" i="1"/>
  <c r="G465" i="1"/>
  <c r="H465" i="1"/>
  <c r="I465" i="1"/>
  <c r="J465" i="1"/>
  <c r="K465" i="1"/>
  <c r="G466" i="1"/>
  <c r="H466" i="1"/>
  <c r="I466" i="1"/>
  <c r="J466" i="1"/>
  <c r="K466" i="1"/>
  <c r="G467" i="1"/>
  <c r="H467" i="1"/>
  <c r="I467" i="1"/>
  <c r="J467" i="1"/>
  <c r="K467" i="1"/>
  <c r="G468" i="1"/>
  <c r="H468" i="1"/>
  <c r="I468" i="1"/>
  <c r="J468" i="1"/>
  <c r="K468" i="1"/>
  <c r="G469" i="1"/>
  <c r="H469" i="1"/>
  <c r="I469" i="1"/>
  <c r="J469" i="1"/>
  <c r="K469" i="1"/>
  <c r="G470" i="1"/>
  <c r="H470" i="1"/>
  <c r="I470" i="1"/>
  <c r="J470" i="1"/>
  <c r="K470" i="1"/>
  <c r="G471" i="1"/>
  <c r="H471" i="1"/>
  <c r="I471" i="1"/>
  <c r="J471" i="1"/>
  <c r="K471" i="1"/>
  <c r="G472" i="1"/>
  <c r="H472" i="1"/>
  <c r="I472" i="1"/>
  <c r="J472" i="1"/>
  <c r="K472" i="1"/>
  <c r="G473" i="1"/>
  <c r="H473" i="1"/>
  <c r="I473" i="1"/>
  <c r="J473" i="1"/>
  <c r="K473" i="1"/>
  <c r="G474" i="1"/>
  <c r="H474" i="1"/>
  <c r="I474" i="1"/>
  <c r="J474" i="1"/>
  <c r="K474" i="1"/>
  <c r="G475" i="1"/>
  <c r="H475" i="1"/>
  <c r="I475" i="1"/>
  <c r="J475" i="1"/>
  <c r="K475" i="1"/>
  <c r="G476" i="1"/>
  <c r="H476" i="1"/>
  <c r="I476" i="1"/>
  <c r="J476" i="1"/>
  <c r="K476" i="1"/>
  <c r="G477" i="1"/>
  <c r="H477" i="1"/>
  <c r="I477" i="1"/>
  <c r="J477" i="1"/>
  <c r="K477" i="1"/>
  <c r="G478" i="1"/>
  <c r="H478" i="1"/>
  <c r="I478" i="1"/>
  <c r="J478" i="1"/>
  <c r="K478" i="1"/>
  <c r="G479" i="1"/>
  <c r="H479" i="1"/>
  <c r="I479" i="1"/>
  <c r="J479" i="1"/>
  <c r="K479" i="1"/>
  <c r="G480" i="1"/>
  <c r="H480" i="1"/>
  <c r="I480" i="1"/>
  <c r="J480" i="1"/>
  <c r="K480" i="1"/>
  <c r="G481" i="1"/>
  <c r="H481" i="1"/>
  <c r="I481" i="1"/>
  <c r="J481" i="1"/>
  <c r="K481" i="1"/>
  <c r="G482" i="1"/>
  <c r="H482" i="1"/>
  <c r="I482" i="1"/>
  <c r="J482" i="1"/>
  <c r="K482" i="1"/>
  <c r="G483" i="1"/>
  <c r="H483" i="1"/>
  <c r="I483" i="1"/>
  <c r="J483" i="1"/>
  <c r="K483" i="1"/>
  <c r="G484" i="1"/>
  <c r="H484" i="1"/>
  <c r="I484" i="1"/>
  <c r="J484" i="1"/>
  <c r="K484" i="1"/>
  <c r="G485" i="1"/>
  <c r="H485" i="1"/>
  <c r="I485" i="1"/>
  <c r="J485" i="1"/>
  <c r="K485" i="1"/>
  <c r="G486" i="1"/>
  <c r="H486" i="1"/>
  <c r="I486" i="1"/>
  <c r="J486" i="1"/>
  <c r="K486" i="1"/>
  <c r="G487" i="1"/>
  <c r="H487" i="1"/>
  <c r="I487" i="1"/>
  <c r="J487" i="1"/>
  <c r="K487" i="1"/>
  <c r="G488" i="1"/>
  <c r="H488" i="1"/>
  <c r="I488" i="1"/>
  <c r="J488" i="1"/>
  <c r="K488" i="1"/>
  <c r="G489" i="1"/>
  <c r="H489" i="1"/>
  <c r="I489" i="1"/>
  <c r="J489" i="1"/>
  <c r="K489" i="1"/>
  <c r="G490" i="1"/>
  <c r="H490" i="1"/>
  <c r="I490" i="1"/>
  <c r="J490" i="1"/>
  <c r="K490" i="1"/>
  <c r="G491" i="1"/>
  <c r="H491" i="1"/>
  <c r="I491" i="1"/>
  <c r="J491" i="1"/>
  <c r="K491" i="1"/>
  <c r="G492" i="1"/>
  <c r="H492" i="1"/>
  <c r="I492" i="1"/>
  <c r="J492" i="1"/>
  <c r="K492" i="1"/>
  <c r="G493" i="1"/>
  <c r="H493" i="1"/>
  <c r="I493" i="1"/>
  <c r="J493" i="1"/>
  <c r="K493" i="1"/>
  <c r="G494" i="1"/>
  <c r="H494" i="1"/>
  <c r="I494" i="1"/>
  <c r="J494" i="1"/>
  <c r="K494" i="1"/>
  <c r="G495" i="1"/>
  <c r="H495" i="1"/>
  <c r="I495" i="1"/>
  <c r="J495" i="1"/>
  <c r="K495" i="1"/>
  <c r="G496" i="1"/>
  <c r="H496" i="1"/>
  <c r="I496" i="1"/>
  <c r="J496" i="1"/>
  <c r="K496" i="1"/>
  <c r="G497" i="1"/>
  <c r="H497" i="1"/>
  <c r="I497" i="1"/>
  <c r="J497" i="1"/>
  <c r="K497" i="1"/>
  <c r="G498" i="1"/>
  <c r="H498" i="1"/>
  <c r="I498" i="1"/>
  <c r="J498" i="1"/>
  <c r="K498" i="1"/>
  <c r="G499" i="1"/>
  <c r="H499" i="1"/>
  <c r="I499" i="1"/>
  <c r="J499" i="1"/>
  <c r="K499" i="1"/>
  <c r="G500" i="1"/>
  <c r="H500" i="1"/>
  <c r="I500" i="1"/>
  <c r="J500" i="1"/>
  <c r="K500" i="1"/>
  <c r="G501" i="1"/>
  <c r="H501" i="1"/>
  <c r="I501" i="1"/>
  <c r="J501" i="1"/>
  <c r="K501" i="1"/>
  <c r="G502" i="1"/>
  <c r="H502" i="1"/>
  <c r="I502" i="1"/>
  <c r="J502" i="1"/>
  <c r="K502" i="1"/>
  <c r="G503" i="1"/>
  <c r="H503" i="1"/>
  <c r="I503" i="1"/>
  <c r="J503" i="1"/>
  <c r="K503" i="1"/>
  <c r="G504" i="1"/>
  <c r="H504" i="1"/>
  <c r="I504" i="1"/>
  <c r="J504" i="1"/>
  <c r="K504" i="1"/>
  <c r="G505" i="1"/>
  <c r="H505" i="1"/>
  <c r="I505" i="1"/>
  <c r="J505" i="1"/>
  <c r="K505" i="1"/>
  <c r="G506" i="1"/>
  <c r="H506" i="1"/>
  <c r="I506" i="1"/>
  <c r="J506" i="1"/>
  <c r="K506" i="1"/>
  <c r="G507" i="1"/>
  <c r="H507" i="1"/>
  <c r="I507" i="1"/>
  <c r="J507" i="1"/>
  <c r="K507" i="1"/>
  <c r="G508" i="1"/>
  <c r="H508" i="1"/>
  <c r="I508" i="1"/>
  <c r="J508" i="1"/>
  <c r="K508" i="1"/>
  <c r="G509" i="1"/>
  <c r="H509" i="1"/>
  <c r="I509" i="1"/>
  <c r="J509" i="1"/>
  <c r="K509" i="1"/>
  <c r="G510" i="1"/>
  <c r="H510" i="1"/>
  <c r="I510" i="1"/>
  <c r="J510" i="1"/>
  <c r="K510" i="1"/>
  <c r="G511" i="1"/>
  <c r="H511" i="1"/>
  <c r="I511" i="1"/>
  <c r="J511" i="1"/>
  <c r="K511" i="1"/>
  <c r="G512" i="1"/>
  <c r="H512" i="1"/>
  <c r="I512" i="1"/>
  <c r="J512" i="1"/>
  <c r="K512" i="1"/>
  <c r="G513" i="1"/>
  <c r="H513" i="1"/>
  <c r="I513" i="1"/>
  <c r="J513" i="1"/>
  <c r="K513" i="1"/>
  <c r="G514" i="1"/>
  <c r="H514" i="1"/>
  <c r="I514" i="1"/>
  <c r="J514" i="1"/>
  <c r="K514" i="1"/>
  <c r="G515" i="1"/>
  <c r="H515" i="1"/>
  <c r="I515" i="1"/>
  <c r="J515" i="1"/>
  <c r="K515" i="1"/>
  <c r="G516" i="1"/>
  <c r="H516" i="1"/>
  <c r="I516" i="1"/>
  <c r="J516" i="1"/>
  <c r="K516" i="1"/>
  <c r="G517" i="1"/>
  <c r="H517" i="1"/>
  <c r="I517" i="1"/>
  <c r="J517" i="1"/>
  <c r="K517" i="1"/>
  <c r="G518" i="1"/>
  <c r="H518" i="1"/>
  <c r="I518" i="1"/>
  <c r="J518" i="1"/>
  <c r="K518" i="1"/>
  <c r="G519" i="1"/>
  <c r="H519" i="1"/>
  <c r="I519" i="1"/>
  <c r="J519" i="1"/>
  <c r="K519" i="1"/>
  <c r="G520" i="1"/>
  <c r="H520" i="1"/>
  <c r="I520" i="1"/>
  <c r="J520" i="1"/>
  <c r="K520" i="1"/>
  <c r="G521" i="1"/>
  <c r="H521" i="1"/>
  <c r="I521" i="1"/>
  <c r="J521" i="1"/>
  <c r="K521" i="1"/>
  <c r="G522" i="1"/>
  <c r="H522" i="1"/>
  <c r="I522" i="1"/>
  <c r="J522" i="1"/>
  <c r="K522" i="1"/>
  <c r="G523" i="1"/>
  <c r="H523" i="1"/>
  <c r="I523" i="1"/>
  <c r="J523" i="1"/>
  <c r="K523" i="1"/>
  <c r="G524" i="1"/>
  <c r="H524" i="1"/>
  <c r="I524" i="1"/>
  <c r="J524" i="1"/>
  <c r="K524" i="1"/>
  <c r="G525" i="1"/>
  <c r="H525" i="1"/>
  <c r="I525" i="1"/>
  <c r="J525" i="1"/>
  <c r="K525" i="1"/>
  <c r="D2" i="1"/>
  <c r="E2" i="1"/>
  <c r="D3" i="1"/>
  <c r="E3" i="1"/>
  <c r="D4" i="1"/>
  <c r="D526" i="1" s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8" i="1"/>
  <c r="C9" i="1"/>
  <c r="C10" i="1"/>
  <c r="C11" i="1"/>
  <c r="C12" i="1"/>
  <c r="C13" i="1"/>
  <c r="C3" i="1"/>
  <c r="C4" i="1"/>
  <c r="C5" i="1"/>
  <c r="C6" i="1"/>
  <c r="C7" i="1"/>
  <c r="C2" i="1"/>
  <c r="K527" i="5"/>
  <c r="J527" i="5"/>
  <c r="I527" i="5"/>
  <c r="H527" i="5"/>
  <c r="G527" i="5"/>
  <c r="F527" i="5"/>
  <c r="E527" i="5"/>
  <c r="D527" i="5"/>
  <c r="C527" i="5"/>
  <c r="K526" i="5"/>
  <c r="J526" i="5"/>
  <c r="I526" i="5"/>
  <c r="H526" i="5"/>
  <c r="G526" i="5"/>
  <c r="F526" i="5"/>
  <c r="E526" i="5"/>
  <c r="D526" i="5"/>
  <c r="C526" i="5"/>
  <c r="E526" i="1"/>
  <c r="H526" i="1"/>
  <c r="J526" i="1"/>
  <c r="E527" i="1"/>
  <c r="G527" i="1"/>
  <c r="H527" i="1"/>
  <c r="J527" i="1"/>
  <c r="I526" i="1" l="1"/>
  <c r="D527" i="1"/>
  <c r="C527" i="1"/>
  <c r="C526" i="1"/>
  <c r="V109" i="2"/>
  <c r="V108" i="2"/>
  <c r="V107" i="2"/>
  <c r="V106" i="2"/>
  <c r="V103" i="2"/>
  <c r="V102" i="2"/>
  <c r="V101" i="2"/>
  <c r="V100" i="2"/>
  <c r="V97" i="2"/>
  <c r="V96" i="2"/>
  <c r="V95" i="2"/>
  <c r="V94" i="2"/>
  <c r="V91" i="2"/>
  <c r="V90" i="2"/>
  <c r="V89" i="2"/>
  <c r="V88" i="2"/>
  <c r="V85" i="2"/>
  <c r="V84" i="2"/>
  <c r="V83" i="2"/>
  <c r="V82" i="2"/>
  <c r="V79" i="2"/>
  <c r="V78" i="2"/>
  <c r="V77" i="2"/>
  <c r="V76" i="2"/>
  <c r="V73" i="2"/>
  <c r="V72" i="2"/>
  <c r="V71" i="2"/>
  <c r="V70" i="2"/>
  <c r="V67" i="2"/>
  <c r="V66" i="2"/>
  <c r="V65" i="2"/>
  <c r="V64" i="2"/>
  <c r="V61" i="2"/>
  <c r="V60" i="2"/>
  <c r="V59" i="2"/>
  <c r="V58" i="2"/>
  <c r="V55" i="2"/>
  <c r="V54" i="2"/>
  <c r="V53" i="2"/>
  <c r="V52" i="2"/>
  <c r="V49" i="2"/>
  <c r="V48" i="2"/>
  <c r="V47" i="2"/>
  <c r="V46" i="2"/>
  <c r="V43" i="2"/>
  <c r="V42" i="2"/>
  <c r="V41" i="2"/>
  <c r="V40" i="2"/>
  <c r="V37" i="2"/>
  <c r="V36" i="2"/>
  <c r="V35" i="2"/>
  <c r="V34" i="2"/>
  <c r="V31" i="2"/>
  <c r="V30" i="2"/>
  <c r="V29" i="2"/>
  <c r="V28" i="2"/>
  <c r="V25" i="2"/>
  <c r="V24" i="2"/>
  <c r="V23" i="2"/>
  <c r="V22" i="2"/>
  <c r="V19" i="2"/>
  <c r="V18" i="2"/>
  <c r="V17" i="2"/>
  <c r="V16" i="2"/>
  <c r="V13" i="2"/>
  <c r="V12" i="2"/>
  <c r="V11" i="2"/>
  <c r="V10" i="2"/>
  <c r="V6" i="2"/>
  <c r="V5" i="2"/>
  <c r="V4" i="2"/>
  <c r="V3" i="2"/>
</calcChain>
</file>

<file path=xl/sharedStrings.xml><?xml version="1.0" encoding="utf-8"?>
<sst xmlns="http://schemas.openxmlformats.org/spreadsheetml/2006/main" count="1578" uniqueCount="169">
  <si>
    <t>Participant #</t>
  </si>
  <si>
    <t>Mode</t>
  </si>
  <si>
    <t>Speed</t>
  </si>
  <si>
    <t>Number Of Errors</t>
  </si>
  <si>
    <t>Response Time</t>
  </si>
  <si>
    <t>Number Of Steps</t>
  </si>
  <si>
    <t>Braking</t>
  </si>
  <si>
    <t>Acceleration</t>
  </si>
  <si>
    <t>Steering Wheel</t>
  </si>
  <si>
    <t>Distance</t>
  </si>
  <si>
    <t>Lane Changing</t>
  </si>
  <si>
    <t>Student 2</t>
  </si>
  <si>
    <t>Student 3</t>
  </si>
  <si>
    <t>Student 4</t>
  </si>
  <si>
    <t>Student 5</t>
  </si>
  <si>
    <t>Student 6</t>
  </si>
  <si>
    <t>Student 7</t>
  </si>
  <si>
    <t>Student 8</t>
  </si>
  <si>
    <t>Student 9</t>
  </si>
  <si>
    <t>Student 10</t>
  </si>
  <si>
    <t>Student 11</t>
  </si>
  <si>
    <t>Student 1</t>
  </si>
  <si>
    <t>Student 12</t>
  </si>
  <si>
    <t>Student 13</t>
  </si>
  <si>
    <t>Student 14</t>
  </si>
  <si>
    <t>Student 15</t>
  </si>
  <si>
    <t>Student 16</t>
  </si>
  <si>
    <t>Student 17</t>
  </si>
  <si>
    <t>LEAVE EMPTY! This is a template for copy and paste purpose only.</t>
  </si>
  <si>
    <t>Student #</t>
  </si>
  <si>
    <t>c</t>
  </si>
  <si>
    <t>Time</t>
  </si>
  <si>
    <t>4 actions</t>
  </si>
  <si>
    <t>Mistakes</t>
  </si>
  <si>
    <t>3 actions</t>
  </si>
  <si>
    <t>2 actions</t>
  </si>
  <si>
    <t>Mistakes:</t>
  </si>
  <si>
    <t>Mode 1</t>
  </si>
  <si>
    <t>4 action:</t>
  </si>
  <si>
    <t>Mode 2</t>
  </si>
  <si>
    <t>3 action:</t>
  </si>
  <si>
    <t>Mode 3</t>
  </si>
  <si>
    <t>2 action:</t>
  </si>
  <si>
    <t>USB 7</t>
  </si>
  <si>
    <t>Window up</t>
  </si>
  <si>
    <t>Radio FM</t>
  </si>
  <si>
    <t>High Beams</t>
  </si>
  <si>
    <t>Wiper Mode</t>
  </si>
  <si>
    <t>Radio AM</t>
  </si>
  <si>
    <t>Low Beams</t>
  </si>
  <si>
    <t>Bluetooth 3</t>
  </si>
  <si>
    <t>Don't be mad</t>
  </si>
  <si>
    <t>USB 3</t>
  </si>
  <si>
    <t>USB 8</t>
  </si>
  <si>
    <t>Wiper mode</t>
  </si>
  <si>
    <t>Wiper on</t>
  </si>
  <si>
    <t>Windows up</t>
  </si>
  <si>
    <t>Bluetooth 10</t>
  </si>
  <si>
    <t>Windows down</t>
  </si>
  <si>
    <t>Media Bluetooth</t>
  </si>
  <si>
    <t>High beams</t>
  </si>
  <si>
    <t>Low beam</t>
  </si>
  <si>
    <t>FM Menu</t>
  </si>
  <si>
    <t>Bluetooth 5</t>
  </si>
  <si>
    <t>Play song</t>
  </si>
  <si>
    <t>Wiper Change</t>
  </si>
  <si>
    <t>Low Beam</t>
  </si>
  <si>
    <t>Bluetooth 7</t>
  </si>
  <si>
    <t>High Beam</t>
  </si>
  <si>
    <t>Play Music</t>
  </si>
  <si>
    <t>FM Channel</t>
  </si>
  <si>
    <t>Recent Contacts</t>
  </si>
  <si>
    <t>USB 6</t>
  </si>
  <si>
    <t>Bluetooth 2</t>
  </si>
  <si>
    <t>Recent contacts</t>
  </si>
  <si>
    <t>Bluetooth 4</t>
  </si>
  <si>
    <t>Contact list</t>
  </si>
  <si>
    <t>Pause music</t>
  </si>
  <si>
    <t>Window down</t>
  </si>
  <si>
    <t>Pause Music</t>
  </si>
  <si>
    <t>Bluetooth 8</t>
  </si>
  <si>
    <t>Play music</t>
  </si>
  <si>
    <t>I'm done</t>
  </si>
  <si>
    <t>Bluetooth 1</t>
  </si>
  <si>
    <t>Student 18</t>
  </si>
  <si>
    <t>Student 19</t>
  </si>
  <si>
    <t>Student 20</t>
  </si>
  <si>
    <t>Student 21</t>
  </si>
  <si>
    <t>Student 22</t>
  </si>
  <si>
    <t>Fav 0 Canes</t>
  </si>
  <si>
    <t>Search 0 Starbucks</t>
  </si>
  <si>
    <t>Contacts 0 Miguel</t>
  </si>
  <si>
    <t>Contacts 0 Zach</t>
  </si>
  <si>
    <t>Recent 0 Zach</t>
  </si>
  <si>
    <t>Contacts 0 Seema</t>
  </si>
  <si>
    <t>Search 0 Canes</t>
  </si>
  <si>
    <t>Recent 0 Miguel</t>
  </si>
  <si>
    <t>Vol down 0 AM</t>
  </si>
  <si>
    <t>Vol 0 AM</t>
  </si>
  <si>
    <t>Search 0 Walmart</t>
  </si>
  <si>
    <t>Recent 0 Adam</t>
  </si>
  <si>
    <t>Search 0 Mobile</t>
  </si>
  <si>
    <t>Vol up 0 FM</t>
  </si>
  <si>
    <t>Channel up 0 FM</t>
  </si>
  <si>
    <t>Search 0 Shell</t>
  </si>
  <si>
    <t>Contacts 0 Bin</t>
  </si>
  <si>
    <t>Search 0 In n' Out</t>
  </si>
  <si>
    <t>Recent 0 Seema</t>
  </si>
  <si>
    <t>Fav 0 Walmart</t>
  </si>
  <si>
    <t>Media 0 I'm done</t>
  </si>
  <si>
    <t>Volume up 0 FM</t>
  </si>
  <si>
    <t>Contacts 0 Talab</t>
  </si>
  <si>
    <t>Recent 0 Shokoufeh</t>
  </si>
  <si>
    <t>5.00</t>
  </si>
  <si>
    <t>-</t>
  </si>
  <si>
    <t>15.41</t>
  </si>
  <si>
    <t>9.61</t>
  </si>
  <si>
    <t>2.67</t>
  </si>
  <si>
    <t>12.00</t>
  </si>
  <si>
    <t>7.25</t>
  </si>
  <si>
    <t>6.23</t>
  </si>
  <si>
    <t>7.10</t>
  </si>
  <si>
    <t>7.76</t>
  </si>
  <si>
    <t>9.34</t>
  </si>
  <si>
    <t>2.86</t>
  </si>
  <si>
    <t>3.00</t>
  </si>
  <si>
    <t>9.41</t>
  </si>
  <si>
    <t>5.40</t>
  </si>
  <si>
    <t>3.12</t>
  </si>
  <si>
    <t>9.00</t>
  </si>
  <si>
    <t>12.59</t>
  </si>
  <si>
    <t>5.63</t>
  </si>
  <si>
    <t>4.58</t>
  </si>
  <si>
    <t>Student 23</t>
  </si>
  <si>
    <t>4.57</t>
  </si>
  <si>
    <t>3.48</t>
  </si>
  <si>
    <t>2.14</t>
  </si>
  <si>
    <t>Student 24</t>
  </si>
  <si>
    <t>8.11</t>
  </si>
  <si>
    <t>5.49</t>
  </si>
  <si>
    <t>2.97</t>
  </si>
  <si>
    <t>Student 25</t>
  </si>
  <si>
    <t>0.00</t>
  </si>
  <si>
    <t>4.89</t>
  </si>
  <si>
    <t>3.05</t>
  </si>
  <si>
    <t>2.17</t>
  </si>
  <si>
    <t>Student 26</t>
  </si>
  <si>
    <t>4.84</t>
  </si>
  <si>
    <t>3.67</t>
  </si>
  <si>
    <t>2.56</t>
  </si>
  <si>
    <t>Student 27</t>
  </si>
  <si>
    <t>6.00</t>
  </si>
  <si>
    <t>7.72</t>
  </si>
  <si>
    <t>5.58</t>
  </si>
  <si>
    <t>6.84</t>
  </si>
  <si>
    <t>Student 28</t>
  </si>
  <si>
    <t>2.00</t>
  </si>
  <si>
    <t>4.27</t>
  </si>
  <si>
    <t>3.82</t>
  </si>
  <si>
    <t>3.84</t>
  </si>
  <si>
    <t>Student 29</t>
  </si>
  <si>
    <t>1.00</t>
  </si>
  <si>
    <t>5.03</t>
  </si>
  <si>
    <t>4.08</t>
  </si>
  <si>
    <t>3.20</t>
  </si>
  <si>
    <t>Student 30</t>
  </si>
  <si>
    <t>11.63</t>
  </si>
  <si>
    <t>5.53</t>
  </si>
  <si>
    <t>4.48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</si>
</sst>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rgb="FF000000"/>
      <name val="Arial"/>
    </font>
    <font>
      <sz val="10"/>
      <color rgb="FFFFFFFF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0"/>
      <color rgb="FF000000"/>
      <name val="Arial"/>
    </font>
    <font>
      <sz val="10"/>
      <color rgb="FFFFFFFF"/>
      <name val="Arial"/>
    </font>
    <font>
      <sz val="10"/>
      <name val="Arial"/>
    </font>
    <font>
      <b/>
      <sz val="10"/>
      <color rgb="FF000000"/>
      <name val="Arial"/>
    </font>
  </fonts>
  <fills count="9">
    <fill>
      <patternFill patternType="none"/>
    </fill>
    <fill>
      <patternFill patternType="gray125"/>
    </fill>
    <fill>
      <patternFill patternType="solid">
        <fgColor rgb="FF999999"/>
        <bgColor rgb="FF999999"/>
      </patternFill>
    </fill>
    <fill>
      <patternFill patternType="solid">
        <fgColor rgb="FFFFE599"/>
        <bgColor rgb="FFFFE599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rgb="FF000000"/>
        <bgColor rgb="FF000000"/>
      </patternFill>
    </fill>
    <fill>
      <patternFill patternType="solid">
        <fgColor rgb="FF0000FF"/>
        <bgColor rgb="FF0000FF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 applyFont="1" applyAlignment="1"/>
    <xf numFmtId="0" fontId="1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/>
    <xf numFmtId="0" fontId="1" fillId="5" borderId="0" xfId="0" applyFont="1" applyFill="1" applyAlignment="1"/>
    <xf numFmtId="0" fontId="3" fillId="5" borderId="0" xfId="0" applyFont="1" applyFill="1" applyAlignment="1"/>
    <xf numFmtId="0" fontId="4" fillId="5" borderId="0" xfId="0" applyFont="1" applyFill="1" applyAlignment="1"/>
    <xf numFmtId="0" fontId="3" fillId="5" borderId="0" xfId="0" applyFont="1" applyFill="1" applyAlignment="1">
      <alignment horizontal="right"/>
    </xf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2" fillId="0" borderId="0" xfId="0" applyFont="1" applyAlignment="1"/>
    <xf numFmtId="2" fontId="2" fillId="0" borderId="0" xfId="0" applyNumberFormat="1" applyFont="1"/>
    <xf numFmtId="0" fontId="2" fillId="0" borderId="0" xfId="0" applyFont="1" applyAlignment="1">
      <alignment horizontal="center"/>
    </xf>
    <xf numFmtId="0" fontId="1" fillId="8" borderId="2" xfId="0" applyFont="1" applyFill="1" applyBorder="1" applyAlignment="1"/>
    <xf numFmtId="0" fontId="2" fillId="0" borderId="3" xfId="0" applyFont="1" applyBorder="1" applyAlignment="1"/>
    <xf numFmtId="0" fontId="2" fillId="0" borderId="3" xfId="0" applyFont="1" applyBorder="1" applyAlignment="1">
      <alignment horizontal="right"/>
    </xf>
    <xf numFmtId="0" fontId="1" fillId="8" borderId="3" xfId="0" applyFont="1" applyFill="1" applyBorder="1" applyAlignment="1"/>
    <xf numFmtId="0" fontId="1" fillId="8" borderId="4" xfId="0" applyFont="1" applyFill="1" applyBorder="1" applyAlignment="1"/>
    <xf numFmtId="0" fontId="2" fillId="0" borderId="4" xfId="0" applyFont="1" applyBorder="1" applyAlignment="1"/>
    <xf numFmtId="0" fontId="2" fillId="0" borderId="4" xfId="0" applyFont="1" applyBorder="1" applyAlignment="1">
      <alignment horizontal="right"/>
    </xf>
    <xf numFmtId="0" fontId="2" fillId="5" borderId="0" xfId="0" applyFont="1" applyFill="1" applyAlignment="1"/>
    <xf numFmtId="2" fontId="2" fillId="5" borderId="0" xfId="0" applyNumberFormat="1" applyFont="1" applyFill="1" applyAlignment="1"/>
    <xf numFmtId="0" fontId="2" fillId="5" borderId="5" xfId="0" applyFont="1" applyFill="1" applyBorder="1" applyAlignment="1"/>
    <xf numFmtId="0" fontId="4" fillId="5" borderId="5" xfId="0" applyFont="1" applyFill="1" applyBorder="1" applyAlignment="1"/>
    <xf numFmtId="0" fontId="2" fillId="0" borderId="5" xfId="0" applyFont="1" applyBorder="1" applyAlignment="1"/>
    <xf numFmtId="0" fontId="2" fillId="5" borderId="6" xfId="0" applyFont="1" applyFill="1" applyBorder="1" applyAlignment="1"/>
    <xf numFmtId="0" fontId="1" fillId="7" borderId="6" xfId="0" applyFont="1" applyFill="1" applyBorder="1" applyAlignment="1">
      <alignment horizontal="center"/>
    </xf>
    <xf numFmtId="0" fontId="2" fillId="0" borderId="7" xfId="0" applyFont="1" applyBorder="1" applyAlignment="1"/>
    <xf numFmtId="0" fontId="2" fillId="0" borderId="7" xfId="0" applyFont="1" applyBorder="1" applyAlignment="1">
      <alignment horizontal="right"/>
    </xf>
    <xf numFmtId="0" fontId="2" fillId="0" borderId="6" xfId="0" applyFont="1" applyBorder="1" applyAlignment="1"/>
    <xf numFmtId="0" fontId="2" fillId="0" borderId="6" xfId="0" applyFont="1" applyBorder="1" applyAlignment="1">
      <alignment horizontal="right"/>
    </xf>
    <xf numFmtId="0" fontId="1" fillId="7" borderId="4" xfId="0" applyFont="1" applyFill="1" applyBorder="1" applyAlignment="1">
      <alignment horizontal="center"/>
    </xf>
    <xf numFmtId="0" fontId="2" fillId="0" borderId="2" xfId="0" applyFont="1" applyBorder="1" applyAlignment="1"/>
    <xf numFmtId="0" fontId="2" fillId="0" borderId="2" xfId="0" applyFont="1" applyBorder="1" applyAlignment="1">
      <alignment horizontal="right"/>
    </xf>
    <xf numFmtId="0" fontId="1" fillId="5" borderId="0" xfId="0" applyFont="1" applyFill="1"/>
    <xf numFmtId="0" fontId="2" fillId="0" borderId="0" xfId="0" applyFont="1" applyAlignment="1">
      <alignment horizontal="right"/>
    </xf>
    <xf numFmtId="0" fontId="5" fillId="0" borderId="0" xfId="0" applyFont="1" applyAlignment="1"/>
    <xf numFmtId="0" fontId="1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center" vertical="center"/>
      <protection locked="0"/>
    </xf>
    <xf numFmtId="0" fontId="2" fillId="4" borderId="10" xfId="0" applyFont="1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 applyProtection="1">
      <alignment horizontal="center" vertical="center"/>
      <protection locked="0"/>
    </xf>
    <xf numFmtId="0" fontId="2" fillId="3" borderId="9" xfId="0" applyFont="1" applyFill="1" applyBorder="1" applyAlignment="1" applyProtection="1">
      <alignment horizontal="center" vertical="center"/>
      <protection locked="0"/>
    </xf>
    <xf numFmtId="0" fontId="2" fillId="4" borderId="11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/>
    <xf numFmtId="0" fontId="6" fillId="5" borderId="0" xfId="0" applyFont="1" applyFill="1" applyAlignment="1"/>
    <xf numFmtId="0" fontId="9" fillId="5" borderId="0" xfId="0" applyFont="1" applyFill="1" applyAlignment="1"/>
    <xf numFmtId="0" fontId="6" fillId="5" borderId="0" xfId="0" applyFont="1" applyFill="1" applyAlignment="1">
      <alignment horizontal="right"/>
    </xf>
    <xf numFmtId="0" fontId="6" fillId="5" borderId="0" xfId="0" applyFont="1" applyFill="1"/>
    <xf numFmtId="2" fontId="6" fillId="5" borderId="0" xfId="0" applyNumberFormat="1" applyFont="1" applyFill="1"/>
    <xf numFmtId="0" fontId="6" fillId="5" borderId="0" xfId="0" applyFont="1" applyFill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8" fillId="0" borderId="0" xfId="0" applyFont="1" applyAlignment="1"/>
    <xf numFmtId="2" fontId="8" fillId="0" borderId="0" xfId="0" applyNumberFormat="1" applyFont="1"/>
    <xf numFmtId="0" fontId="7" fillId="8" borderId="2" xfId="0" applyFont="1" applyFill="1" applyBorder="1" applyAlignment="1"/>
    <xf numFmtId="0" fontId="8" fillId="0" borderId="3" xfId="0" applyFont="1" applyBorder="1" applyAlignment="1"/>
    <xf numFmtId="0" fontId="8" fillId="0" borderId="3" xfId="0" applyFont="1" applyBorder="1" applyAlignment="1">
      <alignment horizontal="right"/>
    </xf>
    <xf numFmtId="0" fontId="7" fillId="8" borderId="3" xfId="0" applyFont="1" applyFill="1" applyBorder="1" applyAlignment="1"/>
    <xf numFmtId="0" fontId="7" fillId="8" borderId="4" xfId="0" applyFont="1" applyFill="1" applyBorder="1" applyAlignment="1"/>
    <xf numFmtId="0" fontId="8" fillId="0" borderId="4" xfId="0" applyFont="1" applyBorder="1" applyAlignment="1"/>
    <xf numFmtId="0" fontId="8" fillId="0" borderId="4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" fillId="6" borderId="0" xfId="0" applyFont="1" applyFill="1" applyAlignment="1">
      <alignment horizontal="center" vertical="center"/>
    </xf>
    <xf numFmtId="0" fontId="0" fillId="0" borderId="0" xfId="0" applyFont="1" applyAlignme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27"/>
  <sheetViews>
    <sheetView tabSelected="1" zoomScale="115" zoomScaleNormal="115" workbookViewId="0">
      <pane ySplit="1" topLeftCell="A2" activePane="bottomLeft" state="frozen"/>
      <selection activeCell="C11" sqref="C11"/>
      <selection pane="bottomLeft" activeCell="B2" sqref="B2"/>
    </sheetView>
  </sheetViews>
  <sheetFormatPr defaultColWidth="14.42578125" defaultRowHeight="15.75" customHeight="1" x14ac:dyDescent="0.2"/>
  <cols>
    <col min="1" max="1" width="14.42578125" style="47"/>
    <col min="2" max="2" width="11.85546875" style="47" customWidth="1"/>
    <col min="3" max="3" width="14.42578125" style="47"/>
    <col min="4" max="4" width="17.140625" style="47" customWidth="1"/>
    <col min="5" max="5" width="17.42578125" style="47" customWidth="1"/>
    <col min="6" max="6" width="18.42578125" style="47" customWidth="1"/>
    <col min="7" max="8" width="15.140625" style="47" customWidth="1"/>
    <col min="9" max="9" width="16.5703125" style="47" customWidth="1"/>
    <col min="10" max="10" width="14.42578125" style="47"/>
    <col min="11" max="11" width="15.42578125" style="47" customWidth="1"/>
    <col min="12" max="12" width="18.28515625" style="47" customWidth="1"/>
    <col min="13" max="13" width="16.7109375" style="47" customWidth="1"/>
    <col min="14" max="14" width="17.42578125" style="47" customWidth="1"/>
    <col min="15" max="16" width="12.28515625" style="47" customWidth="1"/>
    <col min="17" max="16384" width="14.42578125" style="47"/>
  </cols>
  <sheetData>
    <row r="1" spans="1:11" ht="48" customHeight="1" x14ac:dyDescent="0.2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</row>
    <row r="2" spans="1:11" ht="12.75" x14ac:dyDescent="0.2">
      <c r="A2" s="48">
        <v>1</v>
      </c>
      <c r="B2" s="48">
        <f>('Sheet1 (2)'!B2-'Sheet1 (2)'!B$526)/'Sheet1 (2)'!B$527</f>
        <v>-1.2242915745870349</v>
      </c>
      <c r="C2" s="48">
        <f>('Sheet1 (2)'!C2-'Sheet1 (2)'!C$526)/'Sheet1 (2)'!C$527</f>
        <v>0.50601539590721611</v>
      </c>
      <c r="D2" s="48">
        <f>('Sheet1 (2)'!D2-'Sheet1 (2)'!D$526)/'Sheet1 (2)'!D$527</f>
        <v>-0.4704097020702403</v>
      </c>
      <c r="E2" s="48">
        <f>('Sheet1 (2)'!E2-'Sheet1 (2)'!E$526)/'Sheet1 (2)'!E$527</f>
        <v>0.77304318507790915</v>
      </c>
      <c r="F2" s="48">
        <f>('Sheet1 (2)'!F2-'Sheet1 (2)'!F$526)/'Sheet1 (2)'!F$527</f>
        <v>1.2684811135846812</v>
      </c>
      <c r="G2" s="48">
        <f>('Sheet1 (2)'!G2-'Sheet1 (2)'!G$526)/'Sheet1 (2)'!G$527</f>
        <v>-0.50144115274505707</v>
      </c>
      <c r="H2" s="48">
        <f>('Sheet1 (2)'!H2-'Sheet1 (2)'!H$526)/'Sheet1 (2)'!H$527</f>
        <v>0.80634230384870942</v>
      </c>
      <c r="I2" s="48">
        <f>('Sheet1 (2)'!I2-'Sheet1 (2)'!I$526)/'Sheet1 (2)'!I$527</f>
        <v>0.68130871582098251</v>
      </c>
      <c r="J2" s="48">
        <f>('Sheet1 (2)'!J2-'Sheet1 (2)'!J$526)/'Sheet1 (2)'!J$527</f>
        <v>3.3869971299232304</v>
      </c>
      <c r="K2" s="48">
        <f>('Sheet1 (2)'!K2-'Sheet1 (2)'!K$526)/'Sheet1 (2)'!K$527</f>
        <v>0.82336200518587632</v>
      </c>
    </row>
    <row r="3" spans="1:11" ht="12.75" x14ac:dyDescent="0.2">
      <c r="A3" s="49">
        <v>1</v>
      </c>
      <c r="B3" s="48">
        <f>('Sheet1 (2)'!B3-'Sheet1 (2)'!B$526)/'Sheet1 (2)'!B$527</f>
        <v>-1.2242915745870349</v>
      </c>
      <c r="C3" s="48">
        <f>('Sheet1 (2)'!C3-'Sheet1 (2)'!C$526)/'Sheet1 (2)'!C$527</f>
        <v>2.0967868878138389E-2</v>
      </c>
      <c r="D3" s="48">
        <f>('Sheet1 (2)'!D3-'Sheet1 (2)'!D$526)/'Sheet1 (2)'!D$527</f>
        <v>-0.4704097020702403</v>
      </c>
      <c r="E3" s="48">
        <f>('Sheet1 (2)'!E3-'Sheet1 (2)'!E$526)/'Sheet1 (2)'!E$527</f>
        <v>0.62140040443597433</v>
      </c>
      <c r="F3" s="48">
        <f>('Sheet1 (2)'!F3-'Sheet1 (2)'!F$526)/'Sheet1 (2)'!F$527</f>
        <v>1.2684811135846812</v>
      </c>
      <c r="G3" s="48">
        <f>('Sheet1 (2)'!G3-'Sheet1 (2)'!G$526)/'Sheet1 (2)'!G$527</f>
        <v>0.68463900427933377</v>
      </c>
      <c r="H3" s="48">
        <f>('Sheet1 (2)'!H3-'Sheet1 (2)'!H$526)/'Sheet1 (2)'!H$527</f>
        <v>3.316617457147026E-2</v>
      </c>
      <c r="I3" s="48">
        <f>('Sheet1 (2)'!I3-'Sheet1 (2)'!I$526)/'Sheet1 (2)'!I$527</f>
        <v>-0.7489613999726602</v>
      </c>
      <c r="J3" s="48">
        <f>('Sheet1 (2)'!J3-'Sheet1 (2)'!J$526)/'Sheet1 (2)'!J$527</f>
        <v>0.47820539102165044</v>
      </c>
      <c r="K3" s="48">
        <f>('Sheet1 (2)'!K3-'Sheet1 (2)'!K$526)/'Sheet1 (2)'!K$527</f>
        <v>9.3355909702012282E-2</v>
      </c>
    </row>
    <row r="4" spans="1:11" ht="12.75" x14ac:dyDescent="0.2">
      <c r="A4" s="50">
        <v>1</v>
      </c>
      <c r="B4" s="48">
        <f>('Sheet1 (2)'!B4-'Sheet1 (2)'!B$526)/'Sheet1 (2)'!B$527</f>
        <v>-1.2242915745870349</v>
      </c>
      <c r="C4" s="48">
        <f>('Sheet1 (2)'!C4-'Sheet1 (2)'!C$526)/'Sheet1 (2)'!C$527</f>
        <v>0.56826664149284234</v>
      </c>
      <c r="D4" s="48">
        <f>('Sheet1 (2)'!D4-'Sheet1 (2)'!D$526)/'Sheet1 (2)'!D$527</f>
        <v>1.4257032508898051</v>
      </c>
      <c r="E4" s="48">
        <f>('Sheet1 (2)'!E4-'Sheet1 (2)'!E$526)/'Sheet1 (2)'!E$527</f>
        <v>0.70181703053397015</v>
      </c>
      <c r="F4" s="48">
        <f>('Sheet1 (2)'!F4-'Sheet1 (2)'!F$526)/'Sheet1 (2)'!F$527</f>
        <v>3.5300958634082259E-2</v>
      </c>
      <c r="G4" s="48">
        <f>('Sheet1 (2)'!G4-'Sheet1 (2)'!G$526)/'Sheet1 (2)'!G$527</f>
        <v>-0.46066517629729448</v>
      </c>
      <c r="H4" s="48">
        <f>('Sheet1 (2)'!H4-'Sheet1 (2)'!H$526)/'Sheet1 (2)'!H$527</f>
        <v>0.7312196331512405</v>
      </c>
      <c r="I4" s="48">
        <f>('Sheet1 (2)'!I4-'Sheet1 (2)'!I$526)/'Sheet1 (2)'!I$527</f>
        <v>-0.23146974071606619</v>
      </c>
      <c r="J4" s="48">
        <f>('Sheet1 (2)'!J4-'Sheet1 (2)'!J$526)/'Sheet1 (2)'!J$527</f>
        <v>-2.0078486356127485E-2</v>
      </c>
      <c r="K4" s="48">
        <f>('Sheet1 (2)'!K4-'Sheet1 (2)'!K$526)/'Sheet1 (2)'!K$527</f>
        <v>2.4508494114665866E-2</v>
      </c>
    </row>
    <row r="5" spans="1:11" ht="12.75" x14ac:dyDescent="0.2">
      <c r="A5" s="49">
        <v>1</v>
      </c>
      <c r="B5" s="48">
        <f>('Sheet1 (2)'!B5-'Sheet1 (2)'!B$526)/'Sheet1 (2)'!B$527</f>
        <v>-1.2242915745870349</v>
      </c>
      <c r="C5" s="48">
        <f>('Sheet1 (2)'!C5-'Sheet1 (2)'!C$526)/'Sheet1 (2)'!C$527</f>
        <v>-0.73233944301856913</v>
      </c>
      <c r="D5" s="48">
        <f>('Sheet1 (2)'!D5-'Sheet1 (2)'!D$526)/'Sheet1 (2)'!D$527</f>
        <v>-0.4704097020702403</v>
      </c>
      <c r="E5" s="48">
        <f>('Sheet1 (2)'!E5-'Sheet1 (2)'!E$526)/'Sheet1 (2)'!E$527</f>
        <v>-0.5021347430474552</v>
      </c>
      <c r="F5" s="48">
        <f>('Sheet1 (2)'!F5-'Sheet1 (2)'!F$526)/'Sheet1 (2)'!F$527</f>
        <v>3.5300958634082259E-2</v>
      </c>
      <c r="G5" s="48">
        <f>('Sheet1 (2)'!G5-'Sheet1 (2)'!G$526)/'Sheet1 (2)'!G$527</f>
        <v>-0.19812511741433222</v>
      </c>
      <c r="H5" s="48">
        <f>('Sheet1 (2)'!H5-'Sheet1 (2)'!H$526)/'Sheet1 (2)'!H$527</f>
        <v>-1.3456285221804234</v>
      </c>
      <c r="I5" s="48">
        <f>('Sheet1 (2)'!I5-'Sheet1 (2)'!I$526)/'Sheet1 (2)'!I$527</f>
        <v>0.60670529210889679</v>
      </c>
      <c r="J5" s="48">
        <f>('Sheet1 (2)'!J5-'Sheet1 (2)'!J$526)/'Sheet1 (2)'!J$527</f>
        <v>0.1389383754494595</v>
      </c>
      <c r="K5" s="48">
        <f>('Sheet1 (2)'!K5-'Sheet1 (2)'!K$526)/'Sheet1 (2)'!K$527</f>
        <v>-0.27211274274407221</v>
      </c>
    </row>
    <row r="6" spans="1:11" ht="12.75" x14ac:dyDescent="0.2">
      <c r="A6" s="50">
        <v>1</v>
      </c>
      <c r="B6" s="48">
        <f>('Sheet1 (2)'!B6-'Sheet1 (2)'!B$526)/'Sheet1 (2)'!B$527</f>
        <v>-1.2242915745870349</v>
      </c>
      <c r="C6" s="48">
        <f>('Sheet1 (2)'!C6-'Sheet1 (2)'!C$526)/'Sheet1 (2)'!C$527</f>
        <v>-1.353751980213683</v>
      </c>
      <c r="D6" s="48">
        <f>('Sheet1 (2)'!D6-'Sheet1 (2)'!D$526)/'Sheet1 (2)'!D$527</f>
        <v>-0.4704097020702403</v>
      </c>
      <c r="E6" s="48">
        <f>('Sheet1 (2)'!E6-'Sheet1 (2)'!E$526)/'Sheet1 (2)'!E$527</f>
        <v>-0.83528933688201001</v>
      </c>
      <c r="F6" s="48">
        <f>('Sheet1 (2)'!F6-'Sheet1 (2)'!F$526)/'Sheet1 (2)'!F$527</f>
        <v>-1.1978791963165167</v>
      </c>
      <c r="G6" s="48">
        <f>('Sheet1 (2)'!G6-'Sheet1 (2)'!G$526)/'Sheet1 (2)'!G$527</f>
        <v>3.508485314655533E-2</v>
      </c>
      <c r="H6" s="48">
        <f>('Sheet1 (2)'!H6-'Sheet1 (2)'!H$526)/'Sheet1 (2)'!H$527</f>
        <v>-0.99907496723448797</v>
      </c>
      <c r="I6" s="48">
        <f>('Sheet1 (2)'!I6-'Sheet1 (2)'!I$526)/'Sheet1 (2)'!I$527</f>
        <v>-1.051829030565008</v>
      </c>
      <c r="J6" s="48">
        <f>('Sheet1 (2)'!J6-'Sheet1 (2)'!J$526)/'Sheet1 (2)'!J$527</f>
        <v>-0.33031017760520071</v>
      </c>
      <c r="K6" s="48">
        <f>('Sheet1 (2)'!K6-'Sheet1 (2)'!K$526)/'Sheet1 (2)'!K$527</f>
        <v>0.26016655504303976</v>
      </c>
    </row>
    <row r="7" spans="1:11" ht="12.75" x14ac:dyDescent="0.2">
      <c r="A7" s="51">
        <v>1</v>
      </c>
      <c r="B7" s="48">
        <f>('Sheet1 (2)'!B7-'Sheet1 (2)'!B$526)/'Sheet1 (2)'!B$527</f>
        <v>-1.2242915745870349</v>
      </c>
      <c r="C7" s="48">
        <f>('Sheet1 (2)'!C7-'Sheet1 (2)'!C$526)/'Sheet1 (2)'!C$527</f>
        <v>1.9652117121194638E-2</v>
      </c>
      <c r="D7" s="48">
        <f>('Sheet1 (2)'!D7-'Sheet1 (2)'!D$526)/'Sheet1 (2)'!D$527</f>
        <v>-0.4704097020702403</v>
      </c>
      <c r="E7" s="48">
        <f>('Sheet1 (2)'!E7-'Sheet1 (2)'!E$526)/'Sheet1 (2)'!E$527</f>
        <v>-0.37576575917917587</v>
      </c>
      <c r="F7" s="48">
        <f>('Sheet1 (2)'!F7-'Sheet1 (2)'!F$526)/'Sheet1 (2)'!F$527</f>
        <v>-1.1978791963165167</v>
      </c>
      <c r="G7" s="48">
        <f>('Sheet1 (2)'!G7-'Sheet1 (2)'!G$526)/'Sheet1 (2)'!G$527</f>
        <v>-0.37553638336249201</v>
      </c>
      <c r="H7" s="48">
        <f>('Sheet1 (2)'!H7-'Sheet1 (2)'!H$526)/'Sheet1 (2)'!H$527</f>
        <v>3.7358173142569928</v>
      </c>
      <c r="I7" s="48">
        <f>('Sheet1 (2)'!I7-'Sheet1 (2)'!I$526)/'Sheet1 (2)'!I$527</f>
        <v>0.49702712441277086</v>
      </c>
      <c r="J7" s="48">
        <f>('Sheet1 (2)'!J7-'Sheet1 (2)'!J$526)/'Sheet1 (2)'!J$527</f>
        <v>-0.40259558237596599</v>
      </c>
      <c r="K7" s="48">
        <f>('Sheet1 (2)'!K7-'Sheet1 (2)'!K$526)/'Sheet1 (2)'!K$527</f>
        <v>-0.25808252099227763</v>
      </c>
    </row>
    <row r="8" spans="1:11" ht="12.75" x14ac:dyDescent="0.2">
      <c r="A8" s="48">
        <v>1</v>
      </c>
      <c r="B8" s="48">
        <f>('Sheet1 (2)'!B8-'Sheet1 (2)'!B$526)/'Sheet1 (2)'!B$527</f>
        <v>1.1794716518179513E-2</v>
      </c>
      <c r="C8" s="48">
        <f>('Sheet1 (2)'!C8-'Sheet1 (2)'!C$526)/'Sheet1 (2)'!C$527</f>
        <v>1.1054623172410016</v>
      </c>
      <c r="D8" s="48">
        <f>('Sheet1 (2)'!D8-'Sheet1 (2)'!D$526)/'Sheet1 (2)'!D$527</f>
        <v>-0.4704097020702403</v>
      </c>
      <c r="E8" s="48">
        <f>('Sheet1 (2)'!E8-'Sheet1 (2)'!E$526)/'Sheet1 (2)'!E$527</f>
        <v>-0.34819434451700582</v>
      </c>
      <c r="F8" s="48">
        <f>('Sheet1 (2)'!F8-'Sheet1 (2)'!F$526)/'Sheet1 (2)'!F$527</f>
        <v>1.2684811135846812</v>
      </c>
      <c r="G8" s="48">
        <f>('Sheet1 (2)'!G8-'Sheet1 (2)'!G$526)/'Sheet1 (2)'!G$527</f>
        <v>-0.50144115274505707</v>
      </c>
      <c r="H8" s="48">
        <f>('Sheet1 (2)'!H8-'Sheet1 (2)'!H$526)/'Sheet1 (2)'!H$527</f>
        <v>3.8200884841615395</v>
      </c>
      <c r="I8" s="48">
        <f>('Sheet1 (2)'!I8-'Sheet1 (2)'!I$526)/'Sheet1 (2)'!I$527</f>
        <v>0.71051867189169504</v>
      </c>
      <c r="J8" s="48">
        <f>('Sheet1 (2)'!J8-'Sheet1 (2)'!J$526)/'Sheet1 (2)'!J$527</f>
        <v>-0.83945425120312078</v>
      </c>
      <c r="K8" s="48">
        <f>('Sheet1 (2)'!K8-'Sheet1 (2)'!K$526)/'Sheet1 (2)'!K$527</f>
        <v>-1.0057370078819696</v>
      </c>
    </row>
    <row r="9" spans="1:11" ht="12.75" x14ac:dyDescent="0.2">
      <c r="A9" s="49">
        <v>1</v>
      </c>
      <c r="B9" s="48">
        <f>('Sheet1 (2)'!B9-'Sheet1 (2)'!B$526)/'Sheet1 (2)'!B$527</f>
        <v>1.1794716518179513E-2</v>
      </c>
      <c r="C9" s="48">
        <f>('Sheet1 (2)'!C9-'Sheet1 (2)'!C$526)/'Sheet1 (2)'!C$527</f>
        <v>2.9314954538062499</v>
      </c>
      <c r="D9" s="48">
        <f>('Sheet1 (2)'!D9-'Sheet1 (2)'!D$526)/'Sheet1 (2)'!D$527</f>
        <v>-0.4704097020702403</v>
      </c>
      <c r="E9" s="48">
        <f>('Sheet1 (2)'!E9-'Sheet1 (2)'!E$526)/'Sheet1 (2)'!E$527</f>
        <v>-0.17357538498992889</v>
      </c>
      <c r="F9" s="48">
        <f>('Sheet1 (2)'!F9-'Sheet1 (2)'!F$526)/'Sheet1 (2)'!F$527</f>
        <v>1.2684811135846812</v>
      </c>
      <c r="G9" s="48">
        <f>('Sheet1 (2)'!G9-'Sheet1 (2)'!G$526)/'Sheet1 (2)'!G$527</f>
        <v>-0.32753546563120939</v>
      </c>
      <c r="H9" s="48">
        <f>('Sheet1 (2)'!H9-'Sheet1 (2)'!H$526)/'Sheet1 (2)'!H$527</f>
        <v>3.9666131749955853</v>
      </c>
      <c r="I9" s="48">
        <f>('Sheet1 (2)'!I9-'Sheet1 (2)'!I$526)/'Sheet1 (2)'!I$527</f>
        <v>-0.63331886200789689</v>
      </c>
      <c r="J9" s="48">
        <f>('Sheet1 (2)'!J9-'Sheet1 (2)'!J$526)/'Sheet1 (2)'!J$527</f>
        <v>2.1336062295774676</v>
      </c>
      <c r="K9" s="48">
        <f>('Sheet1 (2)'!K9-'Sheet1 (2)'!K$526)/'Sheet1 (2)'!K$527</f>
        <v>-0.84744603175491007</v>
      </c>
    </row>
    <row r="10" spans="1:11" ht="12.75" x14ac:dyDescent="0.2">
      <c r="A10" s="50">
        <v>1</v>
      </c>
      <c r="B10" s="48">
        <f>('Sheet1 (2)'!B10-'Sheet1 (2)'!B$526)/'Sheet1 (2)'!B$527</f>
        <v>1.1794716518179513E-2</v>
      </c>
      <c r="C10" s="48">
        <f>('Sheet1 (2)'!C10-'Sheet1 (2)'!C$526)/'Sheet1 (2)'!C$527</f>
        <v>3.4154054940028948</v>
      </c>
      <c r="D10" s="48">
        <f>('Sheet1 (2)'!D10-'Sheet1 (2)'!D$526)/'Sheet1 (2)'!D$527</f>
        <v>-0.4704097020702403</v>
      </c>
      <c r="E10" s="48">
        <f>('Sheet1 (2)'!E10-'Sheet1 (2)'!E$526)/'Sheet1 (2)'!E$527</f>
        <v>-0.12073017355410288</v>
      </c>
      <c r="F10" s="48">
        <f>('Sheet1 (2)'!F10-'Sheet1 (2)'!F$526)/'Sheet1 (2)'!F$527</f>
        <v>3.5300958634082259E-2</v>
      </c>
      <c r="G10" s="48">
        <f>('Sheet1 (2)'!G10-'Sheet1 (2)'!G$526)/'Sheet1 (2)'!G$527</f>
        <v>-0.43351859428868506</v>
      </c>
      <c r="H10" s="48">
        <f>('Sheet1 (2)'!H10-'Sheet1 (2)'!H$526)/'Sheet1 (2)'!H$527</f>
        <v>5.8549215996718225</v>
      </c>
      <c r="I10" s="48">
        <f>('Sheet1 (2)'!I10-'Sheet1 (2)'!I$526)/'Sheet1 (2)'!I$527</f>
        <v>0.64914009137216633</v>
      </c>
      <c r="J10" s="48">
        <f>('Sheet1 (2)'!J10-'Sheet1 (2)'!J$526)/'Sheet1 (2)'!J$527</f>
        <v>1.4690321230598826</v>
      </c>
      <c r="K10" s="48">
        <f>('Sheet1 (2)'!K10-'Sheet1 (2)'!K$526)/'Sheet1 (2)'!K$527</f>
        <v>0.18812067174154631</v>
      </c>
    </row>
    <row r="11" spans="1:11" ht="12.75" x14ac:dyDescent="0.2">
      <c r="A11" s="49">
        <v>1</v>
      </c>
      <c r="B11" s="48">
        <f>('Sheet1 (2)'!B11-'Sheet1 (2)'!B$526)/'Sheet1 (2)'!B$527</f>
        <v>1.1794716518179513E-2</v>
      </c>
      <c r="C11" s="48">
        <f>('Sheet1 (2)'!C11-'Sheet1 (2)'!C$526)/'Sheet1 (2)'!C$527</f>
        <v>3.2380192571666742</v>
      </c>
      <c r="D11" s="48">
        <f>('Sheet1 (2)'!D11-'Sheet1 (2)'!D$526)/'Sheet1 (2)'!D$527</f>
        <v>-0.4704097020702403</v>
      </c>
      <c r="E11" s="48">
        <f>('Sheet1 (2)'!E11-'Sheet1 (2)'!E$526)/'Sheet1 (2)'!E$527</f>
        <v>-0.66986084890898978</v>
      </c>
      <c r="F11" s="48">
        <f>('Sheet1 (2)'!F11-'Sheet1 (2)'!F$526)/'Sheet1 (2)'!F$527</f>
        <v>3.5300958634082259E-2</v>
      </c>
      <c r="G11" s="48">
        <f>('Sheet1 (2)'!G11-'Sheet1 (2)'!G$526)/'Sheet1 (2)'!G$527</f>
        <v>-0.50094744251839185</v>
      </c>
      <c r="H11" s="48">
        <f>('Sheet1 (2)'!H11-'Sheet1 (2)'!H$526)/'Sheet1 (2)'!H$527</f>
        <v>5.144739446383527</v>
      </c>
      <c r="I11" s="48">
        <f>('Sheet1 (2)'!I11-'Sheet1 (2)'!I$526)/'Sheet1 (2)'!I$527</f>
        <v>-0.75137205898930537</v>
      </c>
      <c r="J11" s="48">
        <f>('Sheet1 (2)'!J11-'Sheet1 (2)'!J$526)/'Sheet1 (2)'!J$527</f>
        <v>-0.2178352908789179</v>
      </c>
      <c r="K11" s="48">
        <f>('Sheet1 (2)'!K11-'Sheet1 (2)'!K$526)/'Sheet1 (2)'!K$527</f>
        <v>0.38598990979871806</v>
      </c>
    </row>
    <row r="12" spans="1:11" ht="12.75" x14ac:dyDescent="0.2">
      <c r="A12" s="50">
        <v>1</v>
      </c>
      <c r="B12" s="48">
        <f>('Sheet1 (2)'!B12-'Sheet1 (2)'!B$526)/'Sheet1 (2)'!B$527</f>
        <v>1.1794716518179513E-2</v>
      </c>
      <c r="C12" s="48">
        <f>('Sheet1 (2)'!C12-'Sheet1 (2)'!C$526)/'Sheet1 (2)'!C$527</f>
        <v>3.1409839008568645</v>
      </c>
      <c r="D12" s="48">
        <f>('Sheet1 (2)'!D12-'Sheet1 (2)'!D$526)/'Sheet1 (2)'!D$527</f>
        <v>-0.4704097020702403</v>
      </c>
      <c r="E12" s="48">
        <f>('Sheet1 (2)'!E12-'Sheet1 (2)'!E$526)/'Sheet1 (2)'!E$527</f>
        <v>-0.95936070286177522</v>
      </c>
      <c r="F12" s="48">
        <f>('Sheet1 (2)'!F12-'Sheet1 (2)'!F$526)/'Sheet1 (2)'!F$527</f>
        <v>-1.1978791963165167</v>
      </c>
      <c r="G12" s="48">
        <f>('Sheet1 (2)'!G12-'Sheet1 (2)'!G$526)/'Sheet1 (2)'!G$527</f>
        <v>-0.50144115274505707</v>
      </c>
      <c r="H12" s="48">
        <f>('Sheet1 (2)'!H12-'Sheet1 (2)'!H$526)/'Sheet1 (2)'!H$527</f>
        <v>4.3478696059089881</v>
      </c>
      <c r="I12" s="48">
        <f>('Sheet1 (2)'!I12-'Sheet1 (2)'!I$526)/'Sheet1 (2)'!I$527</f>
        <v>-0.71758269340689684</v>
      </c>
      <c r="J12" s="48">
        <f>('Sheet1 (2)'!J12-'Sheet1 (2)'!J$526)/'Sheet1 (2)'!J$527</f>
        <v>8.4319729817839695E-2</v>
      </c>
      <c r="K12" s="48">
        <f>('Sheet1 (2)'!K12-'Sheet1 (2)'!K$526)/'Sheet1 (2)'!K$527</f>
        <v>-3.5017944085790634E-2</v>
      </c>
    </row>
    <row r="13" spans="1:11" ht="12.75" x14ac:dyDescent="0.2">
      <c r="A13" s="51">
        <v>1</v>
      </c>
      <c r="B13" s="48">
        <f>('Sheet1 (2)'!B13-'Sheet1 (2)'!B$526)/'Sheet1 (2)'!B$527</f>
        <v>1.1794716518179513E-2</v>
      </c>
      <c r="C13" s="48">
        <f>('Sheet1 (2)'!C13-'Sheet1 (2)'!C$526)/'Sheet1 (2)'!C$527</f>
        <v>2.9016430484551181</v>
      </c>
      <c r="D13" s="48">
        <f>('Sheet1 (2)'!D13-'Sheet1 (2)'!D$526)/'Sheet1 (2)'!D$527</f>
        <v>1.4257032508898051</v>
      </c>
      <c r="E13" s="48">
        <f>('Sheet1 (2)'!E13-'Sheet1 (2)'!E$526)/'Sheet1 (2)'!E$527</f>
        <v>0.90630502261173107</v>
      </c>
      <c r="F13" s="48">
        <f>('Sheet1 (2)'!F13-'Sheet1 (2)'!F$526)/'Sheet1 (2)'!F$527</f>
        <v>-1.1978791963165167</v>
      </c>
      <c r="G13" s="48">
        <f>('Sheet1 (2)'!G13-'Sheet1 (2)'!G$526)/'Sheet1 (2)'!G$527</f>
        <v>-0.50144115274505707</v>
      </c>
      <c r="H13" s="48">
        <f>('Sheet1 (2)'!H13-'Sheet1 (2)'!H$526)/'Sheet1 (2)'!H$527</f>
        <v>4.4858987999528921</v>
      </c>
      <c r="I13" s="48">
        <f>('Sheet1 (2)'!I13-'Sheet1 (2)'!I$526)/'Sheet1 (2)'!I$527</f>
        <v>0.65012396504263958</v>
      </c>
      <c r="J13" s="48">
        <f>('Sheet1 (2)'!J13-'Sheet1 (2)'!J$526)/'Sheet1 (2)'!J$527</f>
        <v>-0.83945425120312078</v>
      </c>
      <c r="K13" s="48">
        <f>('Sheet1 (2)'!K13-'Sheet1 (2)'!K$526)/'Sheet1 (2)'!K$527</f>
        <v>4.5538261992068788E-3</v>
      </c>
    </row>
    <row r="14" spans="1:11" ht="12.75" x14ac:dyDescent="0.2">
      <c r="A14" s="48">
        <v>1</v>
      </c>
      <c r="B14" s="48">
        <f>('Sheet1 (2)'!B14-'Sheet1 (2)'!B$526)/'Sheet1 (2)'!B$527</f>
        <v>1.2478810076233939</v>
      </c>
      <c r="C14" s="48">
        <f>('Sheet1 (2)'!C14-'Sheet1 (2)'!C$526)/'Sheet1 (2)'!C$527</f>
        <v>0.40256965598509725</v>
      </c>
      <c r="D14" s="48">
        <f>('Sheet1 (2)'!D14-'Sheet1 (2)'!D$526)/'Sheet1 (2)'!D$527</f>
        <v>-0.4704097020702403</v>
      </c>
      <c r="E14" s="48">
        <f>('Sheet1 (2)'!E14-'Sheet1 (2)'!E$526)/'Sheet1 (2)'!E$527</f>
        <v>-0.40563479172986006</v>
      </c>
      <c r="F14" s="48">
        <f>('Sheet1 (2)'!F14-'Sheet1 (2)'!F$526)/'Sheet1 (2)'!F$527</f>
        <v>1.2684811135846812</v>
      </c>
      <c r="G14" s="48">
        <f>('Sheet1 (2)'!G14-'Sheet1 (2)'!G$526)/'Sheet1 (2)'!G$527</f>
        <v>-0.33552511064726465</v>
      </c>
      <c r="H14" s="48">
        <f>('Sheet1 (2)'!H14-'Sheet1 (2)'!H$526)/'Sheet1 (2)'!H$527</f>
        <v>1.6963759208775677</v>
      </c>
      <c r="I14" s="48">
        <f>('Sheet1 (2)'!I14-'Sheet1 (2)'!I$526)/'Sheet1 (2)'!I$527</f>
        <v>0.66820608157407091</v>
      </c>
      <c r="J14" s="48">
        <f>('Sheet1 (2)'!J14-'Sheet1 (2)'!J$526)/'Sheet1 (2)'!J$527</f>
        <v>-0.83945425120312078</v>
      </c>
      <c r="K14" s="48">
        <f>('Sheet1 (2)'!K14-'Sheet1 (2)'!K$526)/'Sheet1 (2)'!K$527</f>
        <v>0.41656049927875249</v>
      </c>
    </row>
    <row r="15" spans="1:11" ht="12.75" x14ac:dyDescent="0.2">
      <c r="A15" s="49">
        <v>1</v>
      </c>
      <c r="B15" s="48">
        <f>('Sheet1 (2)'!B15-'Sheet1 (2)'!B$526)/'Sheet1 (2)'!B$527</f>
        <v>1.2478810076233939</v>
      </c>
      <c r="C15" s="48">
        <f>('Sheet1 (2)'!C15-'Sheet1 (2)'!C$526)/'Sheet1 (2)'!C$527</f>
        <v>-1.1339412865828136</v>
      </c>
      <c r="D15" s="48">
        <f>('Sheet1 (2)'!D15-'Sheet1 (2)'!D$526)/'Sheet1 (2)'!D$527</f>
        <v>-0.4704097020702403</v>
      </c>
      <c r="E15" s="48">
        <f>('Sheet1 (2)'!E15-'Sheet1 (2)'!E$526)/'Sheet1 (2)'!E$527</f>
        <v>-0.57565851547990876</v>
      </c>
      <c r="F15" s="48">
        <f>('Sheet1 (2)'!F15-'Sheet1 (2)'!F$526)/'Sheet1 (2)'!F$527</f>
        <v>1.2684811135846812</v>
      </c>
      <c r="G15" s="48">
        <f>('Sheet1 (2)'!G15-'Sheet1 (2)'!G$526)/'Sheet1 (2)'!G$527</f>
        <v>0.62622550625858286</v>
      </c>
      <c r="H15" s="48">
        <f>('Sheet1 (2)'!H15-'Sheet1 (2)'!H$526)/'Sheet1 (2)'!H$527</f>
        <v>-1.1274988091377667</v>
      </c>
      <c r="I15" s="48">
        <f>('Sheet1 (2)'!I15-'Sheet1 (2)'!I$526)/'Sheet1 (2)'!I$527</f>
        <v>-1.2351219250300465</v>
      </c>
      <c r="J15" s="48">
        <f>('Sheet1 (2)'!J15-'Sheet1 (2)'!J$526)/'Sheet1 (2)'!J$527</f>
        <v>-0.57136396125836175</v>
      </c>
      <c r="K15" s="48">
        <f>('Sheet1 (2)'!K15-'Sheet1 (2)'!K$526)/'Sheet1 (2)'!K$527</f>
        <v>-0.51657126775874873</v>
      </c>
    </row>
    <row r="16" spans="1:11" ht="12.75" x14ac:dyDescent="0.2">
      <c r="A16" s="50">
        <v>1</v>
      </c>
      <c r="B16" s="48">
        <f>('Sheet1 (2)'!B16-'Sheet1 (2)'!B$526)/'Sheet1 (2)'!B$527</f>
        <v>1.2478810076233939</v>
      </c>
      <c r="C16" s="48">
        <f>('Sheet1 (2)'!C16-'Sheet1 (2)'!C$526)/'Sheet1 (2)'!C$527</f>
        <v>-0.19745121653639588</v>
      </c>
      <c r="D16" s="48">
        <f>('Sheet1 (2)'!D16-'Sheet1 (2)'!D$526)/'Sheet1 (2)'!D$527</f>
        <v>-0.4704097020702403</v>
      </c>
      <c r="E16" s="48">
        <f>('Sheet1 (2)'!E16-'Sheet1 (2)'!E$526)/'Sheet1 (2)'!E$527</f>
        <v>-0.77784888966915566</v>
      </c>
      <c r="F16" s="48">
        <f>('Sheet1 (2)'!F16-'Sheet1 (2)'!F$526)/'Sheet1 (2)'!F$527</f>
        <v>3.5300958634082259E-2</v>
      </c>
      <c r="G16" s="48">
        <f>('Sheet1 (2)'!G16-'Sheet1 (2)'!G$526)/'Sheet1 (2)'!G$527</f>
        <v>0.17440893964199561</v>
      </c>
      <c r="H16" s="48">
        <f>('Sheet1 (2)'!H16-'Sheet1 (2)'!H$526)/'Sheet1 (2)'!H$527</f>
        <v>-0.29504111724542526</v>
      </c>
      <c r="I16" s="48">
        <f>('Sheet1 (2)'!I16-'Sheet1 (2)'!I$526)/'Sheet1 (2)'!I$527</f>
        <v>0.69884608781300261</v>
      </c>
      <c r="J16" s="48">
        <f>('Sheet1 (2)'!J16-'Sheet1 (2)'!J$526)/'Sheet1 (2)'!J$527</f>
        <v>-0.83945425120312078</v>
      </c>
      <c r="K16" s="48">
        <f>('Sheet1 (2)'!K16-'Sheet1 (2)'!K$526)/'Sheet1 (2)'!K$527</f>
        <v>-0.7270160311905346</v>
      </c>
    </row>
    <row r="17" spans="1:11" ht="12.75" x14ac:dyDescent="0.2">
      <c r="A17" s="49">
        <v>1</v>
      </c>
      <c r="B17" s="48">
        <f>('Sheet1 (2)'!B17-'Sheet1 (2)'!B$526)/'Sheet1 (2)'!B$527</f>
        <v>1.2478810076233939</v>
      </c>
      <c r="C17" s="48">
        <f>('Sheet1 (2)'!C17-'Sheet1 (2)'!C$526)/'Sheet1 (2)'!C$527</f>
        <v>3.044935380041677E-2</v>
      </c>
      <c r="D17" s="48">
        <f>('Sheet1 (2)'!D17-'Sheet1 (2)'!D$526)/'Sheet1 (2)'!D$527</f>
        <v>-0.4704097020702403</v>
      </c>
      <c r="E17" s="48">
        <f>('Sheet1 (2)'!E17-'Sheet1 (2)'!E$526)/'Sheet1 (2)'!E$527</f>
        <v>-0.36427766973660508</v>
      </c>
      <c r="F17" s="48">
        <f>('Sheet1 (2)'!F17-'Sheet1 (2)'!F$526)/'Sheet1 (2)'!F$527</f>
        <v>3.5300958634082259E-2</v>
      </c>
      <c r="G17" s="48">
        <f>('Sheet1 (2)'!G17-'Sheet1 (2)'!G$526)/'Sheet1 (2)'!G$527</f>
        <v>0.145350197805659</v>
      </c>
      <c r="H17" s="48">
        <f>('Sheet1 (2)'!H17-'Sheet1 (2)'!H$526)/'Sheet1 (2)'!H$527</f>
        <v>0.17810271931430896</v>
      </c>
      <c r="I17" s="48">
        <f>('Sheet1 (2)'!I17-'Sheet1 (2)'!I$526)/'Sheet1 (2)'!I$527</f>
        <v>-0.62086275233527199</v>
      </c>
      <c r="J17" s="48">
        <f>('Sheet1 (2)'!J17-'Sheet1 (2)'!J$526)/'Sheet1 (2)'!J$527</f>
        <v>-0.18515967518143653</v>
      </c>
      <c r="K17" s="48">
        <f>('Sheet1 (2)'!K17-'Sheet1 (2)'!K$526)/'Sheet1 (2)'!K$527</f>
        <v>-0.32695134369245854</v>
      </c>
    </row>
    <row r="18" spans="1:11" ht="12.75" x14ac:dyDescent="0.2">
      <c r="A18" s="50">
        <v>1</v>
      </c>
      <c r="B18" s="48">
        <f>('Sheet1 (2)'!B18-'Sheet1 (2)'!B$526)/'Sheet1 (2)'!B$527</f>
        <v>1.2478810076233939</v>
      </c>
      <c r="C18" s="48">
        <f>('Sheet1 (2)'!C18-'Sheet1 (2)'!C$526)/'Sheet1 (2)'!C$527</f>
        <v>-0.21616056818087556</v>
      </c>
      <c r="D18" s="48">
        <f>('Sheet1 (2)'!D18-'Sheet1 (2)'!D$526)/'Sheet1 (2)'!D$527</f>
        <v>-0.4704097020702403</v>
      </c>
      <c r="E18" s="48">
        <f>('Sheet1 (2)'!E18-'Sheet1 (2)'!E$526)/'Sheet1 (2)'!E$527</f>
        <v>-1.0007178248550301</v>
      </c>
      <c r="F18" s="48">
        <f>('Sheet1 (2)'!F18-'Sheet1 (2)'!F$526)/'Sheet1 (2)'!F$527</f>
        <v>-1.1978791963165167</v>
      </c>
      <c r="G18" s="48">
        <f>('Sheet1 (2)'!G18-'Sheet1 (2)'!G$526)/'Sheet1 (2)'!G$527</f>
        <v>-0.28584403589481833</v>
      </c>
      <c r="H18" s="48">
        <f>('Sheet1 (2)'!H18-'Sheet1 (2)'!H$526)/'Sheet1 (2)'!H$527</f>
        <v>0.24413221020406692</v>
      </c>
      <c r="I18" s="48">
        <f>('Sheet1 (2)'!I18-'Sheet1 (2)'!I$526)/'Sheet1 (2)'!I$527</f>
        <v>0.65288607845460511</v>
      </c>
      <c r="J18" s="48">
        <f>('Sheet1 (2)'!J18-'Sheet1 (2)'!J$526)/'Sheet1 (2)'!J$527</f>
        <v>-5.6929874275789705E-4</v>
      </c>
      <c r="K18" s="48">
        <f>('Sheet1 (2)'!K18-'Sheet1 (2)'!K$526)/'Sheet1 (2)'!K$527</f>
        <v>-0.34517307813726716</v>
      </c>
    </row>
    <row r="19" spans="1:11" ht="12.75" x14ac:dyDescent="0.2">
      <c r="A19" s="51">
        <v>1</v>
      </c>
      <c r="B19" s="48">
        <f>('Sheet1 (2)'!B19-'Sheet1 (2)'!B$526)/'Sheet1 (2)'!B$527</f>
        <v>1.2478810076233939</v>
      </c>
      <c r="C19" s="48">
        <f>('Sheet1 (2)'!C19-'Sheet1 (2)'!C$526)/'Sheet1 (2)'!C$527</f>
        <v>-0.50607937596013108</v>
      </c>
      <c r="D19" s="48">
        <f>('Sheet1 (2)'!D19-'Sheet1 (2)'!D$526)/'Sheet1 (2)'!D$527</f>
        <v>-0.4704097020702403</v>
      </c>
      <c r="E19" s="48">
        <f>('Sheet1 (2)'!E19-'Sheet1 (2)'!E$526)/'Sheet1 (2)'!E$527</f>
        <v>-0.76406318233807069</v>
      </c>
      <c r="F19" s="48">
        <f>('Sheet1 (2)'!F19-'Sheet1 (2)'!F$526)/'Sheet1 (2)'!F$527</f>
        <v>-1.1978791963165167</v>
      </c>
      <c r="G19" s="48">
        <f>('Sheet1 (2)'!G19-'Sheet1 (2)'!G$526)/'Sheet1 (2)'!G$527</f>
        <v>0.24377496854163758</v>
      </c>
      <c r="H19" s="48">
        <f>('Sheet1 (2)'!H19-'Sheet1 (2)'!H$526)/'Sheet1 (2)'!H$527</f>
        <v>-0.78357833204939786</v>
      </c>
      <c r="I19" s="48">
        <f>('Sheet1 (2)'!I19-'Sheet1 (2)'!I$526)/'Sheet1 (2)'!I$527</f>
        <v>-1.2803524104303752</v>
      </c>
      <c r="J19" s="48">
        <f>('Sheet1 (2)'!J19-'Sheet1 (2)'!J$526)/'Sheet1 (2)'!J$527</f>
        <v>0.1712245752006257</v>
      </c>
      <c r="K19" s="48">
        <f>('Sheet1 (2)'!K19-'Sheet1 (2)'!K$526)/'Sheet1 (2)'!K$527</f>
        <v>0.39240043173362649</v>
      </c>
    </row>
    <row r="20" spans="1:11" ht="12.75" x14ac:dyDescent="0.2">
      <c r="A20" s="48">
        <v>2</v>
      </c>
      <c r="B20" s="48">
        <f>('Sheet1 (2)'!B20-'Sheet1 (2)'!B$526)/'Sheet1 (2)'!B$527</f>
        <v>-1.2242915745870349</v>
      </c>
      <c r="C20" s="48">
        <f>('Sheet1 (2)'!C20-'Sheet1 (2)'!C$526)/'Sheet1 (2)'!C$527</f>
        <v>-0.49733102171896187</v>
      </c>
      <c r="D20" s="48">
        <f>('Sheet1 (2)'!D20-'Sheet1 (2)'!D$526)/'Sheet1 (2)'!D$527</f>
        <v>-0.4704097020702403</v>
      </c>
      <c r="E20" s="48">
        <f>('Sheet1 (2)'!E20-'Sheet1 (2)'!E$526)/'Sheet1 (2)'!E$527</f>
        <v>-0.19195632809804228</v>
      </c>
      <c r="F20" s="48">
        <f>('Sheet1 (2)'!F20-'Sheet1 (2)'!F$526)/'Sheet1 (2)'!F$527</f>
        <v>1.2684811135846812</v>
      </c>
      <c r="G20" s="48">
        <f>('Sheet1 (2)'!G20-'Sheet1 (2)'!G$526)/'Sheet1 (2)'!G$527</f>
        <v>-0.50144115274505707</v>
      </c>
      <c r="H20" s="48">
        <f>('Sheet1 (2)'!H20-'Sheet1 (2)'!H$526)/'Sheet1 (2)'!H$527</f>
        <v>0.1226355464400901</v>
      </c>
      <c r="I20" s="48">
        <f>('Sheet1 (2)'!I20-'Sheet1 (2)'!I$526)/'Sheet1 (2)'!I$527</f>
        <v>4.4962956432696204E-2</v>
      </c>
      <c r="J20" s="48">
        <f>('Sheet1 (2)'!J20-'Sheet1 (2)'!J$526)/'Sheet1 (2)'!J$527</f>
        <v>-0.83945425120312078</v>
      </c>
      <c r="K20" s="48">
        <f>('Sheet1 (2)'!K20-'Sheet1 (2)'!K$526)/'Sheet1 (2)'!K$527</f>
        <v>-0.19475338338007175</v>
      </c>
    </row>
    <row r="21" spans="1:11" ht="12.75" x14ac:dyDescent="0.2">
      <c r="A21" s="49">
        <v>2</v>
      </c>
      <c r="B21" s="48">
        <f>('Sheet1 (2)'!B21-'Sheet1 (2)'!B$526)/'Sheet1 (2)'!B$527</f>
        <v>-1.2242915745870349</v>
      </c>
      <c r="C21" s="48">
        <f>('Sheet1 (2)'!C21-'Sheet1 (2)'!C$526)/'Sheet1 (2)'!C$527</f>
        <v>0.51337139980037105</v>
      </c>
      <c r="D21" s="48">
        <f>('Sheet1 (2)'!D21-'Sheet1 (2)'!D$526)/'Sheet1 (2)'!D$527</f>
        <v>-0.4704097020702403</v>
      </c>
      <c r="E21" s="48">
        <f>('Sheet1 (2)'!E21-'Sheet1 (2)'!E$526)/'Sheet1 (2)'!E$527</f>
        <v>-0.30913484041226491</v>
      </c>
      <c r="F21" s="48">
        <f>('Sheet1 (2)'!F21-'Sheet1 (2)'!F$526)/'Sheet1 (2)'!F$527</f>
        <v>1.2684811135846812</v>
      </c>
      <c r="G21" s="48">
        <f>('Sheet1 (2)'!G21-'Sheet1 (2)'!G$526)/'Sheet1 (2)'!G$527</f>
        <v>-0.26987387909109695</v>
      </c>
      <c r="H21" s="48">
        <f>('Sheet1 (2)'!H21-'Sheet1 (2)'!H$526)/'Sheet1 (2)'!H$527</f>
        <v>-0.19628944511718582</v>
      </c>
      <c r="I21" s="48">
        <f>('Sheet1 (2)'!I21-'Sheet1 (2)'!I$526)/'Sheet1 (2)'!I$527</f>
        <v>0.66828713979163423</v>
      </c>
      <c r="J21" s="48">
        <f>('Sheet1 (2)'!J21-'Sheet1 (2)'!J$526)/'Sheet1 (2)'!J$527</f>
        <v>-0.83945425120312078</v>
      </c>
      <c r="K21" s="48">
        <f>('Sheet1 (2)'!K21-'Sheet1 (2)'!K$526)/'Sheet1 (2)'!K$527</f>
        <v>0.11087644227308319</v>
      </c>
    </row>
    <row r="22" spans="1:11" ht="12.75" x14ac:dyDescent="0.2">
      <c r="A22" s="50">
        <v>2</v>
      </c>
      <c r="B22" s="48">
        <f>('Sheet1 (2)'!B22-'Sheet1 (2)'!B$526)/'Sheet1 (2)'!B$527</f>
        <v>-1.2242915745870349</v>
      </c>
      <c r="C22" s="48">
        <f>('Sheet1 (2)'!C22-'Sheet1 (2)'!C$526)/'Sheet1 (2)'!C$527</f>
        <v>-0.752394396016277</v>
      </c>
      <c r="D22" s="48">
        <f>('Sheet1 (2)'!D22-'Sheet1 (2)'!D$526)/'Sheet1 (2)'!D$527</f>
        <v>-0.4704097020702403</v>
      </c>
      <c r="E22" s="48">
        <f>('Sheet1 (2)'!E22-'Sheet1 (2)'!E$526)/'Sheet1 (2)'!E$527</f>
        <v>-0.76865841811509905</v>
      </c>
      <c r="F22" s="48">
        <f>('Sheet1 (2)'!F22-'Sheet1 (2)'!F$526)/'Sheet1 (2)'!F$527</f>
        <v>3.5300958634082259E-2</v>
      </c>
      <c r="G22" s="48">
        <f>('Sheet1 (2)'!G22-'Sheet1 (2)'!G$526)/'Sheet1 (2)'!G$527</f>
        <v>3.9218090525275869E-2</v>
      </c>
      <c r="H22" s="48">
        <f>('Sheet1 (2)'!H22-'Sheet1 (2)'!H$526)/'Sheet1 (2)'!H$527</f>
        <v>-0.28765949726865658</v>
      </c>
      <c r="I22" s="48">
        <f>('Sheet1 (2)'!I22-'Sheet1 (2)'!I$526)/'Sheet1 (2)'!I$527</f>
        <v>-1.5887654185558466</v>
      </c>
      <c r="J22" s="48">
        <f>('Sheet1 (2)'!J22-'Sheet1 (2)'!J$526)/'Sheet1 (2)'!J$527</f>
        <v>0.20670834289247228</v>
      </c>
      <c r="K22" s="48">
        <f>('Sheet1 (2)'!K22-'Sheet1 (2)'!K$526)/'Sheet1 (2)'!K$527</f>
        <v>-9.0168220056221937E-2</v>
      </c>
    </row>
    <row r="23" spans="1:11" ht="12.75" x14ac:dyDescent="0.2">
      <c r="A23" s="49">
        <v>2</v>
      </c>
      <c r="B23" s="48">
        <f>('Sheet1 (2)'!B23-'Sheet1 (2)'!B$526)/'Sheet1 (2)'!B$527</f>
        <v>-1.2242915745870349</v>
      </c>
      <c r="C23" s="48">
        <f>('Sheet1 (2)'!C23-'Sheet1 (2)'!C$526)/'Sheet1 (2)'!C$527</f>
        <v>0.52697072956159052</v>
      </c>
      <c r="D23" s="48">
        <f>('Sheet1 (2)'!D23-'Sheet1 (2)'!D$526)/'Sheet1 (2)'!D$527</f>
        <v>-0.4704097020702403</v>
      </c>
      <c r="E23" s="48">
        <f>('Sheet1 (2)'!E23-'Sheet1 (2)'!E$526)/'Sheet1 (2)'!E$527</f>
        <v>-0.13681349877370214</v>
      </c>
      <c r="F23" s="48">
        <f>('Sheet1 (2)'!F23-'Sheet1 (2)'!F$526)/'Sheet1 (2)'!F$527</f>
        <v>3.5300958634082259E-2</v>
      </c>
      <c r="G23" s="48">
        <f>('Sheet1 (2)'!G23-'Sheet1 (2)'!G$526)/'Sheet1 (2)'!G$527</f>
        <v>-0.50144115274505707</v>
      </c>
      <c r="H23" s="48">
        <f>('Sheet1 (2)'!H23-'Sheet1 (2)'!H$526)/'Sheet1 (2)'!H$527</f>
        <v>-2.2686346029391308E-2</v>
      </c>
      <c r="I23" s="48">
        <f>('Sheet1 (2)'!I23-'Sheet1 (2)'!I$526)/'Sheet1 (2)'!I$527</f>
        <v>2.3023198878892957E-2</v>
      </c>
      <c r="J23" s="48">
        <f>('Sheet1 (2)'!J23-'Sheet1 (2)'!J$526)/'Sheet1 (2)'!J$527</f>
        <v>-0.83945425120312078</v>
      </c>
      <c r="K23" s="48">
        <f>('Sheet1 (2)'!K23-'Sheet1 (2)'!K$526)/'Sheet1 (2)'!K$527</f>
        <v>-0.1791136638855278</v>
      </c>
    </row>
    <row r="24" spans="1:11" ht="12.75" x14ac:dyDescent="0.2">
      <c r="A24" s="50">
        <v>2</v>
      </c>
      <c r="B24" s="48">
        <f>('Sheet1 (2)'!B24-'Sheet1 (2)'!B$526)/'Sheet1 (2)'!B$527</f>
        <v>-1.2242915745870349</v>
      </c>
      <c r="C24" s="48">
        <f>('Sheet1 (2)'!C24-'Sheet1 (2)'!C$526)/'Sheet1 (2)'!C$527</f>
        <v>2.9817775634477938E-3</v>
      </c>
      <c r="D24" s="48">
        <f>('Sheet1 (2)'!D24-'Sheet1 (2)'!D$526)/'Sheet1 (2)'!D$527</f>
        <v>-0.4704097020702403</v>
      </c>
      <c r="E24" s="48">
        <f>('Sheet1 (2)'!E24-'Sheet1 (2)'!E$526)/'Sheet1 (2)'!E$527</f>
        <v>-1.0489678005138277</v>
      </c>
      <c r="F24" s="48">
        <f>('Sheet1 (2)'!F24-'Sheet1 (2)'!F$526)/'Sheet1 (2)'!F$527</f>
        <v>-1.1978791963165167</v>
      </c>
      <c r="G24" s="48">
        <f>('Sheet1 (2)'!G24-'Sheet1 (2)'!G$526)/'Sheet1 (2)'!G$527</f>
        <v>-0.10475634483349064</v>
      </c>
      <c r="H24" s="48">
        <f>('Sheet1 (2)'!H24-'Sheet1 (2)'!H$526)/'Sheet1 (2)'!H$527</f>
        <v>-1.0590837947189313</v>
      </c>
      <c r="I24" s="48">
        <f>('Sheet1 (2)'!I24-'Sheet1 (2)'!I$526)/'Sheet1 (2)'!I$527</f>
        <v>4.4962956432696204E-2</v>
      </c>
      <c r="J24" s="48">
        <f>('Sheet1 (2)'!J24-'Sheet1 (2)'!J$526)/'Sheet1 (2)'!J$527</f>
        <v>-2.4710734758514468E-2</v>
      </c>
      <c r="K24" s="48">
        <f>('Sheet1 (2)'!K24-'Sheet1 (2)'!K$526)/'Sheet1 (2)'!K$527</f>
        <v>-0.56154412325770053</v>
      </c>
    </row>
    <row r="25" spans="1:11" ht="12.75" x14ac:dyDescent="0.2">
      <c r="A25" s="51">
        <v>2</v>
      </c>
      <c r="B25" s="48">
        <f>('Sheet1 (2)'!B25-'Sheet1 (2)'!B$526)/'Sheet1 (2)'!B$527</f>
        <v>-1.2242915745870349</v>
      </c>
      <c r="C25" s="48">
        <f>('Sheet1 (2)'!C25-'Sheet1 (2)'!C$526)/'Sheet1 (2)'!C$527</f>
        <v>-1.0895794961654959</v>
      </c>
      <c r="D25" s="48">
        <f>('Sheet1 (2)'!D25-'Sheet1 (2)'!D$526)/'Sheet1 (2)'!D$527</f>
        <v>-0.4704097020702403</v>
      </c>
      <c r="E25" s="48">
        <f>('Sheet1 (2)'!E25-'Sheet1 (2)'!E$526)/'Sheet1 (2)'!E$527</f>
        <v>-0.50672997882448356</v>
      </c>
      <c r="F25" s="48">
        <f>('Sheet1 (2)'!F25-'Sheet1 (2)'!F$526)/'Sheet1 (2)'!F$527</f>
        <v>-1.1978791963165167</v>
      </c>
      <c r="G25" s="48">
        <f>('Sheet1 (2)'!G25-'Sheet1 (2)'!G$526)/'Sheet1 (2)'!G$527</f>
        <v>-0.50144115274505707</v>
      </c>
      <c r="H25" s="48">
        <f>('Sheet1 (2)'!H25-'Sheet1 (2)'!H$526)/'Sheet1 (2)'!H$527</f>
        <v>-1.0721366593119985</v>
      </c>
      <c r="I25" s="48">
        <f>('Sheet1 (2)'!I25-'Sheet1 (2)'!I$526)/'Sheet1 (2)'!I$527</f>
        <v>0.66828713979163423</v>
      </c>
      <c r="J25" s="48">
        <f>('Sheet1 (2)'!J25-'Sheet1 (2)'!J$526)/'Sheet1 (2)'!J$527</f>
        <v>-0.31229307633485998</v>
      </c>
      <c r="K25" s="48">
        <f>('Sheet1 (2)'!K25-'Sheet1 (2)'!K$526)/'Sheet1 (2)'!K$527</f>
        <v>-0.26220513449620542</v>
      </c>
    </row>
    <row r="26" spans="1:11" ht="12.75" x14ac:dyDescent="0.2">
      <c r="A26" s="48">
        <v>2</v>
      </c>
      <c r="B26" s="48">
        <f>('Sheet1 (2)'!B26-'Sheet1 (2)'!B$526)/'Sheet1 (2)'!B$527</f>
        <v>1.1794716518179513E-2</v>
      </c>
      <c r="C26" s="48">
        <f>('Sheet1 (2)'!C26-'Sheet1 (2)'!C$526)/'Sheet1 (2)'!C$527</f>
        <v>-0.86476736420326827</v>
      </c>
      <c r="D26" s="48">
        <f>('Sheet1 (2)'!D26-'Sheet1 (2)'!D$526)/'Sheet1 (2)'!D$527</f>
        <v>-0.4704097020702403</v>
      </c>
      <c r="E26" s="48">
        <f>('Sheet1 (2)'!E26-'Sheet1 (2)'!E$526)/'Sheet1 (2)'!E$527</f>
        <v>-0.21263488909466979</v>
      </c>
      <c r="F26" s="48">
        <f>('Sheet1 (2)'!F26-'Sheet1 (2)'!F$526)/'Sheet1 (2)'!F$527</f>
        <v>1.2684811135846812</v>
      </c>
      <c r="G26" s="48">
        <f>('Sheet1 (2)'!G26-'Sheet1 (2)'!G$526)/'Sheet1 (2)'!G$527</f>
        <v>-0.50144115274505707</v>
      </c>
      <c r="H26" s="48">
        <f>('Sheet1 (2)'!H26-'Sheet1 (2)'!H$526)/'Sheet1 (2)'!H$527</f>
        <v>-0.18935716745095776</v>
      </c>
      <c r="I26" s="48">
        <f>('Sheet1 (2)'!I26-'Sheet1 (2)'!I$526)/'Sheet1 (2)'!I$527</f>
        <v>0.76642982918312463</v>
      </c>
      <c r="J26" s="48">
        <f>('Sheet1 (2)'!J26-'Sheet1 (2)'!J$526)/'Sheet1 (2)'!J$527</f>
        <v>-0.34555566300955287</v>
      </c>
      <c r="K26" s="48">
        <f>('Sheet1 (2)'!K26-'Sheet1 (2)'!K$526)/'Sheet1 (2)'!K$527</f>
        <v>1.2978647995944925</v>
      </c>
    </row>
    <row r="27" spans="1:11" ht="12.75" x14ac:dyDescent="0.2">
      <c r="A27" s="49">
        <v>2</v>
      </c>
      <c r="B27" s="48">
        <f>('Sheet1 (2)'!B27-'Sheet1 (2)'!B$526)/'Sheet1 (2)'!B$527</f>
        <v>1.1794716518179513E-2</v>
      </c>
      <c r="C27" s="48">
        <f>('Sheet1 (2)'!C27-'Sheet1 (2)'!C$526)/'Sheet1 (2)'!C$527</f>
        <v>0.97467227499762488</v>
      </c>
      <c r="D27" s="48">
        <f>('Sheet1 (2)'!D27-'Sheet1 (2)'!D$526)/'Sheet1 (2)'!D$527</f>
        <v>-0.4704097020702403</v>
      </c>
      <c r="E27" s="48">
        <f>('Sheet1 (2)'!E27-'Sheet1 (2)'!E$526)/'Sheet1 (2)'!E$527</f>
        <v>-4.4908783233135241E-2</v>
      </c>
      <c r="F27" s="48">
        <f>('Sheet1 (2)'!F27-'Sheet1 (2)'!F$526)/'Sheet1 (2)'!F$527</f>
        <v>1.2684811135846812</v>
      </c>
      <c r="G27" s="48">
        <f>('Sheet1 (2)'!G27-'Sheet1 (2)'!G$526)/'Sheet1 (2)'!G$527</f>
        <v>-0.50144115274505707</v>
      </c>
      <c r="H27" s="48">
        <f>('Sheet1 (2)'!H27-'Sheet1 (2)'!H$526)/'Sheet1 (2)'!H$527</f>
        <v>0.74994387351303615</v>
      </c>
      <c r="I27" s="48">
        <f>('Sheet1 (2)'!I27-'Sheet1 (2)'!I$526)/'Sheet1 (2)'!I$527</f>
        <v>0.66268290364930715</v>
      </c>
      <c r="J27" s="48">
        <f>('Sheet1 (2)'!J27-'Sheet1 (2)'!J$526)/'Sheet1 (2)'!J$527</f>
        <v>-0.69949854216758611</v>
      </c>
      <c r="K27" s="48">
        <f>('Sheet1 (2)'!K27-'Sheet1 (2)'!K$526)/'Sheet1 (2)'!K$527</f>
        <v>0.37823454835654202</v>
      </c>
    </row>
    <row r="28" spans="1:11" ht="12.75" x14ac:dyDescent="0.2">
      <c r="A28" s="50">
        <v>2</v>
      </c>
      <c r="B28" s="48">
        <f>('Sheet1 (2)'!B28-'Sheet1 (2)'!B$526)/'Sheet1 (2)'!B$527</f>
        <v>1.1794716518179513E-2</v>
      </c>
      <c r="C28" s="48">
        <f>('Sheet1 (2)'!C28-'Sheet1 (2)'!C$526)/'Sheet1 (2)'!C$527</f>
        <v>1.5631817526862124</v>
      </c>
      <c r="D28" s="48">
        <f>('Sheet1 (2)'!D28-'Sheet1 (2)'!D$526)/'Sheet1 (2)'!D$527</f>
        <v>-0.4704097020702403</v>
      </c>
      <c r="E28" s="48">
        <f>('Sheet1 (2)'!E28-'Sheet1 (2)'!E$526)/'Sheet1 (2)'!E$527</f>
        <v>-0.63080134480424876</v>
      </c>
      <c r="F28" s="48">
        <f>('Sheet1 (2)'!F28-'Sheet1 (2)'!F$526)/'Sheet1 (2)'!F$527</f>
        <v>3.5300958634082259E-2</v>
      </c>
      <c r="G28" s="48">
        <f>('Sheet1 (2)'!G28-'Sheet1 (2)'!G$526)/'Sheet1 (2)'!G$527</f>
        <v>-0.50144115274505707</v>
      </c>
      <c r="H28" s="48">
        <f>('Sheet1 (2)'!H28-'Sheet1 (2)'!H$526)/'Sheet1 (2)'!H$527</f>
        <v>1.0611124223501545</v>
      </c>
      <c r="I28" s="48">
        <f>('Sheet1 (2)'!I28-'Sheet1 (2)'!I$526)/'Sheet1 (2)'!I$527</f>
        <v>-0.33595642028349454</v>
      </c>
      <c r="J28" s="48">
        <f>('Sheet1 (2)'!J28-'Sheet1 (2)'!J$526)/'Sheet1 (2)'!J$527</f>
        <v>-0.83945425120312078</v>
      </c>
      <c r="K28" s="48">
        <f>('Sheet1 (2)'!K28-'Sheet1 (2)'!K$526)/'Sheet1 (2)'!K$527</f>
        <v>-0.53680468245831703</v>
      </c>
    </row>
    <row r="29" spans="1:11" ht="12.75" x14ac:dyDescent="0.2">
      <c r="A29" s="49">
        <v>2</v>
      </c>
      <c r="B29" s="48">
        <f>('Sheet1 (2)'!B29-'Sheet1 (2)'!B$526)/'Sheet1 (2)'!B$527</f>
        <v>1.1794716518179513E-2</v>
      </c>
      <c r="C29" s="48">
        <f>('Sheet1 (2)'!C29-'Sheet1 (2)'!C$526)/'Sheet1 (2)'!C$527</f>
        <v>1.8435838562251488</v>
      </c>
      <c r="D29" s="48">
        <f>('Sheet1 (2)'!D29-'Sheet1 (2)'!D$526)/'Sheet1 (2)'!D$527</f>
        <v>-0.4704097020702403</v>
      </c>
      <c r="E29" s="48">
        <f>('Sheet1 (2)'!E29-'Sheet1 (2)'!E$526)/'Sheet1 (2)'!E$527</f>
        <v>-0.66067037735493306</v>
      </c>
      <c r="F29" s="48">
        <f>('Sheet1 (2)'!F29-'Sheet1 (2)'!F$526)/'Sheet1 (2)'!F$527</f>
        <v>3.5300958634082259E-2</v>
      </c>
      <c r="G29" s="48">
        <f>('Sheet1 (2)'!G29-'Sheet1 (2)'!G$526)/'Sheet1 (2)'!G$527</f>
        <v>-0.50144115274505707</v>
      </c>
      <c r="H29" s="48">
        <f>('Sheet1 (2)'!H29-'Sheet1 (2)'!H$526)/'Sheet1 (2)'!H$527</f>
        <v>1.0998335548247185</v>
      </c>
      <c r="I29" s="48">
        <f>('Sheet1 (2)'!I29-'Sheet1 (2)'!I$526)/'Sheet1 (2)'!I$527</f>
        <v>0.59854501802873317</v>
      </c>
      <c r="J29" s="48">
        <f>('Sheet1 (2)'!J29-'Sheet1 (2)'!J$526)/'Sheet1 (2)'!J$527</f>
        <v>-0.83945425120312078</v>
      </c>
      <c r="K29" s="48">
        <f>('Sheet1 (2)'!K29-'Sheet1 (2)'!K$526)/'Sheet1 (2)'!K$527</f>
        <v>-1.6785618080530553E-2</v>
      </c>
    </row>
    <row r="30" spans="1:11" ht="12.75" x14ac:dyDescent="0.2">
      <c r="A30" s="50">
        <v>2</v>
      </c>
      <c r="B30" s="48">
        <f>('Sheet1 (2)'!B30-'Sheet1 (2)'!B$526)/'Sheet1 (2)'!B$527</f>
        <v>1.1794716518179513E-2</v>
      </c>
      <c r="C30" s="48">
        <f>('Sheet1 (2)'!C30-'Sheet1 (2)'!C$526)/'Sheet1 (2)'!C$527</f>
        <v>1.8475868383555052</v>
      </c>
      <c r="D30" s="48">
        <f>('Sheet1 (2)'!D30-'Sheet1 (2)'!D$526)/'Sheet1 (2)'!D$527</f>
        <v>-0.4704097020702403</v>
      </c>
      <c r="E30" s="48">
        <f>('Sheet1 (2)'!E30-'Sheet1 (2)'!E$526)/'Sheet1 (2)'!E$527</f>
        <v>2.0183520806525901</v>
      </c>
      <c r="F30" s="48">
        <f>('Sheet1 (2)'!F30-'Sheet1 (2)'!F$526)/'Sheet1 (2)'!F$527</f>
        <v>-1.1978791963165167</v>
      </c>
      <c r="G30" s="48">
        <f>('Sheet1 (2)'!G30-'Sheet1 (2)'!G$526)/'Sheet1 (2)'!G$527</f>
        <v>-0.50144115274505707</v>
      </c>
      <c r="H30" s="48">
        <f>('Sheet1 (2)'!H30-'Sheet1 (2)'!H$526)/'Sheet1 (2)'!H$527</f>
        <v>1.073864612949158</v>
      </c>
      <c r="I30" s="48">
        <f>('Sheet1 (2)'!I30-'Sheet1 (2)'!I$526)/'Sheet1 (2)'!I$527</f>
        <v>-0.37528309872408605</v>
      </c>
      <c r="J30" s="48">
        <f>('Sheet1 (2)'!J30-'Sheet1 (2)'!J$526)/'Sheet1 (2)'!J$527</f>
        <v>-0.83945425120312078</v>
      </c>
      <c r="K30" s="48">
        <f>('Sheet1 (2)'!K30-'Sheet1 (2)'!K$526)/'Sheet1 (2)'!K$527</f>
        <v>0.19693996793032786</v>
      </c>
    </row>
    <row r="31" spans="1:11" ht="12.75" x14ac:dyDescent="0.2">
      <c r="A31" s="51">
        <v>2</v>
      </c>
      <c r="B31" s="48">
        <f>('Sheet1 (2)'!B31-'Sheet1 (2)'!B$526)/'Sheet1 (2)'!B$527</f>
        <v>1.1794716518179513E-2</v>
      </c>
      <c r="C31" s="48">
        <f>('Sheet1 (2)'!C31-'Sheet1 (2)'!C$526)/'Sheet1 (2)'!C$527</f>
        <v>1.8784730229747413</v>
      </c>
      <c r="D31" s="48">
        <f>('Sheet1 (2)'!D31-'Sheet1 (2)'!D$526)/'Sheet1 (2)'!D$527</f>
        <v>3.3218162038498509</v>
      </c>
      <c r="E31" s="48">
        <f>('Sheet1 (2)'!E31-'Sheet1 (2)'!E$526)/'Sheet1 (2)'!E$527</f>
        <v>-0.633098962692763</v>
      </c>
      <c r="F31" s="48">
        <f>('Sheet1 (2)'!F31-'Sheet1 (2)'!F$526)/'Sheet1 (2)'!F$527</f>
        <v>-1.1978791963165167</v>
      </c>
      <c r="G31" s="48">
        <f>('Sheet1 (2)'!G31-'Sheet1 (2)'!G$526)/'Sheet1 (2)'!G$527</f>
        <v>-0.50144115274505707</v>
      </c>
      <c r="H31" s="48">
        <f>('Sheet1 (2)'!H31-'Sheet1 (2)'!H$526)/'Sheet1 (2)'!H$527</f>
        <v>0.92942108427933068</v>
      </c>
      <c r="I31" s="48">
        <f>('Sheet1 (2)'!I31-'Sheet1 (2)'!I$526)/'Sheet1 (2)'!I$527</f>
        <v>8.7800174252376226E-2</v>
      </c>
      <c r="J31" s="48">
        <f>('Sheet1 (2)'!J31-'Sheet1 (2)'!J$526)/'Sheet1 (2)'!J$527</f>
        <v>-0.83945425120312078</v>
      </c>
      <c r="K31" s="48">
        <f>('Sheet1 (2)'!K31-'Sheet1 (2)'!K$526)/'Sheet1 (2)'!K$527</f>
        <v>0.84516359830650978</v>
      </c>
    </row>
    <row r="32" spans="1:11" ht="12.75" x14ac:dyDescent="0.2">
      <c r="A32" s="48">
        <v>2</v>
      </c>
      <c r="B32" s="48">
        <f>('Sheet1 (2)'!B32-'Sheet1 (2)'!B$526)/'Sheet1 (2)'!B$527</f>
        <v>1.2478810076233939</v>
      </c>
      <c r="C32" s="48">
        <f>('Sheet1 (2)'!C32-'Sheet1 (2)'!C$526)/'Sheet1 (2)'!C$527</f>
        <v>-0.63696325599629444</v>
      </c>
      <c r="D32" s="48">
        <f>('Sheet1 (2)'!D32-'Sheet1 (2)'!D$526)/'Sheet1 (2)'!D$527</f>
        <v>-0.4704097020702403</v>
      </c>
      <c r="E32" s="48">
        <f>('Sheet1 (2)'!E32-'Sheet1 (2)'!E$526)/'Sheet1 (2)'!E$527</f>
        <v>6.307925752703071E-2</v>
      </c>
      <c r="F32" s="48">
        <f>('Sheet1 (2)'!F32-'Sheet1 (2)'!F$526)/'Sheet1 (2)'!F$527</f>
        <v>1.2684811135846812</v>
      </c>
      <c r="G32" s="48">
        <f>('Sheet1 (2)'!G32-'Sheet1 (2)'!G$526)/'Sheet1 (2)'!G$527</f>
        <v>-0.50144115274505707</v>
      </c>
      <c r="H32" s="48">
        <f>('Sheet1 (2)'!H32-'Sheet1 (2)'!H$526)/'Sheet1 (2)'!H$527</f>
        <v>2.6194381377751055E-2</v>
      </c>
      <c r="I32" s="48">
        <f>('Sheet1 (2)'!I32-'Sheet1 (2)'!I$526)/'Sheet1 (2)'!I$527</f>
        <v>0.59306511389288119</v>
      </c>
      <c r="J32" s="48">
        <f>('Sheet1 (2)'!J32-'Sheet1 (2)'!J$526)/'Sheet1 (2)'!J$527</f>
        <v>-0.23594726845093664</v>
      </c>
      <c r="K32" s="48">
        <f>('Sheet1 (2)'!K32-'Sheet1 (2)'!K$526)/'Sheet1 (2)'!K$527</f>
        <v>-9.9667745304978933E-2</v>
      </c>
    </row>
    <row r="33" spans="1:11" ht="12.75" x14ac:dyDescent="0.2">
      <c r="A33" s="49">
        <v>2</v>
      </c>
      <c r="B33" s="48">
        <f>('Sheet1 (2)'!B33-'Sheet1 (2)'!B$526)/'Sheet1 (2)'!B$527</f>
        <v>1.2478810076233939</v>
      </c>
      <c r="C33" s="48">
        <f>('Sheet1 (2)'!C33-'Sheet1 (2)'!C$526)/'Sheet1 (2)'!C$527</f>
        <v>-0.45206156185170843</v>
      </c>
      <c r="D33" s="48">
        <f>('Sheet1 (2)'!D33-'Sheet1 (2)'!D$526)/'Sheet1 (2)'!D$527</f>
        <v>-0.4704097020702403</v>
      </c>
      <c r="E33" s="48">
        <f>('Sheet1 (2)'!E33-'Sheet1 (2)'!E$526)/'Sheet1 (2)'!E$527</f>
        <v>0.41461479446969884</v>
      </c>
      <c r="F33" s="48">
        <f>('Sheet1 (2)'!F33-'Sheet1 (2)'!F$526)/'Sheet1 (2)'!F$527</f>
        <v>1.2684811135846812</v>
      </c>
      <c r="G33" s="48">
        <f>('Sheet1 (2)'!G33-'Sheet1 (2)'!G$526)/'Sheet1 (2)'!G$527</f>
        <v>0.50624102383758041</v>
      </c>
      <c r="H33" s="48">
        <f>('Sheet1 (2)'!H33-'Sheet1 (2)'!H$526)/'Sheet1 (2)'!H$527</f>
        <v>-1.0614693182480088</v>
      </c>
      <c r="I33" s="48">
        <f>('Sheet1 (2)'!I33-'Sheet1 (2)'!I$526)/'Sheet1 (2)'!I$527</f>
        <v>0.6364717893980345</v>
      </c>
      <c r="J33" s="48">
        <f>('Sheet1 (2)'!J33-'Sheet1 (2)'!J$526)/'Sheet1 (2)'!J$527</f>
        <v>-0.68989644547307338</v>
      </c>
      <c r="K33" s="48">
        <f>('Sheet1 (2)'!K33-'Sheet1 (2)'!K$526)/'Sheet1 (2)'!K$527</f>
        <v>-0.79014132551719329</v>
      </c>
    </row>
    <row r="34" spans="1:11" ht="12.75" x14ac:dyDescent="0.2">
      <c r="A34" s="50">
        <v>2</v>
      </c>
      <c r="B34" s="48">
        <f>('Sheet1 (2)'!B34-'Sheet1 (2)'!B$526)/'Sheet1 (2)'!B$527</f>
        <v>1.2478810076233939</v>
      </c>
      <c r="C34" s="48">
        <f>('Sheet1 (2)'!C34-'Sheet1 (2)'!C$526)/'Sheet1 (2)'!C$527</f>
        <v>-0.41362037074031788</v>
      </c>
      <c r="D34" s="48">
        <f>('Sheet1 (2)'!D34-'Sheet1 (2)'!D$526)/'Sheet1 (2)'!D$527</f>
        <v>-0.4704097020702403</v>
      </c>
      <c r="E34" s="48">
        <f>('Sheet1 (2)'!E34-'Sheet1 (2)'!E$526)/'Sheet1 (2)'!E$527</f>
        <v>0.54787663200352077</v>
      </c>
      <c r="F34" s="48">
        <f>('Sheet1 (2)'!F34-'Sheet1 (2)'!F$526)/'Sheet1 (2)'!F$527</f>
        <v>3.5300958634082259E-2</v>
      </c>
      <c r="G34" s="48">
        <f>('Sheet1 (2)'!G34-'Sheet1 (2)'!G$526)/'Sheet1 (2)'!G$527</f>
        <v>-0.50144115274505707</v>
      </c>
      <c r="H34" s="48">
        <f>('Sheet1 (2)'!H34-'Sheet1 (2)'!H$526)/'Sheet1 (2)'!H$527</f>
        <v>1.4041714342825954E-2</v>
      </c>
      <c r="I34" s="48">
        <f>('Sheet1 (2)'!I34-'Sheet1 (2)'!I$526)/'Sheet1 (2)'!I$527</f>
        <v>-1.413855294757147</v>
      </c>
      <c r="J34" s="48">
        <f>('Sheet1 (2)'!J34-'Sheet1 (2)'!J$526)/'Sheet1 (2)'!J$527</f>
        <v>0.93152609644841067</v>
      </c>
      <c r="K34" s="48">
        <f>('Sheet1 (2)'!K34-'Sheet1 (2)'!K$526)/'Sheet1 (2)'!K$527</f>
        <v>-0.41163360064355592</v>
      </c>
    </row>
    <row r="35" spans="1:11" ht="12.75" x14ac:dyDescent="0.2">
      <c r="A35" s="49">
        <v>2</v>
      </c>
      <c r="B35" s="48">
        <f>('Sheet1 (2)'!B35-'Sheet1 (2)'!B$526)/'Sheet1 (2)'!B$527</f>
        <v>1.2478810076233939</v>
      </c>
      <c r="C35" s="48">
        <f>('Sheet1 (2)'!C35-'Sheet1 (2)'!C$526)/'Sheet1 (2)'!C$527</f>
        <v>-0.24126590748056048</v>
      </c>
      <c r="D35" s="48">
        <f>('Sheet1 (2)'!D35-'Sheet1 (2)'!D$526)/'Sheet1 (2)'!D$527</f>
        <v>-0.4704097020702403</v>
      </c>
      <c r="E35" s="48">
        <f>('Sheet1 (2)'!E35-'Sheet1 (2)'!E$526)/'Sheet1 (2)'!E$527</f>
        <v>-0.37576575917917587</v>
      </c>
      <c r="F35" s="48">
        <f>('Sheet1 (2)'!F35-'Sheet1 (2)'!F$526)/'Sheet1 (2)'!F$527</f>
        <v>3.5300958634082259E-2</v>
      </c>
      <c r="G35" s="48">
        <f>('Sheet1 (2)'!G35-'Sheet1 (2)'!G$526)/'Sheet1 (2)'!G$527</f>
        <v>-0.21366587068843407</v>
      </c>
      <c r="H35" s="48">
        <f>('Sheet1 (2)'!H35-'Sheet1 (2)'!H$526)/'Sheet1 (2)'!H$527</f>
        <v>-0.37767925308291328</v>
      </c>
      <c r="I35" s="48">
        <f>('Sheet1 (2)'!I35-'Sheet1 (2)'!I$526)/'Sheet1 (2)'!I$527</f>
        <v>-0.25172362955195149</v>
      </c>
      <c r="J35" s="48">
        <f>('Sheet1 (2)'!J35-'Sheet1 (2)'!J$526)/'Sheet1 (2)'!J$527</f>
        <v>-0.6396377328258791</v>
      </c>
      <c r="K35" s="48">
        <f>('Sheet1 (2)'!K35-'Sheet1 (2)'!K$526)/'Sheet1 (2)'!K$527</f>
        <v>-0.62484416305357171</v>
      </c>
    </row>
    <row r="36" spans="1:11" ht="12.75" x14ac:dyDescent="0.2">
      <c r="A36" s="50">
        <v>2</v>
      </c>
      <c r="B36" s="48">
        <f>('Sheet1 (2)'!B36-'Sheet1 (2)'!B$526)/'Sheet1 (2)'!B$527</f>
        <v>1.2478810076233939</v>
      </c>
      <c r="C36" s="48">
        <f>('Sheet1 (2)'!C36-'Sheet1 (2)'!C$526)/'Sheet1 (2)'!C$527</f>
        <v>-0.29887330649751692</v>
      </c>
      <c r="D36" s="48">
        <f>('Sheet1 (2)'!D36-'Sheet1 (2)'!D$526)/'Sheet1 (2)'!D$527</f>
        <v>-0.4704097020702403</v>
      </c>
      <c r="E36" s="48">
        <f>('Sheet1 (2)'!E36-'Sheet1 (2)'!E$526)/'Sheet1 (2)'!E$527</f>
        <v>-0.63999181635830549</v>
      </c>
      <c r="F36" s="48">
        <f>('Sheet1 (2)'!F36-'Sheet1 (2)'!F$526)/'Sheet1 (2)'!F$527</f>
        <v>-1.1978791963165167</v>
      </c>
      <c r="G36" s="48">
        <f>('Sheet1 (2)'!G36-'Sheet1 (2)'!G$526)/'Sheet1 (2)'!G$527</f>
        <v>0.34969876942892869</v>
      </c>
      <c r="H36" s="48">
        <f>('Sheet1 (2)'!H36-'Sheet1 (2)'!H$526)/'Sheet1 (2)'!H$527</f>
        <v>-6.1709910174871374E-2</v>
      </c>
      <c r="I36" s="48">
        <f>('Sheet1 (2)'!I36-'Sheet1 (2)'!I$526)/'Sheet1 (2)'!I$527</f>
        <v>0.18854407914317525</v>
      </c>
      <c r="J36" s="48">
        <f>('Sheet1 (2)'!J36-'Sheet1 (2)'!J$526)/'Sheet1 (2)'!J$527</f>
        <v>-6.3580356869343213E-2</v>
      </c>
      <c r="K36" s="48">
        <f>('Sheet1 (2)'!K36-'Sheet1 (2)'!K$526)/'Sheet1 (2)'!K$527</f>
        <v>-0.95153383059978447</v>
      </c>
    </row>
    <row r="37" spans="1:11" ht="12.75" x14ac:dyDescent="0.2">
      <c r="A37" s="51">
        <v>2</v>
      </c>
      <c r="B37" s="48">
        <f>('Sheet1 (2)'!B37-'Sheet1 (2)'!B$526)/'Sheet1 (2)'!B$527</f>
        <v>1.2478810076233939</v>
      </c>
      <c r="C37" s="48">
        <f>('Sheet1 (2)'!C37-'Sheet1 (2)'!C$526)/'Sheet1 (2)'!C$527</f>
        <v>-0.82557418787970016</v>
      </c>
      <c r="D37" s="48">
        <f>('Sheet1 (2)'!D37-'Sheet1 (2)'!D$526)/'Sheet1 (2)'!D$527</f>
        <v>-0.4704097020702403</v>
      </c>
      <c r="E37" s="48">
        <f>('Sheet1 (2)'!E37-'Sheet1 (2)'!E$526)/'Sheet1 (2)'!E$527</f>
        <v>-0.63080134480424876</v>
      </c>
      <c r="F37" s="48">
        <f>('Sheet1 (2)'!F37-'Sheet1 (2)'!F$526)/'Sheet1 (2)'!F$527</f>
        <v>-1.1978791963165167</v>
      </c>
      <c r="G37" s="48">
        <f>('Sheet1 (2)'!G37-'Sheet1 (2)'!G$526)/'Sheet1 (2)'!G$527</f>
        <v>0.47155800938775927</v>
      </c>
      <c r="H37" s="48">
        <f>('Sheet1 (2)'!H37-'Sheet1 (2)'!H$526)/'Sheet1 (2)'!H$527</f>
        <v>-0.82854320007861959</v>
      </c>
      <c r="I37" s="48">
        <f>('Sheet1 (2)'!I37-'Sheet1 (2)'!I$526)/'Sheet1 (2)'!I$527</f>
        <v>-1.4893610244173729</v>
      </c>
      <c r="J37" s="48">
        <f>('Sheet1 (2)'!J37-'Sheet1 (2)'!J$526)/'Sheet1 (2)'!J$527</f>
        <v>0.20531680218420864</v>
      </c>
      <c r="K37" s="48">
        <f>('Sheet1 (2)'!K37-'Sheet1 (2)'!K$526)/'Sheet1 (2)'!K$527</f>
        <v>-0.18817331260833528</v>
      </c>
    </row>
    <row r="38" spans="1:11" ht="12.75" x14ac:dyDescent="0.2">
      <c r="A38" s="48">
        <v>3</v>
      </c>
      <c r="B38" s="48">
        <f>('Sheet1 (2)'!B38-'Sheet1 (2)'!B$526)/'Sheet1 (2)'!B$527</f>
        <v>-1.2242915745870349</v>
      </c>
      <c r="C38" s="48">
        <f>('Sheet1 (2)'!C38-'Sheet1 (2)'!C$526)/'Sheet1 (2)'!C$527</f>
        <v>-0.407267893205215</v>
      </c>
      <c r="D38" s="48">
        <f>('Sheet1 (2)'!D38-'Sheet1 (2)'!D$526)/'Sheet1 (2)'!D$527</f>
        <v>-0.4704097020702403</v>
      </c>
      <c r="E38" s="48">
        <f>('Sheet1 (2)'!E38-'Sheet1 (2)'!E$526)/'Sheet1 (2)'!E$527</f>
        <v>-0.31832531196632163</v>
      </c>
      <c r="F38" s="48">
        <f>('Sheet1 (2)'!F38-'Sheet1 (2)'!F$526)/'Sheet1 (2)'!F$527</f>
        <v>1.2684811135846812</v>
      </c>
      <c r="G38" s="48">
        <f>('Sheet1 (2)'!G38-'Sheet1 (2)'!G$526)/'Sheet1 (2)'!G$527</f>
        <v>-0.50144115274505707</v>
      </c>
      <c r="H38" s="48">
        <f>('Sheet1 (2)'!H38-'Sheet1 (2)'!H$526)/'Sheet1 (2)'!H$527</f>
        <v>0.25385434383200567</v>
      </c>
      <c r="I38" s="48">
        <f>('Sheet1 (2)'!I38-'Sheet1 (2)'!I$526)/'Sheet1 (2)'!I$527</f>
        <v>0.83927944974143975</v>
      </c>
      <c r="J38" s="48">
        <f>('Sheet1 (2)'!J38-'Sheet1 (2)'!J$526)/'Sheet1 (2)'!J$527</f>
        <v>0.37991063236332873</v>
      </c>
      <c r="K38" s="48">
        <f>('Sheet1 (2)'!K38-'Sheet1 (2)'!K$526)/'Sheet1 (2)'!K$527</f>
        <v>-0.52063861919732213</v>
      </c>
    </row>
    <row r="39" spans="1:11" ht="12.75" x14ac:dyDescent="0.2">
      <c r="A39" s="49">
        <v>3</v>
      </c>
      <c r="B39" s="48">
        <f>('Sheet1 (2)'!B39-'Sheet1 (2)'!B$526)/'Sheet1 (2)'!B$527</f>
        <v>-1.2242915745870349</v>
      </c>
      <c r="C39" s="48">
        <f>('Sheet1 (2)'!C39-'Sheet1 (2)'!C$526)/'Sheet1 (2)'!C$527</f>
        <v>9.1320011825131178E-2</v>
      </c>
      <c r="D39" s="48">
        <f>('Sheet1 (2)'!D39-'Sheet1 (2)'!D$526)/'Sheet1 (2)'!D$527</f>
        <v>-0.4704097020702403</v>
      </c>
      <c r="E39" s="48">
        <f>('Sheet1 (2)'!E39-'Sheet1 (2)'!E$526)/'Sheet1 (2)'!E$527</f>
        <v>-0.15749205977032965</v>
      </c>
      <c r="F39" s="48">
        <f>('Sheet1 (2)'!F39-'Sheet1 (2)'!F$526)/'Sheet1 (2)'!F$527</f>
        <v>1.2684811135846812</v>
      </c>
      <c r="G39" s="48">
        <f>('Sheet1 (2)'!G39-'Sheet1 (2)'!G$526)/'Sheet1 (2)'!G$527</f>
        <v>-0.50144115274505707</v>
      </c>
      <c r="H39" s="48">
        <f>('Sheet1 (2)'!H39-'Sheet1 (2)'!H$526)/'Sheet1 (2)'!H$527</f>
        <v>-0.64301248334543593</v>
      </c>
      <c r="I39" s="48">
        <f>('Sheet1 (2)'!I39-'Sheet1 (2)'!I$526)/'Sheet1 (2)'!I$527</f>
        <v>0.59561844774612549</v>
      </c>
      <c r="J39" s="48">
        <f>('Sheet1 (2)'!J39-'Sheet1 (2)'!J$526)/'Sheet1 (2)'!J$527</f>
        <v>2.8755076110008848</v>
      </c>
      <c r="K39" s="48">
        <f>('Sheet1 (2)'!K39-'Sheet1 (2)'!K$526)/'Sheet1 (2)'!K$527</f>
        <v>-1.0296269782203928</v>
      </c>
    </row>
    <row r="40" spans="1:11" ht="12.75" x14ac:dyDescent="0.2">
      <c r="A40" s="50">
        <v>3</v>
      </c>
      <c r="B40" s="48">
        <f>('Sheet1 (2)'!B40-'Sheet1 (2)'!B$526)/'Sheet1 (2)'!B$527</f>
        <v>-1.2242915745870349</v>
      </c>
      <c r="C40" s="48">
        <f>('Sheet1 (2)'!C40-'Sheet1 (2)'!C$526)/'Sheet1 (2)'!C$527</f>
        <v>-0.97918122813988606</v>
      </c>
      <c r="D40" s="48">
        <f>('Sheet1 (2)'!D40-'Sheet1 (2)'!D$526)/'Sheet1 (2)'!D$527</f>
        <v>-0.4704097020702403</v>
      </c>
      <c r="E40" s="48">
        <f>('Sheet1 (2)'!E40-'Sheet1 (2)'!E$526)/'Sheet1 (2)'!E$527</f>
        <v>-0.70892035301373069</v>
      </c>
      <c r="F40" s="48">
        <f>('Sheet1 (2)'!F40-'Sheet1 (2)'!F$526)/'Sheet1 (2)'!F$527</f>
        <v>3.5300958634082259E-2</v>
      </c>
      <c r="G40" s="48">
        <f>('Sheet1 (2)'!G40-'Sheet1 (2)'!G$526)/'Sheet1 (2)'!G$527</f>
        <v>0.55873423489676888</v>
      </c>
      <c r="H40" s="48">
        <f>('Sheet1 (2)'!H40-'Sheet1 (2)'!H$526)/'Sheet1 (2)'!H$527</f>
        <v>-0.36552658604798849</v>
      </c>
      <c r="I40" s="48">
        <f>('Sheet1 (2)'!I40-'Sheet1 (2)'!I$526)/'Sheet1 (2)'!I$527</f>
        <v>-1.8428153821021922</v>
      </c>
      <c r="J40" s="48">
        <f>('Sheet1 (2)'!J40-'Sheet1 (2)'!J$526)/'Sheet1 (2)'!J$527</f>
        <v>-0.47847666759849028</v>
      </c>
      <c r="K40" s="48">
        <f>('Sheet1 (2)'!K40-'Sheet1 (2)'!K$526)/'Sheet1 (2)'!K$527</f>
        <v>0.16601165066263338</v>
      </c>
    </row>
    <row r="41" spans="1:11" ht="12.75" x14ac:dyDescent="0.2">
      <c r="A41" s="49">
        <v>3</v>
      </c>
      <c r="B41" s="48">
        <f>('Sheet1 (2)'!B41-'Sheet1 (2)'!B$526)/'Sheet1 (2)'!B$527</f>
        <v>-1.2242915745870349</v>
      </c>
      <c r="C41" s="48">
        <f>('Sheet1 (2)'!C41-'Sheet1 (2)'!C$526)/'Sheet1 (2)'!C$527</f>
        <v>6.6421345595936307E-2</v>
      </c>
      <c r="D41" s="48">
        <f>('Sheet1 (2)'!D41-'Sheet1 (2)'!D$526)/'Sheet1 (2)'!D$527</f>
        <v>-0.4704097020702403</v>
      </c>
      <c r="E41" s="48">
        <f>('Sheet1 (2)'!E41-'Sheet1 (2)'!E$526)/'Sheet1 (2)'!E$527</f>
        <v>-0.58944422281099373</v>
      </c>
      <c r="F41" s="48">
        <f>('Sheet1 (2)'!F41-'Sheet1 (2)'!F$526)/'Sheet1 (2)'!F$527</f>
        <v>3.5300958634082259E-2</v>
      </c>
      <c r="G41" s="48">
        <f>('Sheet1 (2)'!G41-'Sheet1 (2)'!G$526)/'Sheet1 (2)'!G$527</f>
        <v>-0.50144115274505707</v>
      </c>
      <c r="H41" s="48">
        <f>('Sheet1 (2)'!H41-'Sheet1 (2)'!H$526)/'Sheet1 (2)'!H$527</f>
        <v>-0.69729439610143251</v>
      </c>
      <c r="I41" s="48">
        <f>('Sheet1 (2)'!I41-'Sheet1 (2)'!I$526)/'Sheet1 (2)'!I$527</f>
        <v>0.22137265725631627</v>
      </c>
      <c r="J41" s="48">
        <f>('Sheet1 (2)'!J41-'Sheet1 (2)'!J$526)/'Sheet1 (2)'!J$527</f>
        <v>-0.83945425120312078</v>
      </c>
      <c r="K41" s="48">
        <f>('Sheet1 (2)'!K41-'Sheet1 (2)'!K$526)/'Sheet1 (2)'!K$527</f>
        <v>-0.86750234987885877</v>
      </c>
    </row>
    <row r="42" spans="1:11" ht="12.75" x14ac:dyDescent="0.2">
      <c r="A42" s="50">
        <v>3</v>
      </c>
      <c r="B42" s="48">
        <f>('Sheet1 (2)'!B42-'Sheet1 (2)'!B$526)/'Sheet1 (2)'!B$527</f>
        <v>-1.2242915745870349</v>
      </c>
      <c r="C42" s="48">
        <f>('Sheet1 (2)'!C42-'Sheet1 (2)'!C$526)/'Sheet1 (2)'!C$527</f>
        <v>-0.10225651251507928</v>
      </c>
      <c r="D42" s="48">
        <f>('Sheet1 (2)'!D42-'Sheet1 (2)'!D$526)/'Sheet1 (2)'!D$527</f>
        <v>-0.4704097020702403</v>
      </c>
      <c r="E42" s="48">
        <f>('Sheet1 (2)'!E42-'Sheet1 (2)'!E$526)/'Sheet1 (2)'!E$527</f>
        <v>-0.83988457265903826</v>
      </c>
      <c r="F42" s="48">
        <f>('Sheet1 (2)'!F42-'Sheet1 (2)'!F$526)/'Sheet1 (2)'!F$527</f>
        <v>-1.1978791963165167</v>
      </c>
      <c r="G42" s="48">
        <f>('Sheet1 (2)'!G42-'Sheet1 (2)'!G$526)/'Sheet1 (2)'!G$527</f>
        <v>-0.50144115274505707</v>
      </c>
      <c r="H42" s="48">
        <f>('Sheet1 (2)'!H42-'Sheet1 (2)'!H$526)/'Sheet1 (2)'!H$527</f>
        <v>-0.73253713050271441</v>
      </c>
      <c r="I42" s="48">
        <f>('Sheet1 (2)'!I42-'Sheet1 (2)'!I$526)/'Sheet1 (2)'!I$527</f>
        <v>-0.15396741917059756</v>
      </c>
      <c r="J42" s="48">
        <f>('Sheet1 (2)'!J42-'Sheet1 (2)'!J$526)/'Sheet1 (2)'!J$527</f>
        <v>-0.45846250013996409</v>
      </c>
      <c r="K42" s="48">
        <f>('Sheet1 (2)'!K42-'Sheet1 (2)'!K$526)/'Sheet1 (2)'!K$527</f>
        <v>-1.1317174993285846</v>
      </c>
    </row>
    <row r="43" spans="1:11" ht="12.75" x14ac:dyDescent="0.2">
      <c r="A43" s="49">
        <v>3</v>
      </c>
      <c r="B43" s="48">
        <f>('Sheet1 (2)'!B43-'Sheet1 (2)'!B$526)/'Sheet1 (2)'!B$527</f>
        <v>-1.2242915745870349</v>
      </c>
      <c r="C43" s="48">
        <f>('Sheet1 (2)'!C43-'Sheet1 (2)'!C$526)/'Sheet1 (2)'!C$527</f>
        <v>-0.93702536052466479</v>
      </c>
      <c r="D43" s="48">
        <f>('Sheet1 (2)'!D43-'Sheet1 (2)'!D$526)/'Sheet1 (2)'!D$527</f>
        <v>-0.4704097020702403</v>
      </c>
      <c r="E43" s="48">
        <f>('Sheet1 (2)'!E43-'Sheet1 (2)'!E$526)/'Sheet1 (2)'!E$527</f>
        <v>-0.94787261341920437</v>
      </c>
      <c r="F43" s="48">
        <f>('Sheet1 (2)'!F43-'Sheet1 (2)'!F$526)/'Sheet1 (2)'!F$527</f>
        <v>-1.1978791963165167</v>
      </c>
      <c r="G43" s="48">
        <f>('Sheet1 (2)'!G43-'Sheet1 (2)'!G$526)/'Sheet1 (2)'!G$527</f>
        <v>-0.50144115274505707</v>
      </c>
      <c r="H43" s="48">
        <f>('Sheet1 (2)'!H43-'Sheet1 (2)'!H$526)/'Sheet1 (2)'!H$527</f>
        <v>-1.1708433215623313</v>
      </c>
      <c r="I43" s="48">
        <f>('Sheet1 (2)'!I43-'Sheet1 (2)'!I$526)/'Sheet1 (2)'!I$527</f>
        <v>0.66674703365793131</v>
      </c>
      <c r="J43" s="48">
        <f>('Sheet1 (2)'!J43-'Sheet1 (2)'!J$526)/'Sheet1 (2)'!J$527</f>
        <v>-0.19413860293811488</v>
      </c>
      <c r="K43" s="48">
        <f>('Sheet1 (2)'!K43-'Sheet1 (2)'!K$526)/'Sheet1 (2)'!K$527</f>
        <v>-0.88043652745352197</v>
      </c>
    </row>
    <row r="44" spans="1:11" ht="12.75" x14ac:dyDescent="0.2">
      <c r="A44" s="48">
        <v>3</v>
      </c>
      <c r="B44" s="48">
        <f>('Sheet1 (2)'!B44-'Sheet1 (2)'!B$526)/'Sheet1 (2)'!B$527</f>
        <v>1.1794716518179513E-2</v>
      </c>
      <c r="C44" s="48">
        <f>('Sheet1 (2)'!C44-'Sheet1 (2)'!C$526)/'Sheet1 (2)'!C$527</f>
        <v>0.30028542869965197</v>
      </c>
      <c r="D44" s="48">
        <f>('Sheet1 (2)'!D44-'Sheet1 (2)'!D$526)/'Sheet1 (2)'!D$527</f>
        <v>-0.4704097020702403</v>
      </c>
      <c r="E44" s="48">
        <f>('Sheet1 (2)'!E44-'Sheet1 (2)'!E$526)/'Sheet1 (2)'!E$527</f>
        <v>-0.34130149085146322</v>
      </c>
      <c r="F44" s="48">
        <f>('Sheet1 (2)'!F44-'Sheet1 (2)'!F$526)/'Sheet1 (2)'!F$527</f>
        <v>1.2684811135846812</v>
      </c>
      <c r="G44" s="48">
        <f>('Sheet1 (2)'!G44-'Sheet1 (2)'!G$526)/'Sheet1 (2)'!G$527</f>
        <v>0.69469776705930697</v>
      </c>
      <c r="H44" s="48">
        <f>('Sheet1 (2)'!H44-'Sheet1 (2)'!H$526)/'Sheet1 (2)'!H$527</f>
        <v>1.7807134804741878</v>
      </c>
      <c r="I44" s="48">
        <f>('Sheet1 (2)'!I44-'Sheet1 (2)'!I$526)/'Sheet1 (2)'!I$527</f>
        <v>-1.7004983268948655</v>
      </c>
      <c r="J44" s="48">
        <f>('Sheet1 (2)'!J44-'Sheet1 (2)'!J$526)/'Sheet1 (2)'!J$527</f>
        <v>-0.30515030745945732</v>
      </c>
      <c r="K44" s="48">
        <f>('Sheet1 (2)'!K44-'Sheet1 (2)'!K$526)/'Sheet1 (2)'!K$527</f>
        <v>-0.32888305286872827</v>
      </c>
    </row>
    <row r="45" spans="1:11" ht="12.75" x14ac:dyDescent="0.2">
      <c r="A45" s="49">
        <v>3</v>
      </c>
      <c r="B45" s="48">
        <f>('Sheet1 (2)'!B45-'Sheet1 (2)'!B$526)/'Sheet1 (2)'!B$527</f>
        <v>1.1794716518179513E-2</v>
      </c>
      <c r="C45" s="48">
        <f>('Sheet1 (2)'!C45-'Sheet1 (2)'!C$526)/'Sheet1 (2)'!C$527</f>
        <v>1.840454001815802</v>
      </c>
      <c r="D45" s="48">
        <f>('Sheet1 (2)'!D45-'Sheet1 (2)'!D$526)/'Sheet1 (2)'!D$527</f>
        <v>-0.4704097020702403</v>
      </c>
      <c r="E45" s="48">
        <f>('Sheet1 (2)'!E45-'Sheet1 (2)'!E$526)/'Sheet1 (2)'!E$527</f>
        <v>-0.21952774276021236</v>
      </c>
      <c r="F45" s="48">
        <f>('Sheet1 (2)'!F45-'Sheet1 (2)'!F$526)/'Sheet1 (2)'!F$527</f>
        <v>1.2684811135846812</v>
      </c>
      <c r="G45" s="48">
        <f>('Sheet1 (2)'!G45-'Sheet1 (2)'!G$526)/'Sheet1 (2)'!G$527</f>
        <v>-0.50144115274505707</v>
      </c>
      <c r="H45" s="48">
        <f>('Sheet1 (2)'!H45-'Sheet1 (2)'!H$526)/'Sheet1 (2)'!H$527</f>
        <v>1.5866585668100801</v>
      </c>
      <c r="I45" s="48">
        <f>('Sheet1 (2)'!I45-'Sheet1 (2)'!I$526)/'Sheet1 (2)'!I$527</f>
        <v>0.10764923506756054</v>
      </c>
      <c r="J45" s="48">
        <f>('Sheet1 (2)'!J45-'Sheet1 (2)'!J$526)/'Sheet1 (2)'!J$527</f>
        <v>-0.83945425120312078</v>
      </c>
      <c r="K45" s="48">
        <f>('Sheet1 (2)'!K45-'Sheet1 (2)'!K$526)/'Sheet1 (2)'!K$527</f>
        <v>-1.1316674295798592</v>
      </c>
    </row>
    <row r="46" spans="1:11" ht="12.75" x14ac:dyDescent="0.2">
      <c r="A46" s="50">
        <v>3</v>
      </c>
      <c r="B46" s="48">
        <f>('Sheet1 (2)'!B46-'Sheet1 (2)'!B$526)/'Sheet1 (2)'!B$527</f>
        <v>1.1794716518179513E-2</v>
      </c>
      <c r="C46" s="48">
        <f>('Sheet1 (2)'!C46-'Sheet1 (2)'!C$526)/'Sheet1 (2)'!C$527</f>
        <v>2.0476532277414647</v>
      </c>
      <c r="D46" s="48">
        <f>('Sheet1 (2)'!D46-'Sheet1 (2)'!D$526)/'Sheet1 (2)'!D$527</f>
        <v>-0.4704097020702403</v>
      </c>
      <c r="E46" s="48">
        <f>('Sheet1 (2)'!E46-'Sheet1 (2)'!E$526)/'Sheet1 (2)'!E$527</f>
        <v>-0.47686094627379938</v>
      </c>
      <c r="F46" s="48">
        <f>('Sheet1 (2)'!F46-'Sheet1 (2)'!F$526)/'Sheet1 (2)'!F$527</f>
        <v>3.5300958634082259E-2</v>
      </c>
      <c r="G46" s="48">
        <f>('Sheet1 (2)'!G46-'Sheet1 (2)'!G$526)/'Sheet1 (2)'!G$527</f>
        <v>-0.50144115274505707</v>
      </c>
      <c r="H46" s="48">
        <f>('Sheet1 (2)'!H46-'Sheet1 (2)'!H$526)/'Sheet1 (2)'!H$527</f>
        <v>1.5592999022258773</v>
      </c>
      <c r="I46" s="48">
        <f>('Sheet1 (2)'!I46-'Sheet1 (2)'!I$526)/'Sheet1 (2)'!I$527</f>
        <v>9.7382258187081946E-2</v>
      </c>
      <c r="J46" s="48">
        <f>('Sheet1 (2)'!J46-'Sheet1 (2)'!J$526)/'Sheet1 (2)'!J$527</f>
        <v>-0.83945425120312078</v>
      </c>
      <c r="K46" s="48">
        <f>('Sheet1 (2)'!K46-'Sheet1 (2)'!K$526)/'Sheet1 (2)'!K$527</f>
        <v>-1.3309780468292487</v>
      </c>
    </row>
    <row r="47" spans="1:11" ht="12.75" x14ac:dyDescent="0.2">
      <c r="A47" s="49">
        <v>3</v>
      </c>
      <c r="B47" s="48">
        <f>('Sheet1 (2)'!B47-'Sheet1 (2)'!B$526)/'Sheet1 (2)'!B$527</f>
        <v>1.1794716518179513E-2</v>
      </c>
      <c r="C47" s="48">
        <f>('Sheet1 (2)'!C47-'Sheet1 (2)'!C$526)/'Sheet1 (2)'!C$527</f>
        <v>1.9012778457433801</v>
      </c>
      <c r="D47" s="48">
        <f>('Sheet1 (2)'!D47-'Sheet1 (2)'!D$526)/'Sheet1 (2)'!D$527</f>
        <v>-0.4704097020702403</v>
      </c>
      <c r="E47" s="48">
        <f>('Sheet1 (2)'!E47-'Sheet1 (2)'!E$526)/'Sheet1 (2)'!E$527</f>
        <v>-0.63080134480424876</v>
      </c>
      <c r="F47" s="48">
        <f>('Sheet1 (2)'!F47-'Sheet1 (2)'!F$526)/'Sheet1 (2)'!F$527</f>
        <v>3.5300958634082259E-2</v>
      </c>
      <c r="G47" s="48">
        <f>('Sheet1 (2)'!G47-'Sheet1 (2)'!G$526)/'Sheet1 (2)'!G$527</f>
        <v>-0.50144115274505707</v>
      </c>
      <c r="H47" s="48">
        <f>('Sheet1 (2)'!H47-'Sheet1 (2)'!H$526)/'Sheet1 (2)'!H$527</f>
        <v>1.2174014036420249</v>
      </c>
      <c r="I47" s="48">
        <f>('Sheet1 (2)'!I47-'Sheet1 (2)'!I$526)/'Sheet1 (2)'!I$527</f>
        <v>-0.22534022005446253</v>
      </c>
      <c r="J47" s="48">
        <f>('Sheet1 (2)'!J47-'Sheet1 (2)'!J$526)/'Sheet1 (2)'!J$527</f>
        <v>-0.83945425120312078</v>
      </c>
      <c r="K47" s="48">
        <f>('Sheet1 (2)'!K47-'Sheet1 (2)'!K$526)/'Sheet1 (2)'!K$527</f>
        <v>-1.1984390283442996</v>
      </c>
    </row>
    <row r="48" spans="1:11" ht="12.75" x14ac:dyDescent="0.2">
      <c r="A48" s="50">
        <v>3</v>
      </c>
      <c r="B48" s="48">
        <f>('Sheet1 (2)'!B48-'Sheet1 (2)'!B$526)/'Sheet1 (2)'!B$527</f>
        <v>1.1794716518179513E-2</v>
      </c>
      <c r="C48" s="48">
        <f>('Sheet1 (2)'!C48-'Sheet1 (2)'!C$526)/'Sheet1 (2)'!C$527</f>
        <v>2.029434481785473</v>
      </c>
      <c r="D48" s="48">
        <f>('Sheet1 (2)'!D48-'Sheet1 (2)'!D$526)/'Sheet1 (2)'!D$527</f>
        <v>-0.4704097020702403</v>
      </c>
      <c r="E48" s="48">
        <f>('Sheet1 (2)'!E48-'Sheet1 (2)'!E$526)/'Sheet1 (2)'!E$527</f>
        <v>-0.90192025564892098</v>
      </c>
      <c r="F48" s="48">
        <f>('Sheet1 (2)'!F48-'Sheet1 (2)'!F$526)/'Sheet1 (2)'!F$527</f>
        <v>-1.1978791963165167</v>
      </c>
      <c r="G48" s="48">
        <f>('Sheet1 (2)'!G48-'Sheet1 (2)'!G$526)/'Sheet1 (2)'!G$527</f>
        <v>-0.50144115274505707</v>
      </c>
      <c r="H48" s="48">
        <f>('Sheet1 (2)'!H48-'Sheet1 (2)'!H$526)/'Sheet1 (2)'!H$527</f>
        <v>1.7413433884077587</v>
      </c>
      <c r="I48" s="48">
        <f>('Sheet1 (2)'!I48-'Sheet1 (2)'!I$526)/'Sheet1 (2)'!I$527</f>
        <v>0.37810912410867858</v>
      </c>
      <c r="J48" s="48">
        <f>('Sheet1 (2)'!J48-'Sheet1 (2)'!J$526)/'Sheet1 (2)'!J$527</f>
        <v>-0.83945425120312078</v>
      </c>
      <c r="K48" s="48">
        <f>('Sheet1 (2)'!K48-'Sheet1 (2)'!K$526)/'Sheet1 (2)'!K$527</f>
        <v>-0.98401904877176749</v>
      </c>
    </row>
    <row r="49" spans="1:11" ht="12.75" x14ac:dyDescent="0.2">
      <c r="A49" s="51">
        <v>3</v>
      </c>
      <c r="B49" s="48">
        <f>('Sheet1 (2)'!B49-'Sheet1 (2)'!B$526)/'Sheet1 (2)'!B$527</f>
        <v>1.1794716518179513E-2</v>
      </c>
      <c r="C49" s="48">
        <f>('Sheet1 (2)'!C49-'Sheet1 (2)'!C$526)/'Sheet1 (2)'!C$527</f>
        <v>1.9729810316490139</v>
      </c>
      <c r="D49" s="48">
        <f>('Sheet1 (2)'!D49-'Sheet1 (2)'!D$526)/'Sheet1 (2)'!D$527</f>
        <v>-0.4704097020702403</v>
      </c>
      <c r="E49" s="48">
        <f>('Sheet1 (2)'!E49-'Sheet1 (2)'!E$526)/'Sheet1 (2)'!E$527</f>
        <v>-0.63769419846979136</v>
      </c>
      <c r="F49" s="48">
        <f>('Sheet1 (2)'!F49-'Sheet1 (2)'!F$526)/'Sheet1 (2)'!F$527</f>
        <v>-1.1978791963165167</v>
      </c>
      <c r="G49" s="48">
        <f>('Sheet1 (2)'!G49-'Sheet1 (2)'!G$526)/'Sheet1 (2)'!G$527</f>
        <v>-0.50144115274505707</v>
      </c>
      <c r="H49" s="48">
        <f>('Sheet1 (2)'!H49-'Sheet1 (2)'!H$526)/'Sheet1 (2)'!H$527</f>
        <v>1.0956349293283052</v>
      </c>
      <c r="I49" s="48">
        <f>('Sheet1 (2)'!I49-'Sheet1 (2)'!I$526)/'Sheet1 (2)'!I$527</f>
        <v>-0.48016488920706391</v>
      </c>
      <c r="J49" s="48">
        <f>('Sheet1 (2)'!J49-'Sheet1 (2)'!J$526)/'Sheet1 (2)'!J$527</f>
        <v>5.6566483267443055E-2</v>
      </c>
      <c r="K49" s="48">
        <f>('Sheet1 (2)'!K49-'Sheet1 (2)'!K$526)/'Sheet1 (2)'!K$527</f>
        <v>-0.70767175124976456</v>
      </c>
    </row>
    <row r="50" spans="1:11" ht="12.75" x14ac:dyDescent="0.2">
      <c r="A50" s="48">
        <v>3</v>
      </c>
      <c r="B50" s="48">
        <f>('Sheet1 (2)'!B50-'Sheet1 (2)'!B$526)/'Sheet1 (2)'!B$527</f>
        <v>1.2478810076233939</v>
      </c>
      <c r="C50" s="48">
        <f>('Sheet1 (2)'!C50-'Sheet1 (2)'!C$526)/'Sheet1 (2)'!C$527</f>
        <v>-0.16806274101372809</v>
      </c>
      <c r="D50" s="48">
        <f>('Sheet1 (2)'!D50-'Sheet1 (2)'!D$526)/'Sheet1 (2)'!D$527</f>
        <v>-0.4704097020702403</v>
      </c>
      <c r="E50" s="48">
        <f>('Sheet1 (2)'!E50-'Sheet1 (2)'!E$526)/'Sheet1 (2)'!E$527</f>
        <v>-0.28156342575009485</v>
      </c>
      <c r="F50" s="48">
        <f>('Sheet1 (2)'!F50-'Sheet1 (2)'!F$526)/'Sheet1 (2)'!F$527</f>
        <v>1.2684811135846812</v>
      </c>
      <c r="G50" s="48">
        <f>('Sheet1 (2)'!G50-'Sheet1 (2)'!G$526)/'Sheet1 (2)'!G$527</f>
        <v>-0.50144115274505707</v>
      </c>
      <c r="H50" s="48">
        <f>('Sheet1 (2)'!H50-'Sheet1 (2)'!H$526)/'Sheet1 (2)'!H$527</f>
        <v>0.21759078539979063</v>
      </c>
      <c r="I50" s="48">
        <f>('Sheet1 (2)'!I50-'Sheet1 (2)'!I$526)/'Sheet1 (2)'!I$527</f>
        <v>0.68403675146418563</v>
      </c>
      <c r="J50" s="48">
        <f>('Sheet1 (2)'!J50-'Sheet1 (2)'!J$526)/'Sheet1 (2)'!J$527</f>
        <v>-0.83945425120312078</v>
      </c>
      <c r="K50" s="48">
        <f>('Sheet1 (2)'!K50-'Sheet1 (2)'!K$526)/'Sheet1 (2)'!K$527</f>
        <v>-1.018339264508064</v>
      </c>
    </row>
    <row r="51" spans="1:11" ht="12.75" x14ac:dyDescent="0.2">
      <c r="A51" s="49">
        <v>3</v>
      </c>
      <c r="B51" s="48">
        <f>('Sheet1 (2)'!B51-'Sheet1 (2)'!B$526)/'Sheet1 (2)'!B$527</f>
        <v>1.2478810076233939</v>
      </c>
      <c r="C51" s="48">
        <f>('Sheet1 (2)'!C51-'Sheet1 (2)'!C$526)/'Sheet1 (2)'!C$527</f>
        <v>-0.33714937670311546</v>
      </c>
      <c r="D51" s="48">
        <f>('Sheet1 (2)'!D51-'Sheet1 (2)'!D$526)/'Sheet1 (2)'!D$527</f>
        <v>-0.4704097020702403</v>
      </c>
      <c r="E51" s="48">
        <f>('Sheet1 (2)'!E51-'Sheet1 (2)'!E$526)/'Sheet1 (2)'!E$527</f>
        <v>-0.1942539459865564</v>
      </c>
      <c r="F51" s="48">
        <f>('Sheet1 (2)'!F51-'Sheet1 (2)'!F$526)/'Sheet1 (2)'!F$527</f>
        <v>1.2684811135846812</v>
      </c>
      <c r="G51" s="48">
        <f>('Sheet1 (2)'!G51-'Sheet1 (2)'!G$526)/'Sheet1 (2)'!G$527</f>
        <v>9.3344423706305718E-2</v>
      </c>
      <c r="H51" s="48">
        <f>('Sheet1 (2)'!H51-'Sheet1 (2)'!H$526)/'Sheet1 (2)'!H$527</f>
        <v>-1.1362001187347728</v>
      </c>
      <c r="I51" s="48">
        <f>('Sheet1 (2)'!I51-'Sheet1 (2)'!I$526)/'Sheet1 (2)'!I$527</f>
        <v>0.657379946036315</v>
      </c>
      <c r="J51" s="48">
        <f>('Sheet1 (2)'!J51-'Sheet1 (2)'!J$526)/'Sheet1 (2)'!J$527</f>
        <v>-0.76012512842014812</v>
      </c>
      <c r="K51" s="48">
        <f>('Sheet1 (2)'!K51-'Sheet1 (2)'!K$526)/'Sheet1 (2)'!K$527</f>
        <v>-1.1938536137853819</v>
      </c>
    </row>
    <row r="52" spans="1:11" ht="12.75" x14ac:dyDescent="0.2">
      <c r="A52" s="50">
        <v>3</v>
      </c>
      <c r="B52" s="48">
        <f>('Sheet1 (2)'!B52-'Sheet1 (2)'!B$526)/'Sheet1 (2)'!B$527</f>
        <v>1.2478810076233939</v>
      </c>
      <c r="C52" s="48">
        <f>('Sheet1 (2)'!C52-'Sheet1 (2)'!C$526)/'Sheet1 (2)'!C$527</f>
        <v>-0.95301815782048582</v>
      </c>
      <c r="D52" s="48">
        <f>('Sheet1 (2)'!D52-'Sheet1 (2)'!D$526)/'Sheet1 (2)'!D$527</f>
        <v>-0.4704097020702403</v>
      </c>
      <c r="E52" s="48">
        <f>('Sheet1 (2)'!E52-'Sheet1 (2)'!E$526)/'Sheet1 (2)'!E$527</f>
        <v>-0.79393221488875487</v>
      </c>
      <c r="F52" s="48">
        <f>('Sheet1 (2)'!F52-'Sheet1 (2)'!F$526)/'Sheet1 (2)'!F$527</f>
        <v>3.5300958634082259E-2</v>
      </c>
      <c r="G52" s="48">
        <f>('Sheet1 (2)'!G52-'Sheet1 (2)'!G$526)/'Sheet1 (2)'!G$527</f>
        <v>-0.19806788797370373</v>
      </c>
      <c r="H52" s="48">
        <f>('Sheet1 (2)'!H52-'Sheet1 (2)'!H$526)/'Sheet1 (2)'!H$527</f>
        <v>-0.14517442737073413</v>
      </c>
      <c r="I52" s="48">
        <f>('Sheet1 (2)'!I52-'Sheet1 (2)'!I$526)/'Sheet1 (2)'!I$527</f>
        <v>-1.6934964183644647</v>
      </c>
      <c r="J52" s="48">
        <f>('Sheet1 (2)'!J52-'Sheet1 (2)'!J$526)/'Sheet1 (2)'!J$527</f>
        <v>0.30396241157442283</v>
      </c>
      <c r="K52" s="48">
        <f>('Sheet1 (2)'!K52-'Sheet1 (2)'!K$526)/'Sheet1 (2)'!K$527</f>
        <v>-0.12283863298024357</v>
      </c>
    </row>
    <row r="53" spans="1:11" ht="12.75" x14ac:dyDescent="0.2">
      <c r="A53" s="49">
        <v>3</v>
      </c>
      <c r="B53" s="48">
        <f>('Sheet1 (2)'!B53-'Sheet1 (2)'!B$526)/'Sheet1 (2)'!B$527</f>
        <v>1.2478810076233939</v>
      </c>
      <c r="C53" s="48">
        <f>('Sheet1 (2)'!C53-'Sheet1 (2)'!C$526)/'Sheet1 (2)'!C$527</f>
        <v>-0.45618066492190162</v>
      </c>
      <c r="D53" s="48">
        <f>('Sheet1 (2)'!D53-'Sheet1 (2)'!D$526)/'Sheet1 (2)'!D$527</f>
        <v>-0.4704097020702403</v>
      </c>
      <c r="E53" s="48">
        <f>('Sheet1 (2)'!E53-'Sheet1 (2)'!E$526)/'Sheet1 (2)'!E$527</f>
        <v>-0.22642059642575471</v>
      </c>
      <c r="F53" s="48">
        <f>('Sheet1 (2)'!F53-'Sheet1 (2)'!F$526)/'Sheet1 (2)'!F$527</f>
        <v>3.5300958634082259E-2</v>
      </c>
      <c r="G53" s="48">
        <f>('Sheet1 (2)'!G53-'Sheet1 (2)'!G$526)/'Sheet1 (2)'!G$527</f>
        <v>0.42716375089198833</v>
      </c>
      <c r="H53" s="48">
        <f>('Sheet1 (2)'!H53-'Sheet1 (2)'!H$526)/'Sheet1 (2)'!H$527</f>
        <v>-0.64421154649288181</v>
      </c>
      <c r="I53" s="48">
        <f>('Sheet1 (2)'!I53-'Sheet1 (2)'!I$526)/'Sheet1 (2)'!I$527</f>
        <v>0.5913726183101593</v>
      </c>
      <c r="J53" s="48">
        <f>('Sheet1 (2)'!J53-'Sheet1 (2)'!J$526)/'Sheet1 (2)'!J$527</f>
        <v>0.3570134131936829</v>
      </c>
      <c r="K53" s="48">
        <f>('Sheet1 (2)'!K53-'Sheet1 (2)'!K$526)/'Sheet1 (2)'!K$527</f>
        <v>-1.0226799419633097</v>
      </c>
    </row>
    <row r="54" spans="1:11" ht="12.75" x14ac:dyDescent="0.2">
      <c r="A54" s="50">
        <v>3</v>
      </c>
      <c r="B54" s="48">
        <f>('Sheet1 (2)'!B54-'Sheet1 (2)'!B$526)/'Sheet1 (2)'!B$527</f>
        <v>1.2478810076233939</v>
      </c>
      <c r="C54" s="48">
        <f>('Sheet1 (2)'!C54-'Sheet1 (2)'!C$526)/'Sheet1 (2)'!C$527</f>
        <v>7.8233037900418051E-2</v>
      </c>
      <c r="D54" s="48">
        <f>('Sheet1 (2)'!D54-'Sheet1 (2)'!D$526)/'Sheet1 (2)'!D$527</f>
        <v>-0.4704097020702403</v>
      </c>
      <c r="E54" s="48">
        <f>('Sheet1 (2)'!E54-'Sheet1 (2)'!E$526)/'Sheet1 (2)'!E$527</f>
        <v>-0.89962263776040685</v>
      </c>
      <c r="F54" s="48">
        <f>('Sheet1 (2)'!F54-'Sheet1 (2)'!F$526)/'Sheet1 (2)'!F$527</f>
        <v>-1.1978791963165167</v>
      </c>
      <c r="G54" s="48">
        <f>('Sheet1 (2)'!G54-'Sheet1 (2)'!G$526)/'Sheet1 (2)'!G$527</f>
        <v>0.25753568886929618</v>
      </c>
      <c r="H54" s="48">
        <f>('Sheet1 (2)'!H54-'Sheet1 (2)'!H$526)/'Sheet1 (2)'!H$527</f>
        <v>-0.50183089951170379</v>
      </c>
      <c r="I54" s="48">
        <f>('Sheet1 (2)'!I54-'Sheet1 (2)'!I$526)/'Sheet1 (2)'!I$527</f>
        <v>-0.76600883903284012</v>
      </c>
      <c r="J54" s="48">
        <f>('Sheet1 (2)'!J54-'Sheet1 (2)'!J$526)/'Sheet1 (2)'!J$527</f>
        <v>0.43908059210464279</v>
      </c>
      <c r="K54" s="48">
        <f>('Sheet1 (2)'!K54-'Sheet1 (2)'!K$526)/'Sheet1 (2)'!K$527</f>
        <v>-0.89113854255869585</v>
      </c>
    </row>
    <row r="55" spans="1:11" ht="12.75" x14ac:dyDescent="0.2">
      <c r="A55" s="51">
        <v>3</v>
      </c>
      <c r="B55" s="48">
        <f>('Sheet1 (2)'!B55-'Sheet1 (2)'!B$526)/'Sheet1 (2)'!B$527</f>
        <v>1.2478810076233939</v>
      </c>
      <c r="C55" s="48">
        <f>('Sheet1 (2)'!C55-'Sheet1 (2)'!C$526)/'Sheet1 (2)'!C$527</f>
        <v>-0.74889151710819368</v>
      </c>
      <c r="D55" s="48">
        <f>('Sheet1 (2)'!D55-'Sheet1 (2)'!D$526)/'Sheet1 (2)'!D$527</f>
        <v>-0.4704097020702403</v>
      </c>
      <c r="E55" s="48">
        <f>('Sheet1 (2)'!E55-'Sheet1 (2)'!E$526)/'Sheet1 (2)'!E$527</f>
        <v>-0.92259881664554844</v>
      </c>
      <c r="F55" s="48">
        <f>('Sheet1 (2)'!F55-'Sheet1 (2)'!F$526)/'Sheet1 (2)'!F$527</f>
        <v>-1.1978791963165167</v>
      </c>
      <c r="G55" s="48">
        <f>('Sheet1 (2)'!G55-'Sheet1 (2)'!G$526)/'Sheet1 (2)'!G$527</f>
        <v>-0.11542857570623839</v>
      </c>
      <c r="H55" s="48">
        <f>('Sheet1 (2)'!H55-'Sheet1 (2)'!H$526)/'Sheet1 (2)'!H$527</f>
        <v>0.28807625420235422</v>
      </c>
      <c r="I55" s="48">
        <f>('Sheet1 (2)'!I55-'Sheet1 (2)'!I$526)/'Sheet1 (2)'!I$527</f>
        <v>0.63072314060844448</v>
      </c>
      <c r="J55" s="48">
        <f>('Sheet1 (2)'!J55-'Sheet1 (2)'!J$526)/'Sheet1 (2)'!J$527</f>
        <v>0.23923392652836106</v>
      </c>
      <c r="K55" s="48">
        <f>('Sheet1 (2)'!K55-'Sheet1 (2)'!K$526)/'Sheet1 (2)'!K$527</f>
        <v>-1.192909988251633</v>
      </c>
    </row>
    <row r="56" spans="1:11" ht="12.75" x14ac:dyDescent="0.2">
      <c r="A56" s="48">
        <v>4</v>
      </c>
      <c r="B56" s="48">
        <f>('Sheet1 (2)'!B56-'Sheet1 (2)'!B$526)/'Sheet1 (2)'!B$527</f>
        <v>-1.2242915745870349</v>
      </c>
      <c r="C56" s="48">
        <f>('Sheet1 (2)'!C56-'Sheet1 (2)'!C$526)/'Sheet1 (2)'!C$527</f>
        <v>-1.044909400598713</v>
      </c>
      <c r="D56" s="48">
        <f>('Sheet1 (2)'!D56-'Sheet1 (2)'!D$526)/'Sheet1 (2)'!D$527</f>
        <v>1.4257032508898051</v>
      </c>
      <c r="E56" s="48">
        <f>('Sheet1 (2)'!E56-'Sheet1 (2)'!E$526)/'Sheet1 (2)'!E$527</f>
        <v>1.0234835349259541</v>
      </c>
      <c r="F56" s="48">
        <f>('Sheet1 (2)'!F56-'Sheet1 (2)'!F$526)/'Sheet1 (2)'!F$527</f>
        <v>1.2684811135846812</v>
      </c>
      <c r="G56" s="48">
        <f>('Sheet1 (2)'!G56-'Sheet1 (2)'!G$526)/'Sheet1 (2)'!G$527</f>
        <v>-0.50144115274505707</v>
      </c>
      <c r="H56" s="48">
        <f>('Sheet1 (2)'!H56-'Sheet1 (2)'!H$526)/'Sheet1 (2)'!H$527</f>
        <v>-0.16757314301243756</v>
      </c>
      <c r="I56" s="48">
        <f>('Sheet1 (2)'!I56-'Sheet1 (2)'!I$526)/'Sheet1 (2)'!I$527</f>
        <v>0.71945981606410325</v>
      </c>
      <c r="J56" s="48">
        <f>('Sheet1 (2)'!J56-'Sheet1 (2)'!J$526)/'Sheet1 (2)'!J$527</f>
        <v>-0.83945425120312078</v>
      </c>
      <c r="K56" s="48">
        <f>('Sheet1 (2)'!K56-'Sheet1 (2)'!K$526)/'Sheet1 (2)'!K$527</f>
        <v>-0.41430762348676164</v>
      </c>
    </row>
    <row r="57" spans="1:11" ht="12.75" x14ac:dyDescent="0.2">
      <c r="A57" s="49">
        <v>4</v>
      </c>
      <c r="B57" s="48">
        <f>('Sheet1 (2)'!B57-'Sheet1 (2)'!B$526)/'Sheet1 (2)'!B$527</f>
        <v>-1.2242915745870349</v>
      </c>
      <c r="C57" s="48">
        <f>('Sheet1 (2)'!C57-'Sheet1 (2)'!C$526)/'Sheet1 (2)'!C$527</f>
        <v>-0.27463705395579541</v>
      </c>
      <c r="D57" s="48">
        <f>('Sheet1 (2)'!D57-'Sheet1 (2)'!D$526)/'Sheet1 (2)'!D$527</f>
        <v>1.4257032508898051</v>
      </c>
      <c r="E57" s="48">
        <f>('Sheet1 (2)'!E57-'Sheet1 (2)'!E$526)/'Sheet1 (2)'!E$527</f>
        <v>1.9907806659904197</v>
      </c>
      <c r="F57" s="48">
        <f>('Sheet1 (2)'!F57-'Sheet1 (2)'!F$526)/'Sheet1 (2)'!F$527</f>
        <v>1.2684811135846812</v>
      </c>
      <c r="G57" s="48">
        <f>('Sheet1 (2)'!G57-'Sheet1 (2)'!G$526)/'Sheet1 (2)'!G$527</f>
        <v>-0.23099536023682005</v>
      </c>
      <c r="H57" s="48">
        <f>('Sheet1 (2)'!H57-'Sheet1 (2)'!H$526)/'Sheet1 (2)'!H$527</f>
        <v>-1.4116115453824631</v>
      </c>
      <c r="I57" s="48">
        <f>('Sheet1 (2)'!I57-'Sheet1 (2)'!I$526)/'Sheet1 (2)'!I$527</f>
        <v>0.66195836357419102</v>
      </c>
      <c r="J57" s="48">
        <f>('Sheet1 (2)'!J57-'Sheet1 (2)'!J$526)/'Sheet1 (2)'!J$527</f>
        <v>-0.83945425120312078</v>
      </c>
      <c r="K57" s="48">
        <f>('Sheet1 (2)'!K57-'Sheet1 (2)'!K$526)/'Sheet1 (2)'!K$527</f>
        <v>-1.3635586171485168</v>
      </c>
    </row>
    <row r="58" spans="1:11" ht="12.75" x14ac:dyDescent="0.2">
      <c r="A58" s="50">
        <v>4</v>
      </c>
      <c r="B58" s="48">
        <f>('Sheet1 (2)'!B58-'Sheet1 (2)'!B$526)/'Sheet1 (2)'!B$527</f>
        <v>-1.2242915745870349</v>
      </c>
      <c r="C58" s="48">
        <f>('Sheet1 (2)'!C58-'Sheet1 (2)'!C$526)/'Sheet1 (2)'!C$527</f>
        <v>-0.70627153038876134</v>
      </c>
      <c r="D58" s="48">
        <f>('Sheet1 (2)'!D58-'Sheet1 (2)'!D$526)/'Sheet1 (2)'!D$527</f>
        <v>-0.4704097020702403</v>
      </c>
      <c r="E58" s="48">
        <f>('Sheet1 (2)'!E58-'Sheet1 (2)'!E$526)/'Sheet1 (2)'!E$527</f>
        <v>-5.4099254787191929E-2</v>
      </c>
      <c r="F58" s="48">
        <f>('Sheet1 (2)'!F58-'Sheet1 (2)'!F$526)/'Sheet1 (2)'!F$527</f>
        <v>3.5300958634082259E-2</v>
      </c>
      <c r="G58" s="48">
        <f>('Sheet1 (2)'!G58-'Sheet1 (2)'!G$526)/'Sheet1 (2)'!G$527</f>
        <v>-0.40594869508106612</v>
      </c>
      <c r="H58" s="48">
        <f>('Sheet1 (2)'!H58-'Sheet1 (2)'!H$526)/'Sheet1 (2)'!H$527</f>
        <v>-0.56066518056519454</v>
      </c>
      <c r="I58" s="48">
        <f>('Sheet1 (2)'!I58-'Sheet1 (2)'!I$526)/'Sheet1 (2)'!I$527</f>
        <v>-1.0484386147342362</v>
      </c>
      <c r="J58" s="48">
        <f>('Sheet1 (2)'!J58-'Sheet1 (2)'!J$526)/'Sheet1 (2)'!J$527</f>
        <v>-0.15052096652725033</v>
      </c>
      <c r="K58" s="48">
        <f>('Sheet1 (2)'!K58-'Sheet1 (2)'!K$526)/'Sheet1 (2)'!K$527</f>
        <v>-0.7555250360430581</v>
      </c>
    </row>
    <row r="59" spans="1:11" ht="12.75" x14ac:dyDescent="0.2">
      <c r="A59" s="49">
        <v>4</v>
      </c>
      <c r="B59" s="48">
        <f>('Sheet1 (2)'!B59-'Sheet1 (2)'!B$526)/'Sheet1 (2)'!B$527</f>
        <v>-1.2242915745870349</v>
      </c>
      <c r="C59" s="48">
        <f>('Sheet1 (2)'!C59-'Sheet1 (2)'!C$526)/'Sheet1 (2)'!C$527</f>
        <v>0.18709038820473967</v>
      </c>
      <c r="D59" s="48">
        <f>('Sheet1 (2)'!D59-'Sheet1 (2)'!D$526)/'Sheet1 (2)'!D$527</f>
        <v>-0.4704097020702403</v>
      </c>
      <c r="E59" s="48">
        <f>('Sheet1 (2)'!E59-'Sheet1 (2)'!E$526)/'Sheet1 (2)'!E$527</f>
        <v>-0.40563479172986006</v>
      </c>
      <c r="F59" s="48">
        <f>('Sheet1 (2)'!F59-'Sheet1 (2)'!F$526)/'Sheet1 (2)'!F$527</f>
        <v>3.5300958634082259E-2</v>
      </c>
      <c r="G59" s="48">
        <f>('Sheet1 (2)'!G59-'Sheet1 (2)'!G$526)/'Sheet1 (2)'!G$527</f>
        <v>-0.50144115274505707</v>
      </c>
      <c r="H59" s="48">
        <f>('Sheet1 (2)'!H59-'Sheet1 (2)'!H$526)/'Sheet1 (2)'!H$527</f>
        <v>-0.28504892435004331</v>
      </c>
      <c r="I59" s="48">
        <f>('Sheet1 (2)'!I59-'Sheet1 (2)'!I$526)/'Sheet1 (2)'!I$527</f>
        <v>-0.24124841374376949</v>
      </c>
      <c r="J59" s="48">
        <f>('Sheet1 (2)'!J59-'Sheet1 (2)'!J$526)/'Sheet1 (2)'!J$527</f>
        <v>-0.43480831237740053</v>
      </c>
      <c r="K59" s="48">
        <f>('Sheet1 (2)'!K59-'Sheet1 (2)'!K$526)/'Sheet1 (2)'!K$527</f>
        <v>-0.96572367256727898</v>
      </c>
    </row>
    <row r="60" spans="1:11" ht="12.75" x14ac:dyDescent="0.2">
      <c r="A60" s="50">
        <v>4</v>
      </c>
      <c r="B60" s="48">
        <f>('Sheet1 (2)'!B60-'Sheet1 (2)'!B$526)/'Sheet1 (2)'!B$527</f>
        <v>-1.2242915745870349</v>
      </c>
      <c r="C60" s="48">
        <f>('Sheet1 (2)'!C60-'Sheet1 (2)'!C$526)/'Sheet1 (2)'!C$527</f>
        <v>-0.72223402679068482</v>
      </c>
      <c r="D60" s="48">
        <f>('Sheet1 (2)'!D60-'Sheet1 (2)'!D$526)/'Sheet1 (2)'!D$527</f>
        <v>-0.4704097020702403</v>
      </c>
      <c r="E60" s="48">
        <f>('Sheet1 (2)'!E60-'Sheet1 (2)'!E$526)/'Sheet1 (2)'!E$527</f>
        <v>-0.35738481607106248</v>
      </c>
      <c r="F60" s="48">
        <f>('Sheet1 (2)'!F60-'Sheet1 (2)'!F$526)/'Sheet1 (2)'!F$527</f>
        <v>-1.1978791963165167</v>
      </c>
      <c r="G60" s="48">
        <f>('Sheet1 (2)'!G60-'Sheet1 (2)'!G$526)/'Sheet1 (2)'!G$527</f>
        <v>-0.50144115274505707</v>
      </c>
      <c r="H60" s="48">
        <f>('Sheet1 (2)'!H60-'Sheet1 (2)'!H$526)/'Sheet1 (2)'!H$527</f>
        <v>-0.98869873256708418</v>
      </c>
      <c r="I60" s="48">
        <f>('Sheet1 (2)'!I60-'Sheet1 (2)'!I$526)/'Sheet1 (2)'!I$527</f>
        <v>0.6285966717993835</v>
      </c>
      <c r="J60" s="48">
        <f>('Sheet1 (2)'!J60-'Sheet1 (2)'!J$526)/'Sheet1 (2)'!J$527</f>
        <v>1.3298204756962724</v>
      </c>
      <c r="K60" s="48">
        <f>('Sheet1 (2)'!K60-'Sheet1 (2)'!K$526)/'Sheet1 (2)'!K$527</f>
        <v>-2.5255487776176628</v>
      </c>
    </row>
    <row r="61" spans="1:11" ht="12.75" x14ac:dyDescent="0.2">
      <c r="A61" s="51">
        <v>4</v>
      </c>
      <c r="B61" s="48">
        <f>('Sheet1 (2)'!B61-'Sheet1 (2)'!B$526)/'Sheet1 (2)'!B$527</f>
        <v>-1.2242915745870349</v>
      </c>
      <c r="C61" s="48">
        <f>('Sheet1 (2)'!C61-'Sheet1 (2)'!C$526)/'Sheet1 (2)'!C$527</f>
        <v>-1.5106406105418428</v>
      </c>
      <c r="D61" s="48">
        <f>('Sheet1 (2)'!D61-'Sheet1 (2)'!D$526)/'Sheet1 (2)'!D$527</f>
        <v>1.4257032508898051</v>
      </c>
      <c r="E61" s="48">
        <f>('Sheet1 (2)'!E61-'Sheet1 (2)'!E$526)/'Sheet1 (2)'!E$527</f>
        <v>-0.54349186504071034</v>
      </c>
      <c r="F61" s="48">
        <f>('Sheet1 (2)'!F61-'Sheet1 (2)'!F$526)/'Sheet1 (2)'!F$527</f>
        <v>-1.1978791963165167</v>
      </c>
      <c r="G61" s="48">
        <f>('Sheet1 (2)'!G61-'Sheet1 (2)'!G$526)/'Sheet1 (2)'!G$527</f>
        <v>1.4357523688178485E-2</v>
      </c>
      <c r="H61" s="48">
        <f>('Sheet1 (2)'!H61-'Sheet1 (2)'!H$526)/'Sheet1 (2)'!H$527</f>
        <v>-1.3179321402645265</v>
      </c>
      <c r="I61" s="48">
        <f>('Sheet1 (2)'!I61-'Sheet1 (2)'!I$526)/'Sheet1 (2)'!I$527</f>
        <v>-1.8873631079007376</v>
      </c>
      <c r="J61" s="48">
        <f>('Sheet1 (2)'!J61-'Sheet1 (2)'!J$526)/'Sheet1 (2)'!J$527</f>
        <v>1.0945762379296167</v>
      </c>
      <c r="K61" s="48">
        <f>('Sheet1 (2)'!K61-'Sheet1 (2)'!K$526)/'Sheet1 (2)'!K$527</f>
        <v>-0.79327005739301892</v>
      </c>
    </row>
    <row r="62" spans="1:11" ht="12.75" x14ac:dyDescent="0.2">
      <c r="A62" s="48">
        <v>4</v>
      </c>
      <c r="B62" s="48">
        <f>('Sheet1 (2)'!B62-'Sheet1 (2)'!B$526)/'Sheet1 (2)'!B$527</f>
        <v>1.1794716518179513E-2</v>
      </c>
      <c r="C62" s="48">
        <f>('Sheet1 (2)'!C62-'Sheet1 (2)'!C$526)/'Sheet1 (2)'!C$527</f>
        <v>-0.62762989084371512</v>
      </c>
      <c r="D62" s="48">
        <f>('Sheet1 (2)'!D62-'Sheet1 (2)'!D$526)/'Sheet1 (2)'!D$527</f>
        <v>-0.4704097020702403</v>
      </c>
      <c r="E62" s="48">
        <f>('Sheet1 (2)'!E62-'Sheet1 (2)'!E$526)/'Sheet1 (2)'!E$527</f>
        <v>1.7012808120376341</v>
      </c>
      <c r="F62" s="48">
        <f>('Sheet1 (2)'!F62-'Sheet1 (2)'!F$526)/'Sheet1 (2)'!F$527</f>
        <v>1.2684811135846812</v>
      </c>
      <c r="G62" s="48">
        <f>('Sheet1 (2)'!G62-'Sheet1 (2)'!G$526)/'Sheet1 (2)'!G$527</f>
        <v>-0.50144115274505707</v>
      </c>
      <c r="H62" s="48">
        <f>('Sheet1 (2)'!H62-'Sheet1 (2)'!H$526)/'Sheet1 (2)'!H$527</f>
        <v>-0.32913072562336665</v>
      </c>
      <c r="I62" s="48">
        <f>('Sheet1 (2)'!I62-'Sheet1 (2)'!I$526)/'Sheet1 (2)'!I$527</f>
        <v>0.72392236824098299</v>
      </c>
      <c r="J62" s="48">
        <f>('Sheet1 (2)'!J62-'Sheet1 (2)'!J$526)/'Sheet1 (2)'!J$527</f>
        <v>-0.15868407530195233</v>
      </c>
      <c r="K62" s="48">
        <f>('Sheet1 (2)'!K62-'Sheet1 (2)'!K$526)/'Sheet1 (2)'!K$527</f>
        <v>-1.0847557781431429</v>
      </c>
    </row>
    <row r="63" spans="1:11" ht="12.75" x14ac:dyDescent="0.2">
      <c r="A63" s="49">
        <v>4</v>
      </c>
      <c r="B63" s="48">
        <f>('Sheet1 (2)'!B63-'Sheet1 (2)'!B$526)/'Sheet1 (2)'!B$527</f>
        <v>1.1794716518179513E-2</v>
      </c>
      <c r="C63" s="48">
        <f>('Sheet1 (2)'!C63-'Sheet1 (2)'!C$526)/'Sheet1 (2)'!C$527</f>
        <v>3.9454116626593407E-2</v>
      </c>
      <c r="D63" s="48">
        <f>('Sheet1 (2)'!D63-'Sheet1 (2)'!D$526)/'Sheet1 (2)'!D$527</f>
        <v>1.4257032508898051</v>
      </c>
      <c r="E63" s="48">
        <f>('Sheet1 (2)'!E63-'Sheet1 (2)'!E$526)/'Sheet1 (2)'!E$527</f>
        <v>0.31581722526358941</v>
      </c>
      <c r="F63" s="48">
        <f>('Sheet1 (2)'!F63-'Sheet1 (2)'!F$526)/'Sheet1 (2)'!F$527</f>
        <v>1.2684811135846812</v>
      </c>
      <c r="G63" s="48">
        <f>('Sheet1 (2)'!G63-'Sheet1 (2)'!G$526)/'Sheet1 (2)'!G$527</f>
        <v>-0.50144115274505707</v>
      </c>
      <c r="H63" s="48">
        <f>('Sheet1 (2)'!H63-'Sheet1 (2)'!H$526)/'Sheet1 (2)'!H$527</f>
        <v>-0.40699171659636219</v>
      </c>
      <c r="I63" s="48">
        <f>('Sheet1 (2)'!I63-'Sheet1 (2)'!I$526)/'Sheet1 (2)'!I$527</f>
        <v>0.6498701102726534</v>
      </c>
      <c r="J63" s="48">
        <f>('Sheet1 (2)'!J63-'Sheet1 (2)'!J$526)/'Sheet1 (2)'!J$527</f>
        <v>-0.83945425120312078</v>
      </c>
      <c r="K63" s="48">
        <f>('Sheet1 (2)'!K63-'Sheet1 (2)'!K$526)/'Sheet1 (2)'!K$527</f>
        <v>-1.7617362147711817</v>
      </c>
    </row>
    <row r="64" spans="1:11" ht="12.75" x14ac:dyDescent="0.2">
      <c r="A64" s="50">
        <v>4</v>
      </c>
      <c r="B64" s="48">
        <f>('Sheet1 (2)'!B64-'Sheet1 (2)'!B$526)/'Sheet1 (2)'!B$527</f>
        <v>1.1794716518179513E-2</v>
      </c>
      <c r="C64" s="48">
        <f>('Sheet1 (2)'!C64-'Sheet1 (2)'!C$526)/'Sheet1 (2)'!C$527</f>
        <v>0.26028061404094721</v>
      </c>
      <c r="D64" s="48">
        <f>('Sheet1 (2)'!D64-'Sheet1 (2)'!D$526)/'Sheet1 (2)'!D$527</f>
        <v>1.4257032508898051</v>
      </c>
      <c r="E64" s="48">
        <f>('Sheet1 (2)'!E64-'Sheet1 (2)'!E$526)/'Sheet1 (2)'!E$527</f>
        <v>1.5473404135071849</v>
      </c>
      <c r="F64" s="48">
        <f>('Sheet1 (2)'!F64-'Sheet1 (2)'!F$526)/'Sheet1 (2)'!F$527</f>
        <v>3.5300958634082259E-2</v>
      </c>
      <c r="G64" s="48">
        <f>('Sheet1 (2)'!G64-'Sheet1 (2)'!G$526)/'Sheet1 (2)'!G$527</f>
        <v>-0.50144115274505707</v>
      </c>
      <c r="H64" s="48">
        <f>('Sheet1 (2)'!H64-'Sheet1 (2)'!H$526)/'Sheet1 (2)'!H$527</f>
        <v>-0.28150875627775884</v>
      </c>
      <c r="I64" s="48">
        <f>('Sheet1 (2)'!I64-'Sheet1 (2)'!I$526)/'Sheet1 (2)'!I$527</f>
        <v>-1.8345569630873009E-2</v>
      </c>
      <c r="J64" s="48">
        <f>('Sheet1 (2)'!J64-'Sheet1 (2)'!J$526)/'Sheet1 (2)'!J$527</f>
        <v>-0.80136077739244771</v>
      </c>
      <c r="K64" s="48">
        <f>('Sheet1 (2)'!K64-'Sheet1 (2)'!K$526)/'Sheet1 (2)'!K$527</f>
        <v>-1.4994249803085067</v>
      </c>
    </row>
    <row r="65" spans="1:11" ht="12.75" x14ac:dyDescent="0.2">
      <c r="A65" s="49">
        <v>4</v>
      </c>
      <c r="B65" s="48">
        <f>('Sheet1 (2)'!B65-'Sheet1 (2)'!B$526)/'Sheet1 (2)'!B$527</f>
        <v>1.1794716518179513E-2</v>
      </c>
      <c r="C65" s="48">
        <f>('Sheet1 (2)'!C65-'Sheet1 (2)'!C$526)/'Sheet1 (2)'!C$527</f>
        <v>0.44386200425636857</v>
      </c>
      <c r="D65" s="48">
        <f>('Sheet1 (2)'!D65-'Sheet1 (2)'!D$526)/'Sheet1 (2)'!D$527</f>
        <v>-0.4704097020702403</v>
      </c>
      <c r="E65" s="48">
        <f>('Sheet1 (2)'!E65-'Sheet1 (2)'!E$526)/'Sheet1 (2)'!E$527</f>
        <v>-0.5641704260373378</v>
      </c>
      <c r="F65" s="48">
        <f>('Sheet1 (2)'!F65-'Sheet1 (2)'!F$526)/'Sheet1 (2)'!F$527</f>
        <v>3.5300958634082259E-2</v>
      </c>
      <c r="G65" s="48">
        <f>('Sheet1 (2)'!G65-'Sheet1 (2)'!G$526)/'Sheet1 (2)'!G$527</f>
        <v>-0.50144115274505707</v>
      </c>
      <c r="H65" s="48">
        <f>('Sheet1 (2)'!H65-'Sheet1 (2)'!H$526)/'Sheet1 (2)'!H$527</f>
        <v>0.35650177867680549</v>
      </c>
      <c r="I65" s="48">
        <f>('Sheet1 (2)'!I65-'Sheet1 (2)'!I$526)/'Sheet1 (2)'!I$527</f>
        <v>0.25908273898661949</v>
      </c>
      <c r="J65" s="48">
        <f>('Sheet1 (2)'!J65-'Sheet1 (2)'!J$526)/'Sheet1 (2)'!J$527</f>
        <v>1.517905106098715</v>
      </c>
      <c r="K65" s="48">
        <f>('Sheet1 (2)'!K65-'Sheet1 (2)'!K$526)/'Sheet1 (2)'!K$527</f>
        <v>0.50207093502092159</v>
      </c>
    </row>
    <row r="66" spans="1:11" ht="12.75" x14ac:dyDescent="0.2">
      <c r="A66" s="50">
        <v>4</v>
      </c>
      <c r="B66" s="48">
        <f>('Sheet1 (2)'!B66-'Sheet1 (2)'!B$526)/'Sheet1 (2)'!B$527</f>
        <v>1.1794716518179513E-2</v>
      </c>
      <c r="C66" s="48">
        <f>('Sheet1 (2)'!C66-'Sheet1 (2)'!C$526)/'Sheet1 (2)'!C$527</f>
        <v>1.6823870542849004</v>
      </c>
      <c r="D66" s="48">
        <f>('Sheet1 (2)'!D66-'Sheet1 (2)'!D$526)/'Sheet1 (2)'!D$527</f>
        <v>-0.4704097020702403</v>
      </c>
      <c r="E66" s="48">
        <f>('Sheet1 (2)'!E66-'Sheet1 (2)'!E$526)/'Sheet1 (2)'!E$527</f>
        <v>-0.13221826299667389</v>
      </c>
      <c r="F66" s="48">
        <f>('Sheet1 (2)'!F66-'Sheet1 (2)'!F$526)/'Sheet1 (2)'!F$527</f>
        <v>-1.1978791963165167</v>
      </c>
      <c r="G66" s="48">
        <f>('Sheet1 (2)'!G66-'Sheet1 (2)'!G$526)/'Sheet1 (2)'!G$527</f>
        <v>-3.5344013423347954E-2</v>
      </c>
      <c r="H66" s="48">
        <f>('Sheet1 (2)'!H66-'Sheet1 (2)'!H$526)/'Sheet1 (2)'!H$527</f>
        <v>3.2783913665090747</v>
      </c>
      <c r="I66" s="48">
        <f>('Sheet1 (2)'!I66-'Sheet1 (2)'!I$526)/'Sheet1 (2)'!I$527</f>
        <v>0.61436071428302053</v>
      </c>
      <c r="J66" s="48">
        <f>('Sheet1 (2)'!J66-'Sheet1 (2)'!J$526)/'Sheet1 (2)'!J$527</f>
        <v>-0.20548848227493563</v>
      </c>
      <c r="K66" s="48">
        <f>('Sheet1 (2)'!K66-'Sheet1 (2)'!K$526)/'Sheet1 (2)'!K$527</f>
        <v>-0.20520550220437203</v>
      </c>
    </row>
    <row r="67" spans="1:11" ht="12.75" x14ac:dyDescent="0.2">
      <c r="A67" s="51">
        <v>4</v>
      </c>
      <c r="B67" s="48">
        <f>('Sheet1 (2)'!B67-'Sheet1 (2)'!B$526)/'Sheet1 (2)'!B$527</f>
        <v>1.1794716518179513E-2</v>
      </c>
      <c r="C67" s="48">
        <f>('Sheet1 (2)'!C67-'Sheet1 (2)'!C$526)/'Sheet1 (2)'!C$527</f>
        <v>0.80427498773564787</v>
      </c>
      <c r="D67" s="48">
        <f>('Sheet1 (2)'!D67-'Sheet1 (2)'!D$526)/'Sheet1 (2)'!D$527</f>
        <v>-0.4704097020702403</v>
      </c>
      <c r="E67" s="48">
        <f>('Sheet1 (2)'!E67-'Sheet1 (2)'!E$526)/'Sheet1 (2)'!E$527</f>
        <v>-0.36887290551363333</v>
      </c>
      <c r="F67" s="48">
        <f>('Sheet1 (2)'!F67-'Sheet1 (2)'!F$526)/'Sheet1 (2)'!F$527</f>
        <v>-1.1978791963165167</v>
      </c>
      <c r="G67" s="48">
        <f>('Sheet1 (2)'!G67-'Sheet1 (2)'!G$526)/'Sheet1 (2)'!G$527</f>
        <v>-0.50144115274505707</v>
      </c>
      <c r="H67" s="48">
        <f>('Sheet1 (2)'!H67-'Sheet1 (2)'!H$526)/'Sheet1 (2)'!H$527</f>
        <v>0.72742056618323481</v>
      </c>
      <c r="I67" s="48">
        <f>('Sheet1 (2)'!I67-'Sheet1 (2)'!I$526)/'Sheet1 (2)'!I$527</f>
        <v>-0.48809785244473386</v>
      </c>
      <c r="J67" s="48">
        <f>('Sheet1 (2)'!J67-'Sheet1 (2)'!J$526)/'Sheet1 (2)'!J$527</f>
        <v>0.22973292863954964</v>
      </c>
      <c r="K67" s="48">
        <f>('Sheet1 (2)'!K67-'Sheet1 (2)'!K$526)/'Sheet1 (2)'!K$527</f>
        <v>-2.2075271520546336</v>
      </c>
    </row>
    <row r="68" spans="1:11" ht="12.75" x14ac:dyDescent="0.2">
      <c r="A68" s="48">
        <v>4</v>
      </c>
      <c r="B68" s="48">
        <f>('Sheet1 (2)'!B68-'Sheet1 (2)'!B$526)/'Sheet1 (2)'!B$527</f>
        <v>1.2478810076233939</v>
      </c>
      <c r="C68" s="48">
        <f>('Sheet1 (2)'!C68-'Sheet1 (2)'!C$526)/'Sheet1 (2)'!C$527</f>
        <v>-0.29070816628024776</v>
      </c>
      <c r="D68" s="48">
        <f>('Sheet1 (2)'!D68-'Sheet1 (2)'!D$526)/'Sheet1 (2)'!D$527</f>
        <v>-0.4704097020702403</v>
      </c>
      <c r="E68" s="48">
        <f>('Sheet1 (2)'!E68-'Sheet1 (2)'!E$526)/'Sheet1 (2)'!E$527</f>
        <v>0.74547177041573931</v>
      </c>
      <c r="F68" s="48">
        <f>('Sheet1 (2)'!F68-'Sheet1 (2)'!F$526)/'Sheet1 (2)'!F$527</f>
        <v>1.2684811135846812</v>
      </c>
      <c r="G68" s="48">
        <f>('Sheet1 (2)'!G68-'Sheet1 (2)'!G$526)/'Sheet1 (2)'!G$527</f>
        <v>-0.50144115274505707</v>
      </c>
      <c r="H68" s="48">
        <f>('Sheet1 (2)'!H68-'Sheet1 (2)'!H$526)/'Sheet1 (2)'!H$527</f>
        <v>-0.12002342199483668</v>
      </c>
      <c r="I68" s="48">
        <f>('Sheet1 (2)'!I68-'Sheet1 (2)'!I$526)/'Sheet1 (2)'!I$527</f>
        <v>0.73989918007247835</v>
      </c>
      <c r="J68" s="48">
        <f>('Sheet1 (2)'!J68-'Sheet1 (2)'!J$526)/'Sheet1 (2)'!J$527</f>
        <v>-0.83945425120312078</v>
      </c>
      <c r="K68" s="48">
        <f>('Sheet1 (2)'!K68-'Sheet1 (2)'!K$526)/'Sheet1 (2)'!K$527</f>
        <v>-1.493549083304071</v>
      </c>
    </row>
    <row r="69" spans="1:11" ht="12.75" x14ac:dyDescent="0.2">
      <c r="A69" s="49">
        <v>4</v>
      </c>
      <c r="B69" s="48">
        <f>('Sheet1 (2)'!B69-'Sheet1 (2)'!B$526)/'Sheet1 (2)'!B$527</f>
        <v>1.2478810076233939</v>
      </c>
      <c r="C69" s="48">
        <f>('Sheet1 (2)'!C69-'Sheet1 (2)'!C$526)/'Sheet1 (2)'!C$527</f>
        <v>-1.1148320562154788</v>
      </c>
      <c r="D69" s="48">
        <f>('Sheet1 (2)'!D69-'Sheet1 (2)'!D$526)/'Sheet1 (2)'!D$527</f>
        <v>1.4257032508898051</v>
      </c>
      <c r="E69" s="48">
        <f>('Sheet1 (2)'!E69-'Sheet1 (2)'!E$526)/'Sheet1 (2)'!E$527</f>
        <v>3.01551824426774</v>
      </c>
      <c r="F69" s="48">
        <f>('Sheet1 (2)'!F69-'Sheet1 (2)'!F$526)/'Sheet1 (2)'!F$527</f>
        <v>1.2684811135846812</v>
      </c>
      <c r="G69" s="48">
        <f>('Sheet1 (2)'!G69-'Sheet1 (2)'!G$526)/'Sheet1 (2)'!G$527</f>
        <v>0.24741289090670895</v>
      </c>
      <c r="H69" s="48">
        <f>('Sheet1 (2)'!H69-'Sheet1 (2)'!H$526)/'Sheet1 (2)'!H$527</f>
        <v>-0.9216557775033517</v>
      </c>
      <c r="I69" s="48">
        <f>('Sheet1 (2)'!I69-'Sheet1 (2)'!I$526)/'Sheet1 (2)'!I$527</f>
        <v>-1.2419829241595126</v>
      </c>
      <c r="J69" s="48">
        <f>('Sheet1 (2)'!J69-'Sheet1 (2)'!J$526)/'Sheet1 (2)'!J$527</f>
        <v>1.1341066098552541</v>
      </c>
      <c r="K69" s="48">
        <f>('Sheet1 (2)'!K69-'Sheet1 (2)'!K$526)/'Sheet1 (2)'!K$527</f>
        <v>-1.1198621383021525</v>
      </c>
    </row>
    <row r="70" spans="1:11" ht="12.75" x14ac:dyDescent="0.2">
      <c r="A70" s="50">
        <v>4</v>
      </c>
      <c r="B70" s="48">
        <f>('Sheet1 (2)'!B70-'Sheet1 (2)'!B$526)/'Sheet1 (2)'!B$527</f>
        <v>1.2478810076233939</v>
      </c>
      <c r="C70" s="48">
        <f>('Sheet1 (2)'!C70-'Sheet1 (2)'!C$526)/'Sheet1 (2)'!C$527</f>
        <v>0.10518704968643239</v>
      </c>
      <c r="D70" s="48">
        <f>('Sheet1 (2)'!D70-'Sheet1 (2)'!D$526)/'Sheet1 (2)'!D$527</f>
        <v>1.4257032508898051</v>
      </c>
      <c r="E70" s="48">
        <f>('Sheet1 (2)'!E70-'Sheet1 (2)'!E$526)/'Sheet1 (2)'!E$527</f>
        <v>1.5197689988450145</v>
      </c>
      <c r="F70" s="48">
        <f>('Sheet1 (2)'!F70-'Sheet1 (2)'!F$526)/'Sheet1 (2)'!F$527</f>
        <v>3.5300958634082259E-2</v>
      </c>
      <c r="G70" s="48">
        <f>('Sheet1 (2)'!G70-'Sheet1 (2)'!G$526)/'Sheet1 (2)'!G$527</f>
        <v>-0.50144115274505707</v>
      </c>
      <c r="H70" s="48">
        <f>('Sheet1 (2)'!H70-'Sheet1 (2)'!H$526)/'Sheet1 (2)'!H$527</f>
        <v>-0.50517616223741302</v>
      </c>
      <c r="I70" s="48">
        <f>('Sheet1 (2)'!I70-'Sheet1 (2)'!I$526)/'Sheet1 (2)'!I$527</f>
        <v>-0.15520934686112142</v>
      </c>
      <c r="J70" s="48">
        <f>('Sheet1 (2)'!J70-'Sheet1 (2)'!J$526)/'Sheet1 (2)'!J$527</f>
        <v>-0.14872801045103484</v>
      </c>
      <c r="K70" s="48">
        <f>('Sheet1 (2)'!K70-'Sheet1 (2)'!K$526)/'Sheet1 (2)'!K$527</f>
        <v>-1.7078868831127771</v>
      </c>
    </row>
    <row r="71" spans="1:11" ht="12.75" x14ac:dyDescent="0.2">
      <c r="A71" s="49">
        <v>4</v>
      </c>
      <c r="B71" s="48">
        <f>('Sheet1 (2)'!B71-'Sheet1 (2)'!B$526)/'Sheet1 (2)'!B$527</f>
        <v>1.2478810076233939</v>
      </c>
      <c r="C71" s="48">
        <f>('Sheet1 (2)'!C71-'Sheet1 (2)'!C$526)/'Sheet1 (2)'!C$527</f>
        <v>-0.40899754997373239</v>
      </c>
      <c r="D71" s="48">
        <f>('Sheet1 (2)'!D71-'Sheet1 (2)'!D$526)/'Sheet1 (2)'!D$527</f>
        <v>-0.4704097020702403</v>
      </c>
      <c r="E71" s="48">
        <f>('Sheet1 (2)'!E71-'Sheet1 (2)'!E$526)/'Sheet1 (2)'!E$527</f>
        <v>-0.59633707647653622</v>
      </c>
      <c r="F71" s="48">
        <f>('Sheet1 (2)'!F71-'Sheet1 (2)'!F$526)/'Sheet1 (2)'!F$527</f>
        <v>3.5300958634082259E-2</v>
      </c>
      <c r="G71" s="48">
        <f>('Sheet1 (2)'!G71-'Sheet1 (2)'!G$526)/'Sheet1 (2)'!G$527</f>
        <v>-0.31374221354107079</v>
      </c>
      <c r="H71" s="48">
        <f>('Sheet1 (2)'!H71-'Sheet1 (2)'!H$526)/'Sheet1 (2)'!H$527</f>
        <v>-0.90739086119807111</v>
      </c>
      <c r="I71" s="48">
        <f>('Sheet1 (2)'!I71-'Sheet1 (2)'!I$526)/'Sheet1 (2)'!I$527</f>
        <v>-0.78359870383898578</v>
      </c>
      <c r="J71" s="48">
        <f>('Sheet1 (2)'!J71-'Sheet1 (2)'!J$526)/'Sheet1 (2)'!J$527</f>
        <v>-0.83510050802301494</v>
      </c>
      <c r="K71" s="48">
        <f>('Sheet1 (2)'!K71-'Sheet1 (2)'!K$526)/'Sheet1 (2)'!K$527</f>
        <v>-1.4896173102467833</v>
      </c>
    </row>
    <row r="72" spans="1:11" ht="12.75" x14ac:dyDescent="0.2">
      <c r="A72" s="50">
        <v>4</v>
      </c>
      <c r="B72" s="48">
        <f>('Sheet1 (2)'!B72-'Sheet1 (2)'!B$526)/'Sheet1 (2)'!B$527</f>
        <v>1.2478810076233939</v>
      </c>
      <c r="C72" s="48">
        <f>('Sheet1 (2)'!C72-'Sheet1 (2)'!C$526)/'Sheet1 (2)'!C$527</f>
        <v>-0.83000095411700969</v>
      </c>
      <c r="D72" s="48">
        <f>('Sheet1 (2)'!D72-'Sheet1 (2)'!D$526)/'Sheet1 (2)'!D$527</f>
        <v>-0.4704097020702403</v>
      </c>
      <c r="E72" s="48">
        <f>('Sheet1 (2)'!E72-'Sheet1 (2)'!E$526)/'Sheet1 (2)'!E$527</f>
        <v>-0.24250392164535398</v>
      </c>
      <c r="F72" s="48">
        <f>('Sheet1 (2)'!F72-'Sheet1 (2)'!F$526)/'Sheet1 (2)'!F$527</f>
        <v>-1.1978791963165167</v>
      </c>
      <c r="G72" s="48">
        <f>('Sheet1 (2)'!G72-'Sheet1 (2)'!G$526)/'Sheet1 (2)'!G$527</f>
        <v>2.2286075560908536</v>
      </c>
      <c r="H72" s="48">
        <f>('Sheet1 (2)'!H72-'Sheet1 (2)'!H$526)/'Sheet1 (2)'!H$527</f>
        <v>0.82285957536008714</v>
      </c>
      <c r="I72" s="48">
        <f>('Sheet1 (2)'!I72-'Sheet1 (2)'!I$526)/'Sheet1 (2)'!I$527</f>
        <v>-1.1903517345080243</v>
      </c>
      <c r="J72" s="48">
        <f>('Sheet1 (2)'!J72-'Sheet1 (2)'!J$526)/'Sheet1 (2)'!J$527</f>
        <v>-0.79003930075592921</v>
      </c>
      <c r="K72" s="48">
        <f>('Sheet1 (2)'!K72-'Sheet1 (2)'!K$526)/'Sheet1 (2)'!K$527</f>
        <v>-1.1864776075299108</v>
      </c>
    </row>
    <row r="73" spans="1:11" ht="12.75" x14ac:dyDescent="0.2">
      <c r="A73" s="51">
        <v>4</v>
      </c>
      <c r="B73" s="48">
        <f>('Sheet1 (2)'!B73-'Sheet1 (2)'!B$526)/'Sheet1 (2)'!B$527</f>
        <v>1.2478810076233939</v>
      </c>
      <c r="C73" s="48">
        <f>('Sheet1 (2)'!C73-'Sheet1 (2)'!C$526)/'Sheet1 (2)'!C$527</f>
        <v>-1.1063525035827002</v>
      </c>
      <c r="D73" s="48">
        <f>('Sheet1 (2)'!D73-'Sheet1 (2)'!D$526)/'Sheet1 (2)'!D$527</f>
        <v>-0.4704097020702403</v>
      </c>
      <c r="E73" s="48">
        <f>('Sheet1 (2)'!E73-'Sheet1 (2)'!E$526)/'Sheet1 (2)'!E$527</f>
        <v>-0.47686094627379938</v>
      </c>
      <c r="F73" s="48">
        <f>('Sheet1 (2)'!F73-'Sheet1 (2)'!F$526)/'Sheet1 (2)'!F$527</f>
        <v>-1.1978791963165167</v>
      </c>
      <c r="G73" s="48">
        <f>('Sheet1 (2)'!G73-'Sheet1 (2)'!G$526)/'Sheet1 (2)'!G$527</f>
        <v>1.7257038465684493</v>
      </c>
      <c r="H73" s="48">
        <f>('Sheet1 (2)'!H73-'Sheet1 (2)'!H$526)/'Sheet1 (2)'!H$527</f>
        <v>-0.62824602840061872</v>
      </c>
      <c r="I73" s="48">
        <f>('Sheet1 (2)'!I73-'Sheet1 (2)'!I$526)/'Sheet1 (2)'!I$527</f>
        <v>-0.86343815320250661</v>
      </c>
      <c r="J73" s="48">
        <f>('Sheet1 (2)'!J73-'Sheet1 (2)'!J$526)/'Sheet1 (2)'!J$527</f>
        <v>-0.83945425120312078</v>
      </c>
      <c r="K73" s="48">
        <f>('Sheet1 (2)'!K73-'Sheet1 (2)'!K$526)/'Sheet1 (2)'!K$527</f>
        <v>-1.4695652676546165</v>
      </c>
    </row>
    <row r="74" spans="1:11" ht="12.75" x14ac:dyDescent="0.2">
      <c r="A74" s="48">
        <v>5</v>
      </c>
      <c r="B74" s="48">
        <f>('Sheet1 (2)'!B74-'Sheet1 (2)'!B$526)/'Sheet1 (2)'!B$527</f>
        <v>-1.2242915745870349</v>
      </c>
      <c r="C74" s="48">
        <f>('Sheet1 (2)'!C74-'Sheet1 (2)'!C$526)/'Sheet1 (2)'!C$527</f>
        <v>-0.56303156375670538</v>
      </c>
      <c r="D74" s="48">
        <f>('Sheet1 (2)'!D74-'Sheet1 (2)'!D$526)/'Sheet1 (2)'!D$527</f>
        <v>-0.4704097020702403</v>
      </c>
      <c r="E74" s="48">
        <f>('Sheet1 (2)'!E74-'Sheet1 (2)'!E$526)/'Sheet1 (2)'!E$527</f>
        <v>1.064840656919209</v>
      </c>
      <c r="F74" s="48">
        <f>('Sheet1 (2)'!F74-'Sheet1 (2)'!F$526)/'Sheet1 (2)'!F$527</f>
        <v>1.2684811135846812</v>
      </c>
      <c r="G74" s="48">
        <f>('Sheet1 (2)'!G74-'Sheet1 (2)'!G$526)/'Sheet1 (2)'!G$527</f>
        <v>-0.50144115274505707</v>
      </c>
      <c r="H74" s="48">
        <f>('Sheet1 (2)'!H74-'Sheet1 (2)'!H$526)/'Sheet1 (2)'!H$527</f>
        <v>-0.2243531039922807</v>
      </c>
      <c r="I74" s="48">
        <f>('Sheet1 (2)'!I74-'Sheet1 (2)'!I$526)/'Sheet1 (2)'!I$527</f>
        <v>0.65311137261812657</v>
      </c>
      <c r="J74" s="48">
        <f>('Sheet1 (2)'!J74-'Sheet1 (2)'!J$526)/'Sheet1 (2)'!J$527</f>
        <v>-0.2389465806261222</v>
      </c>
      <c r="K74" s="48">
        <f>('Sheet1 (2)'!K74-'Sheet1 (2)'!K$526)/'Sheet1 (2)'!K$527</f>
        <v>-0.63776398527021649</v>
      </c>
    </row>
    <row r="75" spans="1:11" ht="12.75" x14ac:dyDescent="0.2">
      <c r="A75" s="49">
        <v>5</v>
      </c>
      <c r="B75" s="48">
        <f>('Sheet1 (2)'!B75-'Sheet1 (2)'!B$526)/'Sheet1 (2)'!B$527</f>
        <v>-1.2242915745870349</v>
      </c>
      <c r="C75" s="48">
        <f>('Sheet1 (2)'!C75-'Sheet1 (2)'!C$526)/'Sheet1 (2)'!C$527</f>
        <v>-0.18100966993863132</v>
      </c>
      <c r="D75" s="48">
        <f>('Sheet1 (2)'!D75-'Sheet1 (2)'!D$526)/'Sheet1 (2)'!D$527</f>
        <v>-0.4704097020702403</v>
      </c>
      <c r="E75" s="48">
        <f>('Sheet1 (2)'!E75-'Sheet1 (2)'!E$526)/'Sheet1 (2)'!E$527</f>
        <v>0.47894809534809546</v>
      </c>
      <c r="F75" s="48">
        <f>('Sheet1 (2)'!F75-'Sheet1 (2)'!F$526)/'Sheet1 (2)'!F$527</f>
        <v>1.2684811135846812</v>
      </c>
      <c r="G75" s="48">
        <f>('Sheet1 (2)'!G75-'Sheet1 (2)'!G$526)/'Sheet1 (2)'!G$527</f>
        <v>0.18615374421721329</v>
      </c>
      <c r="H75" s="48">
        <f>('Sheet1 (2)'!H75-'Sheet1 (2)'!H$526)/'Sheet1 (2)'!H$527</f>
        <v>-0.93335399606512226</v>
      </c>
      <c r="I75" s="48">
        <f>('Sheet1 (2)'!I75-'Sheet1 (2)'!I$526)/'Sheet1 (2)'!I$527</f>
        <v>0.65093352903741819</v>
      </c>
      <c r="J75" s="48">
        <f>('Sheet1 (2)'!J75-'Sheet1 (2)'!J$526)/'Sheet1 (2)'!J$527</f>
        <v>-0.45591308183938423</v>
      </c>
      <c r="K75" s="48">
        <f>('Sheet1 (2)'!K75-'Sheet1 (2)'!K$526)/'Sheet1 (2)'!K$527</f>
        <v>-0.76334944233534341</v>
      </c>
    </row>
    <row r="76" spans="1:11" ht="12.75" x14ac:dyDescent="0.2">
      <c r="A76" s="50">
        <v>5</v>
      </c>
      <c r="B76" s="48">
        <f>('Sheet1 (2)'!B76-'Sheet1 (2)'!B$526)/'Sheet1 (2)'!B$527</f>
        <v>-1.2242915745870349</v>
      </c>
      <c r="C76" s="48">
        <f>('Sheet1 (2)'!C76-'Sheet1 (2)'!C$526)/'Sheet1 (2)'!C$527</f>
        <v>-2.5007659600208418</v>
      </c>
      <c r="D76" s="48">
        <f>('Sheet1 (2)'!D76-'Sheet1 (2)'!D$526)/'Sheet1 (2)'!D$527</f>
        <v>-0.4704097020702403</v>
      </c>
      <c r="E76" s="48">
        <f>('Sheet1 (2)'!E76-'Sheet1 (2)'!E$526)/'Sheet1 (2)'!E$527</f>
        <v>-0.49524188938191277</v>
      </c>
      <c r="F76" s="48">
        <f>('Sheet1 (2)'!F76-'Sheet1 (2)'!F$526)/'Sheet1 (2)'!F$527</f>
        <v>3.5300958634082259E-2</v>
      </c>
      <c r="G76" s="48">
        <f>('Sheet1 (2)'!G76-'Sheet1 (2)'!G$526)/'Sheet1 (2)'!G$527</f>
        <v>2.2113605744560858</v>
      </c>
      <c r="H76" s="48">
        <f>('Sheet1 (2)'!H76-'Sheet1 (2)'!H$526)/'Sheet1 (2)'!H$527</f>
        <v>-1.8669409406951498</v>
      </c>
      <c r="I76" s="48">
        <f>('Sheet1 (2)'!I76-'Sheet1 (2)'!I$526)/'Sheet1 (2)'!I$527</f>
        <v>0.4767060425807475</v>
      </c>
      <c r="J76" s="48">
        <f>('Sheet1 (2)'!J76-'Sheet1 (2)'!J$526)/'Sheet1 (2)'!J$527</f>
        <v>0.71473961772177863</v>
      </c>
      <c r="K76" s="48">
        <f>('Sheet1 (2)'!K76-'Sheet1 (2)'!K$526)/'Sheet1 (2)'!K$527</f>
        <v>-7.568233461574489E-2</v>
      </c>
    </row>
    <row r="77" spans="1:11" ht="12.75" x14ac:dyDescent="0.2">
      <c r="A77" s="49">
        <v>5</v>
      </c>
      <c r="B77" s="48">
        <f>('Sheet1 (2)'!B77-'Sheet1 (2)'!B$526)/'Sheet1 (2)'!B$527</f>
        <v>-1.2242915745870349</v>
      </c>
      <c r="C77" s="48">
        <f>('Sheet1 (2)'!C77-'Sheet1 (2)'!C$526)/'Sheet1 (2)'!C$527</f>
        <v>-0.73982181977553696</v>
      </c>
      <c r="D77" s="48">
        <f>('Sheet1 (2)'!D77-'Sheet1 (2)'!D$526)/'Sheet1 (2)'!D$527</f>
        <v>-0.4704097020702403</v>
      </c>
      <c r="E77" s="48">
        <f>('Sheet1 (2)'!E77-'Sheet1 (2)'!E$526)/'Sheet1 (2)'!E$527</f>
        <v>-0.39644432017580339</v>
      </c>
      <c r="F77" s="48">
        <f>('Sheet1 (2)'!F77-'Sheet1 (2)'!F$526)/'Sheet1 (2)'!F$527</f>
        <v>3.5300958634082259E-2</v>
      </c>
      <c r="G77" s="48">
        <f>('Sheet1 (2)'!G77-'Sheet1 (2)'!G$526)/'Sheet1 (2)'!G$527</f>
        <v>-0.38630898395137458</v>
      </c>
      <c r="H77" s="48">
        <f>('Sheet1 (2)'!H77-'Sheet1 (2)'!H$526)/'Sheet1 (2)'!H$527</f>
        <v>-0.34597508937709504</v>
      </c>
      <c r="I77" s="48">
        <f>('Sheet1 (2)'!I77-'Sheet1 (2)'!I$526)/'Sheet1 (2)'!I$527</f>
        <v>-2.846994382091776</v>
      </c>
      <c r="J77" s="48">
        <f>('Sheet1 (2)'!J77-'Sheet1 (2)'!J$526)/'Sheet1 (2)'!J$527</f>
        <v>-0.58732731284212547</v>
      </c>
      <c r="K77" s="48">
        <f>('Sheet1 (2)'!K77-'Sheet1 (2)'!K$526)/'Sheet1 (2)'!K$527</f>
        <v>-0.88782475171370712</v>
      </c>
    </row>
    <row r="78" spans="1:11" ht="12.75" x14ac:dyDescent="0.2">
      <c r="A78" s="50">
        <v>5</v>
      </c>
      <c r="B78" s="48">
        <f>('Sheet1 (2)'!B78-'Sheet1 (2)'!B$526)/'Sheet1 (2)'!B$527</f>
        <v>-1.2242915745870349</v>
      </c>
      <c r="C78" s="48">
        <f>('Sheet1 (2)'!C78-'Sheet1 (2)'!C$526)/'Sheet1 (2)'!C$527</f>
        <v>5.154536350351159E-2</v>
      </c>
      <c r="D78" s="48">
        <f>('Sheet1 (2)'!D78-'Sheet1 (2)'!D$526)/'Sheet1 (2)'!D$527</f>
        <v>1.4257032508898051</v>
      </c>
      <c r="E78" s="48">
        <f>('Sheet1 (2)'!E78-'Sheet1 (2)'!E$526)/'Sheet1 (2)'!E$527</f>
        <v>-0.15978967765884378</v>
      </c>
      <c r="F78" s="48">
        <f>('Sheet1 (2)'!F78-'Sheet1 (2)'!F$526)/'Sheet1 (2)'!F$527</f>
        <v>-1.1978791963165167</v>
      </c>
      <c r="G78" s="48">
        <f>('Sheet1 (2)'!G78-'Sheet1 (2)'!G$526)/'Sheet1 (2)'!G$527</f>
        <v>-0.50144115274505707</v>
      </c>
      <c r="H78" s="48">
        <f>('Sheet1 (2)'!H78-'Sheet1 (2)'!H$526)/'Sheet1 (2)'!H$527</f>
        <v>-0.56088666582412583</v>
      </c>
      <c r="I78" s="48">
        <f>('Sheet1 (2)'!I78-'Sheet1 (2)'!I$526)/'Sheet1 (2)'!I$527</f>
        <v>-0.35429684371526571</v>
      </c>
      <c r="J78" s="48">
        <f>('Sheet1 (2)'!J78-'Sheet1 (2)'!J$526)/'Sheet1 (2)'!J$527</f>
        <v>-0.83945425120312078</v>
      </c>
      <c r="K78" s="48">
        <f>('Sheet1 (2)'!K78-'Sheet1 (2)'!K$526)/'Sheet1 (2)'!K$527</f>
        <v>-0.94687073180344328</v>
      </c>
    </row>
    <row r="79" spans="1:11" ht="12.75" x14ac:dyDescent="0.2">
      <c r="A79" s="51">
        <v>5</v>
      </c>
      <c r="B79" s="48">
        <f>('Sheet1 (2)'!B79-'Sheet1 (2)'!B$526)/'Sheet1 (2)'!B$527</f>
        <v>-1.2242915745870349</v>
      </c>
      <c r="C79" s="48">
        <f>('Sheet1 (2)'!C79-'Sheet1 (2)'!C$526)/'Sheet1 (2)'!C$527</f>
        <v>-0.57459645770199397</v>
      </c>
      <c r="D79" s="48">
        <f>('Sheet1 (2)'!D79-'Sheet1 (2)'!D$526)/'Sheet1 (2)'!D$527</f>
        <v>-0.4704097020702403</v>
      </c>
      <c r="E79" s="48">
        <f>('Sheet1 (2)'!E79-'Sheet1 (2)'!E$526)/'Sheet1 (2)'!E$527</f>
        <v>-0.85826551576715171</v>
      </c>
      <c r="F79" s="48">
        <f>('Sheet1 (2)'!F79-'Sheet1 (2)'!F$526)/'Sheet1 (2)'!F$527</f>
        <v>-1.1978791963165167</v>
      </c>
      <c r="G79" s="48">
        <f>('Sheet1 (2)'!G79-'Sheet1 (2)'!G$526)/'Sheet1 (2)'!G$527</f>
        <v>-0.50144115274505707</v>
      </c>
      <c r="H79" s="48">
        <f>('Sheet1 (2)'!H79-'Sheet1 (2)'!H$526)/'Sheet1 (2)'!H$527</f>
        <v>-1.1354814433665898</v>
      </c>
      <c r="I79" s="48">
        <f>('Sheet1 (2)'!I79-'Sheet1 (2)'!I$526)/'Sheet1 (2)'!I$527</f>
        <v>0.64377775727223363</v>
      </c>
      <c r="J79" s="48">
        <f>('Sheet1 (2)'!J79-'Sheet1 (2)'!J$526)/'Sheet1 (2)'!J$527</f>
        <v>0.43922117907019753</v>
      </c>
      <c r="K79" s="48">
        <f>('Sheet1 (2)'!K79-'Sheet1 (2)'!K$526)/'Sheet1 (2)'!K$527</f>
        <v>-1.4450495062385886</v>
      </c>
    </row>
    <row r="80" spans="1:11" ht="12.75" x14ac:dyDescent="0.2">
      <c r="A80" s="48">
        <v>5</v>
      </c>
      <c r="B80" s="48">
        <f>('Sheet1 (2)'!B80-'Sheet1 (2)'!B$526)/'Sheet1 (2)'!B$527</f>
        <v>1.1794716518179513E-2</v>
      </c>
      <c r="C80" s="48">
        <f>('Sheet1 (2)'!C80-'Sheet1 (2)'!C$526)/'Sheet1 (2)'!C$527</f>
        <v>-1.0177275972581419</v>
      </c>
      <c r="D80" s="48">
        <f>('Sheet1 (2)'!D80-'Sheet1 (2)'!D$526)/'Sheet1 (2)'!D$527</f>
        <v>-0.4704097020702403</v>
      </c>
      <c r="E80" s="48">
        <f>('Sheet1 (2)'!E80-'Sheet1 (2)'!E$526)/'Sheet1 (2)'!E$527</f>
        <v>0.86494790061847604</v>
      </c>
      <c r="F80" s="48">
        <f>('Sheet1 (2)'!F80-'Sheet1 (2)'!F$526)/'Sheet1 (2)'!F$527</f>
        <v>1.2684811135846812</v>
      </c>
      <c r="G80" s="48">
        <f>('Sheet1 (2)'!G80-'Sheet1 (2)'!G$526)/'Sheet1 (2)'!G$527</f>
        <v>2.3242519636887069</v>
      </c>
      <c r="H80" s="48">
        <f>('Sheet1 (2)'!H80-'Sheet1 (2)'!H$526)/'Sheet1 (2)'!H$527</f>
        <v>-3.505059493133466E-2</v>
      </c>
      <c r="I80" s="48">
        <f>('Sheet1 (2)'!I80-'Sheet1 (2)'!I$526)/'Sheet1 (2)'!I$527</f>
        <v>0.72916441419640721</v>
      </c>
      <c r="J80" s="48">
        <f>('Sheet1 (2)'!J80-'Sheet1 (2)'!J$526)/'Sheet1 (2)'!J$527</f>
        <v>-0.31496587648510566</v>
      </c>
      <c r="K80" s="48">
        <f>('Sheet1 (2)'!K80-'Sheet1 (2)'!K$526)/'Sheet1 (2)'!K$527</f>
        <v>0.458293275814458</v>
      </c>
    </row>
    <row r="81" spans="1:11" ht="12.75" x14ac:dyDescent="0.2">
      <c r="A81" s="49">
        <v>5</v>
      </c>
      <c r="B81" s="48">
        <f>('Sheet1 (2)'!B81-'Sheet1 (2)'!B$526)/'Sheet1 (2)'!B$527</f>
        <v>1.1794716518179513E-2</v>
      </c>
      <c r="C81" s="48">
        <f>('Sheet1 (2)'!C81-'Sheet1 (2)'!C$526)/'Sheet1 (2)'!C$527</f>
        <v>1.4466088088968077</v>
      </c>
      <c r="D81" s="48">
        <f>('Sheet1 (2)'!D81-'Sheet1 (2)'!D$526)/'Sheet1 (2)'!D$527</f>
        <v>-0.4704097020702403</v>
      </c>
      <c r="E81" s="48">
        <f>('Sheet1 (2)'!E81-'Sheet1 (2)'!E$526)/'Sheet1 (2)'!E$527</f>
        <v>2.4089471216999989</v>
      </c>
      <c r="F81" s="48">
        <f>('Sheet1 (2)'!F81-'Sheet1 (2)'!F$526)/'Sheet1 (2)'!F$527</f>
        <v>1.2684811135846812</v>
      </c>
      <c r="G81" s="48">
        <f>('Sheet1 (2)'!G81-'Sheet1 (2)'!G$526)/'Sheet1 (2)'!G$527</f>
        <v>-0.50144115274505707</v>
      </c>
      <c r="H81" s="48">
        <f>('Sheet1 (2)'!H81-'Sheet1 (2)'!H$526)/'Sheet1 (2)'!H$527</f>
        <v>1.250048118994511</v>
      </c>
      <c r="I81" s="48">
        <f>('Sheet1 (2)'!I81-'Sheet1 (2)'!I$526)/'Sheet1 (2)'!I$527</f>
        <v>0.66037068790263409</v>
      </c>
      <c r="J81" s="48">
        <f>('Sheet1 (2)'!J81-'Sheet1 (2)'!J$526)/'Sheet1 (2)'!J$527</f>
        <v>-0.83945425120312078</v>
      </c>
      <c r="K81" s="48">
        <f>('Sheet1 (2)'!K81-'Sheet1 (2)'!K$526)/'Sheet1 (2)'!K$527</f>
        <v>-0.81569407127562965</v>
      </c>
    </row>
    <row r="82" spans="1:11" ht="12.75" x14ac:dyDescent="0.2">
      <c r="A82" s="50">
        <v>5</v>
      </c>
      <c r="B82" s="48">
        <f>('Sheet1 (2)'!B82-'Sheet1 (2)'!B$526)/'Sheet1 (2)'!B$527</f>
        <v>1.1794716518179513E-2</v>
      </c>
      <c r="C82" s="48">
        <f>('Sheet1 (2)'!C82-'Sheet1 (2)'!C$526)/'Sheet1 (2)'!C$527</f>
        <v>1.6679486640908807</v>
      </c>
      <c r="D82" s="48">
        <f>('Sheet1 (2)'!D82-'Sheet1 (2)'!D$526)/'Sheet1 (2)'!D$527</f>
        <v>-0.4704097020702403</v>
      </c>
      <c r="E82" s="48">
        <f>('Sheet1 (2)'!E82-'Sheet1 (2)'!E$526)/'Sheet1 (2)'!E$527</f>
        <v>-0.18506347443249971</v>
      </c>
      <c r="F82" s="48">
        <f>('Sheet1 (2)'!F82-'Sheet1 (2)'!F$526)/'Sheet1 (2)'!F$527</f>
        <v>3.5300958634082259E-2</v>
      </c>
      <c r="G82" s="48">
        <f>('Sheet1 (2)'!G82-'Sheet1 (2)'!G$526)/'Sheet1 (2)'!G$527</f>
        <v>-0.50144115274505707</v>
      </c>
      <c r="H82" s="48">
        <f>('Sheet1 (2)'!H82-'Sheet1 (2)'!H$526)/'Sheet1 (2)'!H$527</f>
        <v>0.89751594095111242</v>
      </c>
      <c r="I82" s="48">
        <f>('Sheet1 (2)'!I82-'Sheet1 (2)'!I$526)/'Sheet1 (2)'!I$527</f>
        <v>-0.39921039674112729</v>
      </c>
      <c r="J82" s="48">
        <f>('Sheet1 (2)'!J82-'Sheet1 (2)'!J$526)/'Sheet1 (2)'!J$527</f>
        <v>-0.83945425120312078</v>
      </c>
      <c r="K82" s="48">
        <f>('Sheet1 (2)'!K82-'Sheet1 (2)'!K$526)/'Sheet1 (2)'!K$527</f>
        <v>-0.24103850475966224</v>
      </c>
    </row>
    <row r="83" spans="1:11" ht="12.75" x14ac:dyDescent="0.2">
      <c r="A83" s="49">
        <v>5</v>
      </c>
      <c r="B83" s="48">
        <f>('Sheet1 (2)'!B83-'Sheet1 (2)'!B$526)/'Sheet1 (2)'!B$527</f>
        <v>1.1794716518179513E-2</v>
      </c>
      <c r="C83" s="48">
        <f>('Sheet1 (2)'!C83-'Sheet1 (2)'!C$526)/'Sheet1 (2)'!C$527</f>
        <v>1.8002572321909383</v>
      </c>
      <c r="D83" s="48">
        <f>('Sheet1 (2)'!D83-'Sheet1 (2)'!D$526)/'Sheet1 (2)'!D$527</f>
        <v>-0.4704097020702403</v>
      </c>
      <c r="E83" s="48">
        <f>('Sheet1 (2)'!E83-'Sheet1 (2)'!E$526)/'Sheet1 (2)'!E$527</f>
        <v>-0.26318248264198146</v>
      </c>
      <c r="F83" s="48">
        <f>('Sheet1 (2)'!F83-'Sheet1 (2)'!F$526)/'Sheet1 (2)'!F$527</f>
        <v>3.5300958634082259E-2</v>
      </c>
      <c r="G83" s="48">
        <f>('Sheet1 (2)'!G83-'Sheet1 (2)'!G$526)/'Sheet1 (2)'!G$527</f>
        <v>-0.50144115274505707</v>
      </c>
      <c r="H83" s="48">
        <f>('Sheet1 (2)'!H83-'Sheet1 (2)'!H$526)/'Sheet1 (2)'!H$527</f>
        <v>0.9743592853736317</v>
      </c>
      <c r="I83" s="48">
        <f>('Sheet1 (2)'!I83-'Sheet1 (2)'!I$526)/'Sheet1 (2)'!I$527</f>
        <v>0.65753875631737102</v>
      </c>
      <c r="J83" s="48">
        <f>('Sheet1 (2)'!J83-'Sheet1 (2)'!J$526)/'Sheet1 (2)'!J$527</f>
        <v>-0.83945425120312078</v>
      </c>
      <c r="K83" s="48">
        <f>('Sheet1 (2)'!K83-'Sheet1 (2)'!K$526)/'Sheet1 (2)'!K$527</f>
        <v>-0.98116289518579125</v>
      </c>
    </row>
    <row r="84" spans="1:11" ht="12.75" x14ac:dyDescent="0.2">
      <c r="A84" s="50">
        <v>5</v>
      </c>
      <c r="B84" s="48">
        <f>('Sheet1 (2)'!B84-'Sheet1 (2)'!B$526)/'Sheet1 (2)'!B$527</f>
        <v>1.1794716518179513E-2</v>
      </c>
      <c r="C84" s="48">
        <f>('Sheet1 (2)'!C84-'Sheet1 (2)'!C$526)/'Sheet1 (2)'!C$527</f>
        <v>1.5362618025042163</v>
      </c>
      <c r="D84" s="48">
        <f>('Sheet1 (2)'!D84-'Sheet1 (2)'!D$526)/'Sheet1 (2)'!D$527</f>
        <v>-0.4704097020702403</v>
      </c>
      <c r="E84" s="48">
        <f>('Sheet1 (2)'!E84-'Sheet1 (2)'!E$526)/'Sheet1 (2)'!E$527</f>
        <v>-0.81690839377389657</v>
      </c>
      <c r="F84" s="48">
        <f>('Sheet1 (2)'!F84-'Sheet1 (2)'!F$526)/'Sheet1 (2)'!F$527</f>
        <v>-1.1978791963165167</v>
      </c>
      <c r="G84" s="48">
        <f>('Sheet1 (2)'!G84-'Sheet1 (2)'!G$526)/'Sheet1 (2)'!G$527</f>
        <v>-0.50144115274505707</v>
      </c>
      <c r="H84" s="48">
        <f>('Sheet1 (2)'!H84-'Sheet1 (2)'!H$526)/'Sheet1 (2)'!H$527</f>
        <v>0.5215194401785932</v>
      </c>
      <c r="I84" s="48">
        <f>('Sheet1 (2)'!I84-'Sheet1 (2)'!I$526)/'Sheet1 (2)'!I$527</f>
        <v>-0.44689235070712358</v>
      </c>
      <c r="J84" s="48">
        <f>('Sheet1 (2)'!J84-'Sheet1 (2)'!J$526)/'Sheet1 (2)'!J$527</f>
        <v>-0.48858639162977147</v>
      </c>
      <c r="K84" s="48">
        <f>('Sheet1 (2)'!K84-'Sheet1 (2)'!K$526)/'Sheet1 (2)'!K$527</f>
        <v>-0.34818334522033506</v>
      </c>
    </row>
    <row r="85" spans="1:11" ht="12.75" x14ac:dyDescent="0.2">
      <c r="A85" s="51">
        <v>5</v>
      </c>
      <c r="B85" s="48">
        <f>('Sheet1 (2)'!B85-'Sheet1 (2)'!B$526)/'Sheet1 (2)'!B$527</f>
        <v>1.1794716518179513E-2</v>
      </c>
      <c r="C85" s="48">
        <f>('Sheet1 (2)'!C85-'Sheet1 (2)'!C$526)/'Sheet1 (2)'!C$527</f>
        <v>1.5289741171914129</v>
      </c>
      <c r="D85" s="48">
        <f>('Sheet1 (2)'!D85-'Sheet1 (2)'!D$526)/'Sheet1 (2)'!D$527</f>
        <v>-0.4704097020702403</v>
      </c>
      <c r="E85" s="48">
        <f>('Sheet1 (2)'!E85-'Sheet1 (2)'!E$526)/'Sheet1 (2)'!E$527</f>
        <v>-0.83758695477052425</v>
      </c>
      <c r="F85" s="48">
        <f>('Sheet1 (2)'!F85-'Sheet1 (2)'!F$526)/'Sheet1 (2)'!F$527</f>
        <v>-1.1978791963165167</v>
      </c>
      <c r="G85" s="48">
        <f>('Sheet1 (2)'!G85-'Sheet1 (2)'!G$526)/'Sheet1 (2)'!G$527</f>
        <v>-0.50144115274505707</v>
      </c>
      <c r="H85" s="48">
        <f>('Sheet1 (2)'!H85-'Sheet1 (2)'!H$526)/'Sheet1 (2)'!H$527</f>
        <v>0.38786221788404973</v>
      </c>
      <c r="I85" s="48">
        <f>('Sheet1 (2)'!I85-'Sheet1 (2)'!I$526)/'Sheet1 (2)'!I$527</f>
        <v>0.66027629018312539</v>
      </c>
      <c r="J85" s="48">
        <f>('Sheet1 (2)'!J85-'Sheet1 (2)'!J$526)/'Sheet1 (2)'!J$527</f>
        <v>-0.83945425120312078</v>
      </c>
      <c r="K85" s="48">
        <f>('Sheet1 (2)'!K85-'Sheet1 (2)'!K$526)/'Sheet1 (2)'!K$527</f>
        <v>-0.86084940127907306</v>
      </c>
    </row>
    <row r="86" spans="1:11" ht="12.75" x14ac:dyDescent="0.2">
      <c r="A86" s="48">
        <v>5</v>
      </c>
      <c r="B86" s="48">
        <f>('Sheet1 (2)'!B86-'Sheet1 (2)'!B$526)/'Sheet1 (2)'!B$527</f>
        <v>1.2478810076233939</v>
      </c>
      <c r="C86" s="48">
        <f>('Sheet1 (2)'!C86-'Sheet1 (2)'!C$526)/'Sheet1 (2)'!C$527</f>
        <v>-0.67209710547824308</v>
      </c>
      <c r="D86" s="48">
        <f>('Sheet1 (2)'!D86-'Sheet1 (2)'!D$526)/'Sheet1 (2)'!D$527</f>
        <v>-0.4704097020702403</v>
      </c>
      <c r="E86" s="48">
        <f>('Sheet1 (2)'!E86-'Sheet1 (2)'!E$526)/'Sheet1 (2)'!E$527</f>
        <v>-0.80542030433132583</v>
      </c>
      <c r="F86" s="48">
        <f>('Sheet1 (2)'!F86-'Sheet1 (2)'!F$526)/'Sheet1 (2)'!F$527</f>
        <v>1.2684811135846812</v>
      </c>
      <c r="G86" s="48">
        <f>('Sheet1 (2)'!G86-'Sheet1 (2)'!G$526)/'Sheet1 (2)'!G$527</f>
        <v>-0.50144115274505707</v>
      </c>
      <c r="H86" s="48">
        <f>('Sheet1 (2)'!H86-'Sheet1 (2)'!H$526)/'Sheet1 (2)'!H$527</f>
        <v>0.29408606785815167</v>
      </c>
      <c r="I86" s="48">
        <f>('Sheet1 (2)'!I86-'Sheet1 (2)'!I$526)/'Sheet1 (2)'!I$527</f>
        <v>0.67546292515697581</v>
      </c>
      <c r="J86" s="48">
        <f>('Sheet1 (2)'!J86-'Sheet1 (2)'!J$526)/'Sheet1 (2)'!J$527</f>
        <v>-0.83945425120312078</v>
      </c>
      <c r="K86" s="48">
        <f>('Sheet1 (2)'!K86-'Sheet1 (2)'!K$526)/'Sheet1 (2)'!K$527</f>
        <v>-0.24423854112214388</v>
      </c>
    </row>
    <row r="87" spans="1:11" ht="12.75" x14ac:dyDescent="0.2">
      <c r="A87" s="49">
        <v>5</v>
      </c>
      <c r="B87" s="48">
        <f>('Sheet1 (2)'!B87-'Sheet1 (2)'!B$526)/'Sheet1 (2)'!B$527</f>
        <v>1.2478810076233939</v>
      </c>
      <c r="C87" s="48">
        <f>('Sheet1 (2)'!C87-'Sheet1 (2)'!C$526)/'Sheet1 (2)'!C$527</f>
        <v>1.098143756202819E-2</v>
      </c>
      <c r="D87" s="48">
        <f>('Sheet1 (2)'!D87-'Sheet1 (2)'!D$526)/'Sheet1 (2)'!D$527</f>
        <v>-0.4704097020702403</v>
      </c>
      <c r="E87" s="48">
        <f>('Sheet1 (2)'!E87-'Sheet1 (2)'!E$526)/'Sheet1 (2)'!E$527</f>
        <v>-5.8492791283943583E-3</v>
      </c>
      <c r="F87" s="48">
        <f>('Sheet1 (2)'!F87-'Sheet1 (2)'!F$526)/'Sheet1 (2)'!F$527</f>
        <v>1.2684811135846812</v>
      </c>
      <c r="G87" s="48">
        <f>('Sheet1 (2)'!G87-'Sheet1 (2)'!G$526)/'Sheet1 (2)'!G$527</f>
        <v>-0.50144115274505707</v>
      </c>
      <c r="H87" s="48">
        <f>('Sheet1 (2)'!H87-'Sheet1 (2)'!H$526)/'Sheet1 (2)'!H$527</f>
        <v>-0.67725315572804834</v>
      </c>
      <c r="I87" s="48">
        <f>('Sheet1 (2)'!I87-'Sheet1 (2)'!I$526)/'Sheet1 (2)'!I$527</f>
        <v>0.65820392414895601</v>
      </c>
      <c r="J87" s="48">
        <f>('Sheet1 (2)'!J87-'Sheet1 (2)'!J$526)/'Sheet1 (2)'!J$527</f>
        <v>-0.83945425120312078</v>
      </c>
      <c r="K87" s="48">
        <f>('Sheet1 (2)'!K87-'Sheet1 (2)'!K$526)/'Sheet1 (2)'!K$527</f>
        <v>-1.1470150221601871</v>
      </c>
    </row>
    <row r="88" spans="1:11" ht="12.75" x14ac:dyDescent="0.2">
      <c r="A88" s="50">
        <v>5</v>
      </c>
      <c r="B88" s="48">
        <f>('Sheet1 (2)'!B88-'Sheet1 (2)'!B$526)/'Sheet1 (2)'!B$527</f>
        <v>1.2478810076233939</v>
      </c>
      <c r="C88" s="48">
        <f>('Sheet1 (2)'!C88-'Sheet1 (2)'!C$526)/'Sheet1 (2)'!C$527</f>
        <v>8.0759920419631228E-3</v>
      </c>
      <c r="D88" s="48">
        <f>('Sheet1 (2)'!D88-'Sheet1 (2)'!D$526)/'Sheet1 (2)'!D$527</f>
        <v>-0.4704097020702403</v>
      </c>
      <c r="E88" s="48">
        <f>('Sheet1 (2)'!E88-'Sheet1 (2)'!E$526)/'Sheet1 (2)'!E$527</f>
        <v>-0.47686094627379938</v>
      </c>
      <c r="F88" s="48">
        <f>('Sheet1 (2)'!F88-'Sheet1 (2)'!F$526)/'Sheet1 (2)'!F$527</f>
        <v>3.5300958634082259E-2</v>
      </c>
      <c r="G88" s="48">
        <f>('Sheet1 (2)'!G88-'Sheet1 (2)'!G$526)/'Sheet1 (2)'!G$527</f>
        <v>0.45142903371844628</v>
      </c>
      <c r="H88" s="48">
        <f>('Sheet1 (2)'!H88-'Sheet1 (2)'!H$526)/'Sheet1 (2)'!H$527</f>
        <v>-0.58450911782993831</v>
      </c>
      <c r="I88" s="48">
        <f>('Sheet1 (2)'!I88-'Sheet1 (2)'!I$526)/'Sheet1 (2)'!I$527</f>
        <v>0.80128660992512035</v>
      </c>
      <c r="J88" s="48">
        <f>('Sheet1 (2)'!J88-'Sheet1 (2)'!J$526)/'Sheet1 (2)'!J$527</f>
        <v>-0.6727050522297936</v>
      </c>
      <c r="K88" s="48">
        <f>('Sheet1 (2)'!K88-'Sheet1 (2)'!K$526)/'Sheet1 (2)'!K$527</f>
        <v>-1.107904227011379</v>
      </c>
    </row>
    <row r="89" spans="1:11" ht="12.75" x14ac:dyDescent="0.2">
      <c r="A89" s="49">
        <v>5</v>
      </c>
      <c r="B89" s="48">
        <f>('Sheet1 (2)'!B89-'Sheet1 (2)'!B$526)/'Sheet1 (2)'!B$527</f>
        <v>1.2478810076233939</v>
      </c>
      <c r="C89" s="48">
        <f>('Sheet1 (2)'!C89-'Sheet1 (2)'!C$526)/'Sheet1 (2)'!C$527</f>
        <v>-1.7345106156182433</v>
      </c>
      <c r="D89" s="48">
        <f>('Sheet1 (2)'!D89-'Sheet1 (2)'!D$526)/'Sheet1 (2)'!D$527</f>
        <v>-0.4704097020702403</v>
      </c>
      <c r="E89" s="48">
        <f>('Sheet1 (2)'!E89-'Sheet1 (2)'!E$526)/'Sheet1 (2)'!E$527</f>
        <v>-0.64458705213533385</v>
      </c>
      <c r="F89" s="48">
        <f>('Sheet1 (2)'!F89-'Sheet1 (2)'!F$526)/'Sheet1 (2)'!F$527</f>
        <v>3.5300958634082259E-2</v>
      </c>
      <c r="G89" s="48">
        <f>('Sheet1 (2)'!G89-'Sheet1 (2)'!G$526)/'Sheet1 (2)'!G$527</f>
        <v>0.51438141840972895</v>
      </c>
      <c r="H89" s="48">
        <f>('Sheet1 (2)'!H89-'Sheet1 (2)'!H$526)/'Sheet1 (2)'!H$527</f>
        <v>-1.2040392909893098</v>
      </c>
      <c r="I89" s="48">
        <f>('Sheet1 (2)'!I89-'Sheet1 (2)'!I$526)/'Sheet1 (2)'!I$527</f>
        <v>-12.650712820906334</v>
      </c>
      <c r="J89" s="48">
        <f>('Sheet1 (2)'!J89-'Sheet1 (2)'!J$526)/'Sheet1 (2)'!J$527</f>
        <v>-0.83945425120312078</v>
      </c>
      <c r="K89" s="48">
        <f>('Sheet1 (2)'!K89-'Sheet1 (2)'!K$526)/'Sheet1 (2)'!K$527</f>
        <v>0.54915187475367744</v>
      </c>
    </row>
    <row r="90" spans="1:11" ht="12.75" x14ac:dyDescent="0.2">
      <c r="A90" s="50">
        <v>5</v>
      </c>
      <c r="B90" s="48">
        <f>('Sheet1 (2)'!B90-'Sheet1 (2)'!B$526)/'Sheet1 (2)'!B$527</f>
        <v>1.2478810076233939</v>
      </c>
      <c r="C90" s="48">
        <f>('Sheet1 (2)'!C90-'Sheet1 (2)'!C$526)/'Sheet1 (2)'!C$527</f>
        <v>-1.0165584250642736</v>
      </c>
      <c r="D90" s="48">
        <f>('Sheet1 (2)'!D90-'Sheet1 (2)'!D$526)/'Sheet1 (2)'!D$527</f>
        <v>-0.4704097020702403</v>
      </c>
      <c r="E90" s="48">
        <f>('Sheet1 (2)'!E90-'Sheet1 (2)'!E$526)/'Sheet1 (2)'!E$527</f>
        <v>-0.68364655624007464</v>
      </c>
      <c r="F90" s="48">
        <f>('Sheet1 (2)'!F90-'Sheet1 (2)'!F$526)/'Sheet1 (2)'!F$527</f>
        <v>-1.1978791963165167</v>
      </c>
      <c r="G90" s="48">
        <f>('Sheet1 (2)'!G90-'Sheet1 (2)'!G$526)/'Sheet1 (2)'!G$527</f>
        <v>-0.50144115274505707</v>
      </c>
      <c r="H90" s="48">
        <f>('Sheet1 (2)'!H90-'Sheet1 (2)'!H$526)/'Sheet1 (2)'!H$527</f>
        <v>-0.27474403125025332</v>
      </c>
      <c r="I90" s="48">
        <f>('Sheet1 (2)'!I90-'Sheet1 (2)'!I$526)/'Sheet1 (2)'!I$527</f>
        <v>4.0209254108728194</v>
      </c>
      <c r="J90" s="48">
        <f>('Sheet1 (2)'!J90-'Sheet1 (2)'!J$526)/'Sheet1 (2)'!J$527</f>
        <v>4.2579588268159005</v>
      </c>
      <c r="K90" s="48">
        <f>('Sheet1 (2)'!K90-'Sheet1 (2)'!K$526)/'Sheet1 (2)'!K$527</f>
        <v>-0.80321250861399796</v>
      </c>
    </row>
    <row r="91" spans="1:11" ht="12.75" x14ac:dyDescent="0.2">
      <c r="A91" s="51">
        <v>5</v>
      </c>
      <c r="B91" s="48">
        <f>('Sheet1 (2)'!B91-'Sheet1 (2)'!B$526)/'Sheet1 (2)'!B$527</f>
        <v>1.2478810076233939</v>
      </c>
      <c r="C91" s="48">
        <f>('Sheet1 (2)'!C91-'Sheet1 (2)'!C$526)/'Sheet1 (2)'!C$527</f>
        <v>-0.41124620668677869</v>
      </c>
      <c r="D91" s="48">
        <f>('Sheet1 (2)'!D91-'Sheet1 (2)'!D$526)/'Sheet1 (2)'!D$527</f>
        <v>-0.4704097020702403</v>
      </c>
      <c r="E91" s="48">
        <f>('Sheet1 (2)'!E91-'Sheet1 (2)'!E$526)/'Sheet1 (2)'!E$527</f>
        <v>-0.83299171899349589</v>
      </c>
      <c r="F91" s="48">
        <f>('Sheet1 (2)'!F91-'Sheet1 (2)'!F$526)/'Sheet1 (2)'!F$527</f>
        <v>-1.1978791963165167</v>
      </c>
      <c r="G91" s="48">
        <f>('Sheet1 (2)'!G91-'Sheet1 (2)'!G$526)/'Sheet1 (2)'!G$527</f>
        <v>-1.9283115450461522E-2</v>
      </c>
      <c r="H91" s="48">
        <f>('Sheet1 (2)'!H91-'Sheet1 (2)'!H$526)/'Sheet1 (2)'!H$527</f>
        <v>-1.0371000227727125</v>
      </c>
      <c r="I91" s="48">
        <f>('Sheet1 (2)'!I91-'Sheet1 (2)'!I$526)/'Sheet1 (2)'!I$527</f>
        <v>0.65876066611695661</v>
      </c>
      <c r="J91" s="48">
        <f>('Sheet1 (2)'!J91-'Sheet1 (2)'!J$526)/'Sheet1 (2)'!J$527</f>
        <v>0.61460654519785973</v>
      </c>
      <c r="K91" s="48">
        <f>('Sheet1 (2)'!K91-'Sheet1 (2)'!K$526)/'Sheet1 (2)'!K$527</f>
        <v>0.33745693593235099</v>
      </c>
    </row>
    <row r="92" spans="1:11" ht="12.75" x14ac:dyDescent="0.2">
      <c r="A92" s="48">
        <v>6</v>
      </c>
      <c r="B92" s="48">
        <f>('Sheet1 (2)'!B92-'Sheet1 (2)'!B$526)/'Sheet1 (2)'!B$527</f>
        <v>-1.2242915745870349</v>
      </c>
      <c r="C92" s="48">
        <f>('Sheet1 (2)'!C92-'Sheet1 (2)'!C$526)/'Sheet1 (2)'!C$527</f>
        <v>0.24678991150777674</v>
      </c>
      <c r="D92" s="48">
        <f>('Sheet1 (2)'!D92-'Sheet1 (2)'!D$526)/'Sheet1 (2)'!D$527</f>
        <v>-0.4704097020702403</v>
      </c>
      <c r="E92" s="48">
        <f>('Sheet1 (2)'!E92-'Sheet1 (2)'!E$526)/'Sheet1 (2)'!E$527</f>
        <v>0.55476948566906314</v>
      </c>
      <c r="F92" s="48">
        <f>('Sheet1 (2)'!F92-'Sheet1 (2)'!F$526)/'Sheet1 (2)'!F$527</f>
        <v>1.2684811135846812</v>
      </c>
      <c r="G92" s="48">
        <f>('Sheet1 (2)'!G92-'Sheet1 (2)'!G$526)/'Sheet1 (2)'!G$527</f>
        <v>-0.45695826934749789</v>
      </c>
      <c r="H92" s="48">
        <f>('Sheet1 (2)'!H92-'Sheet1 (2)'!H$526)/'Sheet1 (2)'!H$527</f>
        <v>1.5486412261651235</v>
      </c>
      <c r="I92" s="48">
        <f>('Sheet1 (2)'!I92-'Sheet1 (2)'!I$526)/'Sheet1 (2)'!I$527</f>
        <v>0.67352276375333719</v>
      </c>
      <c r="J92" s="48">
        <f>('Sheet1 (2)'!J92-'Sheet1 (2)'!J$526)/'Sheet1 (2)'!J$527</f>
        <v>-6.1524196980013275E-2</v>
      </c>
      <c r="K92" s="48">
        <f>('Sheet1 (2)'!K92-'Sheet1 (2)'!K$526)/'Sheet1 (2)'!K$527</f>
        <v>-0.41266892646428371</v>
      </c>
    </row>
    <row r="93" spans="1:11" ht="12.75" x14ac:dyDescent="0.2">
      <c r="A93" s="49">
        <v>6</v>
      </c>
      <c r="B93" s="48">
        <f>('Sheet1 (2)'!B93-'Sheet1 (2)'!B$526)/'Sheet1 (2)'!B$527</f>
        <v>-1.2242915745870349</v>
      </c>
      <c r="C93" s="48">
        <f>('Sheet1 (2)'!C93-'Sheet1 (2)'!C$526)/'Sheet1 (2)'!C$527</f>
        <v>-0.44960538260965671</v>
      </c>
      <c r="D93" s="48">
        <f>('Sheet1 (2)'!D93-'Sheet1 (2)'!D$526)/'Sheet1 (2)'!D$527</f>
        <v>-0.4704097020702403</v>
      </c>
      <c r="E93" s="48">
        <f>('Sheet1 (2)'!E93-'Sheet1 (2)'!E$526)/'Sheet1 (2)'!E$527</f>
        <v>1.2991976815476545</v>
      </c>
      <c r="F93" s="48">
        <f>('Sheet1 (2)'!F93-'Sheet1 (2)'!F$526)/'Sheet1 (2)'!F$527</f>
        <v>3.5300958634082259E-2</v>
      </c>
      <c r="G93" s="48">
        <f>('Sheet1 (2)'!G93-'Sheet1 (2)'!G$526)/'Sheet1 (2)'!G$527</f>
        <v>0.66664641499084765</v>
      </c>
      <c r="H93" s="48">
        <f>('Sheet1 (2)'!H93-'Sheet1 (2)'!H$526)/'Sheet1 (2)'!H$527</f>
        <v>-0.56699079956029574</v>
      </c>
      <c r="I93" s="48">
        <f>('Sheet1 (2)'!I93-'Sheet1 (2)'!I$526)/'Sheet1 (2)'!I$527</f>
        <v>-1.310671868263487</v>
      </c>
      <c r="J93" s="48">
        <f>('Sheet1 (2)'!J93-'Sheet1 (2)'!J$526)/'Sheet1 (2)'!J$527</f>
        <v>-0.39302703329100325</v>
      </c>
      <c r="K93" s="48">
        <f>('Sheet1 (2)'!K93-'Sheet1 (2)'!K$526)/'Sheet1 (2)'!K$527</f>
        <v>-0.26812265152182002</v>
      </c>
    </row>
    <row r="94" spans="1:11" ht="12.75" x14ac:dyDescent="0.2">
      <c r="A94" s="50">
        <v>6</v>
      </c>
      <c r="B94" s="48">
        <f>('Sheet1 (2)'!B94-'Sheet1 (2)'!B$526)/'Sheet1 (2)'!B$527</f>
        <v>-1.2242915745870349</v>
      </c>
      <c r="C94" s="48">
        <f>('Sheet1 (2)'!C94-'Sheet1 (2)'!C$526)/'Sheet1 (2)'!C$527</f>
        <v>0.66318176089770919</v>
      </c>
      <c r="D94" s="48">
        <f>('Sheet1 (2)'!D94-'Sheet1 (2)'!D$526)/'Sheet1 (2)'!D$527</f>
        <v>1.4257032508898051</v>
      </c>
      <c r="E94" s="48">
        <f>('Sheet1 (2)'!E94-'Sheet1 (2)'!E$526)/'Sheet1 (2)'!E$527</f>
        <v>1.9632092513282497</v>
      </c>
      <c r="F94" s="48">
        <f>('Sheet1 (2)'!F94-'Sheet1 (2)'!F$526)/'Sheet1 (2)'!F$527</f>
        <v>3.5300958634082259E-2</v>
      </c>
      <c r="G94" s="48">
        <f>('Sheet1 (2)'!G94-'Sheet1 (2)'!G$526)/'Sheet1 (2)'!G$527</f>
        <v>-0.50144115274505707</v>
      </c>
      <c r="H94" s="48">
        <f>('Sheet1 (2)'!H94-'Sheet1 (2)'!H$526)/'Sheet1 (2)'!H$527</f>
        <v>0.22365680756340531</v>
      </c>
      <c r="I94" s="48">
        <f>('Sheet1 (2)'!I94-'Sheet1 (2)'!I$526)/'Sheet1 (2)'!I$527</f>
        <v>0.16449189531347971</v>
      </c>
      <c r="J94" s="48">
        <f>('Sheet1 (2)'!J94-'Sheet1 (2)'!J$526)/'Sheet1 (2)'!J$527</f>
        <v>-0.83945425120312078</v>
      </c>
      <c r="K94" s="48">
        <f>('Sheet1 (2)'!K94-'Sheet1 (2)'!K$526)/'Sheet1 (2)'!K$527</f>
        <v>-0.76595660735728821</v>
      </c>
    </row>
    <row r="95" spans="1:11" ht="12.75" x14ac:dyDescent="0.2">
      <c r="A95" s="49">
        <v>6</v>
      </c>
      <c r="B95" s="48">
        <f>('Sheet1 (2)'!B95-'Sheet1 (2)'!B$526)/'Sheet1 (2)'!B$527</f>
        <v>-1.2242915745870349</v>
      </c>
      <c r="C95" s="48">
        <f>('Sheet1 (2)'!C95-'Sheet1 (2)'!C$526)/'Sheet1 (2)'!C$527</f>
        <v>0.45051698428378462</v>
      </c>
      <c r="D95" s="48">
        <f>('Sheet1 (2)'!D95-'Sheet1 (2)'!D$526)/'Sheet1 (2)'!D$527</f>
        <v>-0.4704097020702403</v>
      </c>
      <c r="E95" s="48">
        <f>('Sheet1 (2)'!E95-'Sheet1 (2)'!E$526)/'Sheet1 (2)'!E$527</f>
        <v>-0.90881310931446346</v>
      </c>
      <c r="F95" s="48">
        <f>('Sheet1 (2)'!F95-'Sheet1 (2)'!F$526)/'Sheet1 (2)'!F$527</f>
        <v>-1.1978791963165167</v>
      </c>
      <c r="G95" s="48">
        <f>('Sheet1 (2)'!G95-'Sheet1 (2)'!G$526)/'Sheet1 (2)'!G$527</f>
        <v>-0.27985049285721614</v>
      </c>
      <c r="H95" s="48">
        <f>('Sheet1 (2)'!H95-'Sheet1 (2)'!H$526)/'Sheet1 (2)'!H$527</f>
        <v>-0.4811978804622265</v>
      </c>
      <c r="I95" s="48">
        <f>('Sheet1 (2)'!I95-'Sheet1 (2)'!I$526)/'Sheet1 (2)'!I$527</f>
        <v>0.11384524719414883</v>
      </c>
      <c r="J95" s="48">
        <f>('Sheet1 (2)'!J95-'Sheet1 (2)'!J$526)/'Sheet1 (2)'!J$527</f>
        <v>0.51265322139445768</v>
      </c>
      <c r="K95" s="48">
        <f>('Sheet1 (2)'!K95-'Sheet1 (2)'!K$526)/'Sheet1 (2)'!K$527</f>
        <v>-1.0491157542648542</v>
      </c>
    </row>
    <row r="96" spans="1:11" ht="12.75" x14ac:dyDescent="0.2">
      <c r="A96" s="53">
        <v>6</v>
      </c>
      <c r="B96" s="48">
        <f>('Sheet1 (2)'!B96-'Sheet1 (2)'!B$526)/'Sheet1 (2)'!B$527</f>
        <v>-1.2242915745870349</v>
      </c>
      <c r="C96" s="48">
        <f>('Sheet1 (2)'!C96-'Sheet1 (2)'!C$526)/'Sheet1 (2)'!C$527</f>
        <v>-1.1618925832838107</v>
      </c>
      <c r="D96" s="48">
        <f>('Sheet1 (2)'!D96-'Sheet1 (2)'!D$526)/'Sheet1 (2)'!D$527</f>
        <v>-0.4704097020702403</v>
      </c>
      <c r="E96" s="48">
        <f>('Sheet1 (2)'!E96-'Sheet1 (2)'!E$526)/'Sheet1 (2)'!E$527</f>
        <v>4.2400696530403216E-2</v>
      </c>
      <c r="F96" s="48">
        <f>('Sheet1 (2)'!F96-'Sheet1 (2)'!F$526)/'Sheet1 (2)'!F$527</f>
        <v>-1.1978791963165167</v>
      </c>
      <c r="G96" s="48">
        <f>('Sheet1 (2)'!G96-'Sheet1 (2)'!G$526)/'Sheet1 (2)'!G$527</f>
        <v>0.546377878397447</v>
      </c>
      <c r="H96" s="48">
        <f>('Sheet1 (2)'!H96-'Sheet1 (2)'!H$526)/'Sheet1 (2)'!H$527</f>
        <v>-0.93080973449069759</v>
      </c>
      <c r="I96" s="48">
        <f>('Sheet1 (2)'!I96-'Sheet1 (2)'!I$526)/'Sheet1 (2)'!I$527</f>
        <v>0.83059148260442672</v>
      </c>
      <c r="J96" s="48">
        <f>('Sheet1 (2)'!J96-'Sheet1 (2)'!J$526)/'Sheet1 (2)'!J$527</f>
        <v>-0.41637155816597032</v>
      </c>
      <c r="K96" s="48">
        <f>('Sheet1 (2)'!K96-'Sheet1 (2)'!K$526)/'Sheet1 (2)'!K$527</f>
        <v>-0.35848194505657477</v>
      </c>
    </row>
    <row r="97" spans="1:11" ht="12.75" x14ac:dyDescent="0.2">
      <c r="A97" s="52">
        <v>6</v>
      </c>
      <c r="B97" s="48">
        <f>('Sheet1 (2)'!B97-'Sheet1 (2)'!B$526)/'Sheet1 (2)'!B$527</f>
        <v>1.1794716518179513E-2</v>
      </c>
      <c r="C97" s="48">
        <f>('Sheet1 (2)'!C97-'Sheet1 (2)'!C$526)/'Sheet1 (2)'!C$527</f>
        <v>0.79458617342154869</v>
      </c>
      <c r="D97" s="48">
        <f>('Sheet1 (2)'!D97-'Sheet1 (2)'!D$526)/'Sheet1 (2)'!D$527</f>
        <v>-0.4704097020702403</v>
      </c>
      <c r="E97" s="48">
        <f>('Sheet1 (2)'!E97-'Sheet1 (2)'!E$526)/'Sheet1 (2)'!E$527</f>
        <v>-0.53200377559813949</v>
      </c>
      <c r="F97" s="48">
        <f>('Sheet1 (2)'!F97-'Sheet1 (2)'!F$526)/'Sheet1 (2)'!F$527</f>
        <v>1.2684811135846812</v>
      </c>
      <c r="G97" s="48">
        <f>('Sheet1 (2)'!G97-'Sheet1 (2)'!G$526)/'Sheet1 (2)'!G$527</f>
        <v>-0.50144115274505707</v>
      </c>
      <c r="H97" s="48">
        <f>('Sheet1 (2)'!H97-'Sheet1 (2)'!H$526)/'Sheet1 (2)'!H$527</f>
        <v>1.7895033698820686</v>
      </c>
      <c r="I97" s="48">
        <f>('Sheet1 (2)'!I97-'Sheet1 (2)'!I$526)/'Sheet1 (2)'!I$527</f>
        <v>0.5427058848748566</v>
      </c>
      <c r="J97" s="48">
        <f>('Sheet1 (2)'!J97-'Sheet1 (2)'!J$526)/'Sheet1 (2)'!J$527</f>
        <v>-0.83945425120312078</v>
      </c>
      <c r="K97" s="48">
        <f>('Sheet1 (2)'!K97-'Sheet1 (2)'!K$526)/'Sheet1 (2)'!K$527</f>
        <v>-0.43020105996064328</v>
      </c>
    </row>
    <row r="98" spans="1:11" ht="12.75" x14ac:dyDescent="0.2">
      <c r="A98" s="50">
        <v>6</v>
      </c>
      <c r="B98" s="48">
        <f>('Sheet1 (2)'!B98-'Sheet1 (2)'!B$526)/'Sheet1 (2)'!B$527</f>
        <v>1.1794716518179513E-2</v>
      </c>
      <c r="C98" s="48">
        <f>('Sheet1 (2)'!C98-'Sheet1 (2)'!C$526)/'Sheet1 (2)'!C$527</f>
        <v>1.4415559492945691</v>
      </c>
      <c r="D98" s="48">
        <f>('Sheet1 (2)'!D98-'Sheet1 (2)'!D$526)/'Sheet1 (2)'!D$527</f>
        <v>-0.4704097020702403</v>
      </c>
      <c r="E98" s="48">
        <f>('Sheet1 (2)'!E98-'Sheet1 (2)'!E$526)/'Sheet1 (2)'!E$527</f>
        <v>-0.29305151519266565</v>
      </c>
      <c r="F98" s="48">
        <f>('Sheet1 (2)'!F98-'Sheet1 (2)'!F$526)/'Sheet1 (2)'!F$527</f>
        <v>3.5300958634082259E-2</v>
      </c>
      <c r="G98" s="48">
        <f>('Sheet1 (2)'!G98-'Sheet1 (2)'!G$526)/'Sheet1 (2)'!G$527</f>
        <v>-0.50144115274505707</v>
      </c>
      <c r="H98" s="48">
        <f>('Sheet1 (2)'!H98-'Sheet1 (2)'!H$526)/'Sheet1 (2)'!H$527</f>
        <v>6.920509149548458E-2</v>
      </c>
      <c r="I98" s="48">
        <f>('Sheet1 (2)'!I98-'Sheet1 (2)'!I$526)/'Sheet1 (2)'!I$527</f>
        <v>-0.22323110002944008</v>
      </c>
      <c r="J98" s="48">
        <f>('Sheet1 (2)'!J98-'Sheet1 (2)'!J$526)/'Sheet1 (2)'!J$527</f>
        <v>-0.83945425120312078</v>
      </c>
      <c r="K98" s="48">
        <f>('Sheet1 (2)'!K98-'Sheet1 (2)'!K$526)/'Sheet1 (2)'!K$527</f>
        <v>-1.4045119957265952</v>
      </c>
    </row>
    <row r="99" spans="1:11" ht="12.75" x14ac:dyDescent="0.2">
      <c r="A99" s="49">
        <v>6</v>
      </c>
      <c r="B99" s="48">
        <f>('Sheet1 (2)'!B99-'Sheet1 (2)'!B$526)/'Sheet1 (2)'!B$527</f>
        <v>1.1794716518179513E-2</v>
      </c>
      <c r="C99" s="48">
        <f>('Sheet1 (2)'!C99-'Sheet1 (2)'!C$526)/'Sheet1 (2)'!C$527</f>
        <v>1.1718677116826968</v>
      </c>
      <c r="D99" s="48">
        <f>('Sheet1 (2)'!D99-'Sheet1 (2)'!D$526)/'Sheet1 (2)'!D$527</f>
        <v>-0.4704097020702403</v>
      </c>
      <c r="E99" s="48">
        <f>('Sheet1 (2)'!E99-'Sheet1 (2)'!E$526)/'Sheet1 (2)'!E$527</f>
        <v>-0.18736109232101383</v>
      </c>
      <c r="F99" s="48">
        <f>('Sheet1 (2)'!F99-'Sheet1 (2)'!F$526)/'Sheet1 (2)'!F$527</f>
        <v>3.5300958634082259E-2</v>
      </c>
      <c r="G99" s="48">
        <f>('Sheet1 (2)'!G99-'Sheet1 (2)'!G$526)/'Sheet1 (2)'!G$527</f>
        <v>-0.50144115274505707</v>
      </c>
      <c r="H99" s="48">
        <f>('Sheet1 (2)'!H99-'Sheet1 (2)'!H$526)/'Sheet1 (2)'!H$527</f>
        <v>1.0415632905446346</v>
      </c>
      <c r="I99" s="48">
        <f>('Sheet1 (2)'!I99-'Sheet1 (2)'!I$526)/'Sheet1 (2)'!I$527</f>
        <v>0.64607379188525482</v>
      </c>
      <c r="J99" s="48">
        <f>('Sheet1 (2)'!J99-'Sheet1 (2)'!J$526)/'Sheet1 (2)'!J$527</f>
        <v>-0.83945425120312078</v>
      </c>
      <c r="K99" s="48">
        <f>('Sheet1 (2)'!K99-'Sheet1 (2)'!K$526)/'Sheet1 (2)'!K$527</f>
        <v>-0.37214919955223341</v>
      </c>
    </row>
    <row r="100" spans="1:11" ht="12.75" x14ac:dyDescent="0.2">
      <c r="A100" s="50">
        <v>6</v>
      </c>
      <c r="B100" s="48">
        <f>('Sheet1 (2)'!B100-'Sheet1 (2)'!B$526)/'Sheet1 (2)'!B$527</f>
        <v>1.1794716518179513E-2</v>
      </c>
      <c r="C100" s="48">
        <f>('Sheet1 (2)'!C100-'Sheet1 (2)'!C$526)/'Sheet1 (2)'!C$527</f>
        <v>1.8303484893808102</v>
      </c>
      <c r="D100" s="48">
        <f>('Sheet1 (2)'!D100-'Sheet1 (2)'!D$526)/'Sheet1 (2)'!D$527</f>
        <v>-0.4704097020702403</v>
      </c>
      <c r="E100" s="48">
        <f>('Sheet1 (2)'!E100-'Sheet1 (2)'!E$526)/'Sheet1 (2)'!E$527</f>
        <v>-0.60782516591910718</v>
      </c>
      <c r="F100" s="48">
        <f>('Sheet1 (2)'!F100-'Sheet1 (2)'!F$526)/'Sheet1 (2)'!F$527</f>
        <v>-1.1978791963165167</v>
      </c>
      <c r="G100" s="48">
        <f>('Sheet1 (2)'!G100-'Sheet1 (2)'!G$526)/'Sheet1 (2)'!G$527</f>
        <v>-0.50144115274505707</v>
      </c>
      <c r="H100" s="48">
        <f>('Sheet1 (2)'!H100-'Sheet1 (2)'!H$526)/'Sheet1 (2)'!H$527</f>
        <v>1.6144655495044726</v>
      </c>
      <c r="I100" s="48">
        <f>('Sheet1 (2)'!I100-'Sheet1 (2)'!I$526)/'Sheet1 (2)'!I$527</f>
        <v>-0.38579301572326297</v>
      </c>
      <c r="J100" s="48">
        <f>('Sheet1 (2)'!J100-'Sheet1 (2)'!J$526)/'Sheet1 (2)'!J$527</f>
        <v>-0.83945425120312078</v>
      </c>
      <c r="K100" s="48">
        <f>('Sheet1 (2)'!K100-'Sheet1 (2)'!K$526)/'Sheet1 (2)'!K$527</f>
        <v>-0.95139491956555011</v>
      </c>
    </row>
    <row r="101" spans="1:11" ht="12.75" x14ac:dyDescent="0.2">
      <c r="A101" s="51">
        <v>6</v>
      </c>
      <c r="B101" s="48">
        <f>('Sheet1 (2)'!B101-'Sheet1 (2)'!B$526)/'Sheet1 (2)'!B$527</f>
        <v>1.1794716518179513E-2</v>
      </c>
      <c r="C101" s="48">
        <f>('Sheet1 (2)'!C101-'Sheet1 (2)'!C$526)/'Sheet1 (2)'!C$527</f>
        <v>1.5315476567406572</v>
      </c>
      <c r="D101" s="48">
        <f>('Sheet1 (2)'!D101-'Sheet1 (2)'!D$526)/'Sheet1 (2)'!D$527</f>
        <v>-0.4704097020702403</v>
      </c>
      <c r="E101" s="48">
        <f>('Sheet1 (2)'!E101-'Sheet1 (2)'!E$526)/'Sheet1 (2)'!E$527</f>
        <v>-0.81461077588538244</v>
      </c>
      <c r="F101" s="48">
        <f>('Sheet1 (2)'!F101-'Sheet1 (2)'!F$526)/'Sheet1 (2)'!F$527</f>
        <v>-1.1978791963165167</v>
      </c>
      <c r="G101" s="48">
        <f>('Sheet1 (2)'!G101-'Sheet1 (2)'!G$526)/'Sheet1 (2)'!G$527</f>
        <v>-0.30291454115720767</v>
      </c>
      <c r="H101" s="48">
        <f>('Sheet1 (2)'!H101-'Sheet1 (2)'!H$526)/'Sheet1 (2)'!H$527</f>
        <v>0.78645270878140783</v>
      </c>
      <c r="I101" s="48">
        <f>('Sheet1 (2)'!I101-'Sheet1 (2)'!I$526)/'Sheet1 (2)'!I$527</f>
        <v>0.64022826041210845</v>
      </c>
      <c r="J101" s="48">
        <f>('Sheet1 (2)'!J101-'Sheet1 (2)'!J$526)/'Sheet1 (2)'!J$527</f>
        <v>-0.83945425120312078</v>
      </c>
      <c r="K101" s="48">
        <f>('Sheet1 (2)'!K101-'Sheet1 (2)'!K$526)/'Sheet1 (2)'!K$527</f>
        <v>0.44482491828438325</v>
      </c>
    </row>
    <row r="102" spans="1:11" ht="12.75" x14ac:dyDescent="0.2">
      <c r="A102" s="52">
        <v>6</v>
      </c>
      <c r="B102" s="48">
        <f>('Sheet1 (2)'!B102-'Sheet1 (2)'!B$526)/'Sheet1 (2)'!B$527</f>
        <v>1.2478810076233939</v>
      </c>
      <c r="C102" s="48">
        <f>('Sheet1 (2)'!C102-'Sheet1 (2)'!C$526)/'Sheet1 (2)'!C$527</f>
        <v>-0.23383697937641573</v>
      </c>
      <c r="D102" s="48">
        <f>('Sheet1 (2)'!D102-'Sheet1 (2)'!D$526)/'Sheet1 (2)'!D$527</f>
        <v>3.3218162038498509</v>
      </c>
      <c r="E102" s="48">
        <f>('Sheet1 (2)'!E102-'Sheet1 (2)'!E$526)/'Sheet1 (2)'!E$527</f>
        <v>0.51800759945283636</v>
      </c>
      <c r="F102" s="48">
        <f>('Sheet1 (2)'!F102-'Sheet1 (2)'!F$526)/'Sheet1 (2)'!F$527</f>
        <v>1.2684811135846812</v>
      </c>
      <c r="G102" s="48">
        <f>('Sheet1 (2)'!G102-'Sheet1 (2)'!G$526)/'Sheet1 (2)'!G$527</f>
        <v>0.18792769907492832</v>
      </c>
      <c r="H102" s="48">
        <f>('Sheet1 (2)'!H102-'Sheet1 (2)'!H$526)/'Sheet1 (2)'!H$527</f>
        <v>0.62312452481353842</v>
      </c>
      <c r="I102" s="48">
        <f>('Sheet1 (2)'!I102-'Sheet1 (2)'!I$526)/'Sheet1 (2)'!I$527</f>
        <v>-0.2098785912695412</v>
      </c>
      <c r="J102" s="48">
        <f>('Sheet1 (2)'!J102-'Sheet1 (2)'!J$526)/'Sheet1 (2)'!J$527</f>
        <v>-0.52050821941247005</v>
      </c>
      <c r="K102" s="48">
        <f>('Sheet1 (2)'!K102-'Sheet1 (2)'!K$526)/'Sheet1 (2)'!K$527</f>
        <v>-0.74591014967003244</v>
      </c>
    </row>
    <row r="103" spans="1:11" ht="12.75" x14ac:dyDescent="0.2">
      <c r="A103" s="50">
        <v>6</v>
      </c>
      <c r="B103" s="48">
        <f>('Sheet1 (2)'!B103-'Sheet1 (2)'!B$526)/'Sheet1 (2)'!B$527</f>
        <v>1.2478810076233939</v>
      </c>
      <c r="C103" s="48">
        <f>('Sheet1 (2)'!C103-'Sheet1 (2)'!C$526)/'Sheet1 (2)'!C$527</f>
        <v>0.1928734819535968</v>
      </c>
      <c r="D103" s="48">
        <f>('Sheet1 (2)'!D103-'Sheet1 (2)'!D$526)/'Sheet1 (2)'!D$527</f>
        <v>1.4257032508898051</v>
      </c>
      <c r="E103" s="48">
        <f>('Sheet1 (2)'!E103-'Sheet1 (2)'!E$526)/'Sheet1 (2)'!E$527</f>
        <v>1.8690069178991688</v>
      </c>
      <c r="F103" s="48">
        <f>('Sheet1 (2)'!F103-'Sheet1 (2)'!F$526)/'Sheet1 (2)'!F$527</f>
        <v>3.5300958634082259E-2</v>
      </c>
      <c r="G103" s="48">
        <f>('Sheet1 (2)'!G103-'Sheet1 (2)'!G$526)/'Sheet1 (2)'!G$527</f>
        <v>0.3752423408818375</v>
      </c>
      <c r="H103" s="48">
        <f>('Sheet1 (2)'!H103-'Sheet1 (2)'!H$526)/'Sheet1 (2)'!H$527</f>
        <v>0.69617977633286199</v>
      </c>
      <c r="I103" s="48">
        <f>('Sheet1 (2)'!I103-'Sheet1 (2)'!I$526)/'Sheet1 (2)'!I$527</f>
        <v>0.16481745228813935</v>
      </c>
      <c r="J103" s="48">
        <f>('Sheet1 (2)'!J103-'Sheet1 (2)'!J$526)/'Sheet1 (2)'!J$527</f>
        <v>-0.41574157514054716</v>
      </c>
      <c r="K103" s="48">
        <f>('Sheet1 (2)'!K103-'Sheet1 (2)'!K$526)/'Sheet1 (2)'!K$527</f>
        <v>-0.69688585436197792</v>
      </c>
    </row>
    <row r="104" spans="1:11" ht="12.75" x14ac:dyDescent="0.2">
      <c r="A104" s="49">
        <v>6</v>
      </c>
      <c r="B104" s="48">
        <f>('Sheet1 (2)'!B104-'Sheet1 (2)'!B$526)/'Sheet1 (2)'!B$527</f>
        <v>1.2478810076233939</v>
      </c>
      <c r="C104" s="48">
        <f>('Sheet1 (2)'!C104-'Sheet1 (2)'!C$526)/'Sheet1 (2)'!C$527</f>
        <v>-0.23241746170804062</v>
      </c>
      <c r="D104" s="48">
        <f>('Sheet1 (2)'!D104-'Sheet1 (2)'!D$526)/'Sheet1 (2)'!D$527</f>
        <v>-0.4704097020702403</v>
      </c>
      <c r="E104" s="48">
        <f>('Sheet1 (2)'!E104-'Sheet1 (2)'!E$526)/'Sheet1 (2)'!E$527</f>
        <v>0.62599564021300247</v>
      </c>
      <c r="F104" s="48">
        <f>('Sheet1 (2)'!F104-'Sheet1 (2)'!F$526)/'Sheet1 (2)'!F$527</f>
        <v>3.5300958634082259E-2</v>
      </c>
      <c r="G104" s="48">
        <f>('Sheet1 (2)'!G104-'Sheet1 (2)'!G$526)/'Sheet1 (2)'!G$527</f>
        <v>0.82929982861785989</v>
      </c>
      <c r="H104" s="48">
        <f>('Sheet1 (2)'!H104-'Sheet1 (2)'!H$526)/'Sheet1 (2)'!H$527</f>
        <v>0.17084276666375756</v>
      </c>
      <c r="I104" s="48">
        <f>('Sheet1 (2)'!I104-'Sheet1 (2)'!I$526)/'Sheet1 (2)'!I$527</f>
        <v>-0.42474619454478746</v>
      </c>
      <c r="J104" s="48">
        <f>('Sheet1 (2)'!J104-'Sheet1 (2)'!J$526)/'Sheet1 (2)'!J$527</f>
        <v>0.5466625622645418</v>
      </c>
      <c r="K104" s="48">
        <f>('Sheet1 (2)'!K104-'Sheet1 (2)'!K$526)/'Sheet1 (2)'!K$527</f>
        <v>-0.48033116644106</v>
      </c>
    </row>
    <row r="105" spans="1:11" ht="12.75" x14ac:dyDescent="0.2">
      <c r="A105" s="50">
        <v>6</v>
      </c>
      <c r="B105" s="48">
        <f>('Sheet1 (2)'!B105-'Sheet1 (2)'!B$526)/'Sheet1 (2)'!B$527</f>
        <v>1.2478810076233939</v>
      </c>
      <c r="C105" s="48">
        <f>('Sheet1 (2)'!C105-'Sheet1 (2)'!C$526)/'Sheet1 (2)'!C$527</f>
        <v>-0.28532160369936244</v>
      </c>
      <c r="D105" s="48">
        <f>('Sheet1 (2)'!D105-'Sheet1 (2)'!D$526)/'Sheet1 (2)'!D$527</f>
        <v>-0.4704097020702403</v>
      </c>
      <c r="E105" s="48">
        <f>('Sheet1 (2)'!E105-'Sheet1 (2)'!E$526)/'Sheet1 (2)'!E$527</f>
        <v>-0.75487271078401397</v>
      </c>
      <c r="F105" s="48">
        <f>('Sheet1 (2)'!F105-'Sheet1 (2)'!F$526)/'Sheet1 (2)'!F$527</f>
        <v>-1.1978791963165167</v>
      </c>
      <c r="G105" s="48">
        <f>('Sheet1 (2)'!G105-'Sheet1 (2)'!G$526)/'Sheet1 (2)'!G$527</f>
        <v>0.38883433303109166</v>
      </c>
      <c r="H105" s="48">
        <f>('Sheet1 (2)'!H105-'Sheet1 (2)'!H$526)/'Sheet1 (2)'!H$527</f>
        <v>0.21306062558196021</v>
      </c>
      <c r="I105" s="48">
        <f>('Sheet1 (2)'!I105-'Sheet1 (2)'!I$526)/'Sheet1 (2)'!I$527</f>
        <v>-1.1233964707328405</v>
      </c>
      <c r="J105" s="48">
        <f>('Sheet1 (2)'!J105-'Sheet1 (2)'!J$526)/'Sheet1 (2)'!J$527</f>
        <v>-0.81802544411753941</v>
      </c>
      <c r="K105" s="48">
        <f>('Sheet1 (2)'!K105-'Sheet1 (2)'!K$526)/'Sheet1 (2)'!K$527</f>
        <v>-0.48398034330985507</v>
      </c>
    </row>
    <row r="106" spans="1:11" ht="12.75" x14ac:dyDescent="0.2">
      <c r="A106" s="51">
        <v>6</v>
      </c>
      <c r="B106" s="48">
        <f>('Sheet1 (2)'!B106-'Sheet1 (2)'!B$526)/'Sheet1 (2)'!B$527</f>
        <v>1.2478810076233939</v>
      </c>
      <c r="C106" s="48">
        <f>('Sheet1 (2)'!C106-'Sheet1 (2)'!C$526)/'Sheet1 (2)'!C$527</f>
        <v>0.13115403666405126</v>
      </c>
      <c r="D106" s="48">
        <f>('Sheet1 (2)'!D106-'Sheet1 (2)'!D$526)/'Sheet1 (2)'!D$527</f>
        <v>1.4257032508898051</v>
      </c>
      <c r="E106" s="48">
        <f>('Sheet1 (2)'!E106-'Sheet1 (2)'!E$526)/'Sheet1 (2)'!E$527</f>
        <v>-0.44928953161162932</v>
      </c>
      <c r="F106" s="48">
        <f>('Sheet1 (2)'!F106-'Sheet1 (2)'!F$526)/'Sheet1 (2)'!F$527</f>
        <v>-1.1978791963165167</v>
      </c>
      <c r="G106" s="48">
        <f>('Sheet1 (2)'!G106-'Sheet1 (2)'!G$526)/'Sheet1 (2)'!G$527</f>
        <v>0.25291441153854988</v>
      </c>
      <c r="H106" s="48">
        <f>('Sheet1 (2)'!H106-'Sheet1 (2)'!H$526)/'Sheet1 (2)'!H$527</f>
        <v>-0.35816536117214659</v>
      </c>
      <c r="I106" s="48">
        <f>('Sheet1 (2)'!I106-'Sheet1 (2)'!I$526)/'Sheet1 (2)'!I$527</f>
        <v>-2.4596604137578255E-2</v>
      </c>
      <c r="J106" s="48">
        <f>('Sheet1 (2)'!J106-'Sheet1 (2)'!J$526)/'Sheet1 (2)'!J$527</f>
        <v>-0.83945425120312078</v>
      </c>
      <c r="K106" s="48">
        <f>('Sheet1 (2)'!K106-'Sheet1 (2)'!K$526)/'Sheet1 (2)'!K$527</f>
        <v>-0.59529866799430997</v>
      </c>
    </row>
    <row r="107" spans="1:11" ht="12.75" x14ac:dyDescent="0.2">
      <c r="A107" s="48">
        <v>7</v>
      </c>
      <c r="B107" s="48">
        <f>('Sheet1 (2)'!B107-'Sheet1 (2)'!B$526)/'Sheet1 (2)'!B$527</f>
        <v>-1.2242915745870349</v>
      </c>
      <c r="C107" s="48">
        <f>('Sheet1 (2)'!C107-'Sheet1 (2)'!C$526)/'Sheet1 (2)'!C$527</f>
        <v>6.7571215019986905E-2</v>
      </c>
      <c r="D107" s="48">
        <f>('Sheet1 (2)'!D107-'Sheet1 (2)'!D$526)/'Sheet1 (2)'!D$527</f>
        <v>-0.4704097020702403</v>
      </c>
      <c r="E107" s="48">
        <f>('Sheet1 (2)'!E107-'Sheet1 (2)'!E$526)/'Sheet1 (2)'!E$527</f>
        <v>-0.30453960463523666</v>
      </c>
      <c r="F107" s="48">
        <f>('Sheet1 (2)'!F107-'Sheet1 (2)'!F$526)/'Sheet1 (2)'!F$527</f>
        <v>1.2684811135846812</v>
      </c>
      <c r="G107" s="48">
        <f>('Sheet1 (2)'!G107-'Sheet1 (2)'!G$526)/'Sheet1 (2)'!G$527</f>
        <v>-0.29613053449053339</v>
      </c>
      <c r="H107" s="48">
        <f>('Sheet1 (2)'!H107-'Sheet1 (2)'!H$526)/'Sheet1 (2)'!H$527</f>
        <v>0.15991635969888607</v>
      </c>
      <c r="I107" s="48">
        <f>('Sheet1 (2)'!I107-'Sheet1 (2)'!I$526)/'Sheet1 (2)'!I$527</f>
        <v>0.68381405467698542</v>
      </c>
      <c r="J107" s="48">
        <f>('Sheet1 (2)'!J107-'Sheet1 (2)'!J$526)/'Sheet1 (2)'!J$527</f>
        <v>0.57021300403394459</v>
      </c>
      <c r="K107" s="48">
        <f>('Sheet1 (2)'!K107-'Sheet1 (2)'!K$526)/'Sheet1 (2)'!K$527</f>
        <v>0.41052583417067978</v>
      </c>
    </row>
    <row r="108" spans="1:11" ht="12.75" x14ac:dyDescent="0.2">
      <c r="A108" s="49">
        <v>7</v>
      </c>
      <c r="B108" s="48">
        <f>('Sheet1 (2)'!B108-'Sheet1 (2)'!B$526)/'Sheet1 (2)'!B$527</f>
        <v>-1.2242915745870349</v>
      </c>
      <c r="C108" s="48">
        <f>('Sheet1 (2)'!C108-'Sheet1 (2)'!C$526)/'Sheet1 (2)'!C$527</f>
        <v>-0.75297640748394734</v>
      </c>
      <c r="D108" s="48">
        <f>('Sheet1 (2)'!D108-'Sheet1 (2)'!D$526)/'Sheet1 (2)'!D$527</f>
        <v>1.4257032508898051</v>
      </c>
      <c r="E108" s="48">
        <f>('Sheet1 (2)'!E108-'Sheet1 (2)'!E$526)/'Sheet1 (2)'!E$527</f>
        <v>0.45597191646295387</v>
      </c>
      <c r="F108" s="48">
        <f>('Sheet1 (2)'!F108-'Sheet1 (2)'!F$526)/'Sheet1 (2)'!F$527</f>
        <v>3.5300958634082259E-2</v>
      </c>
      <c r="G108" s="48">
        <f>('Sheet1 (2)'!G108-'Sheet1 (2)'!G$526)/'Sheet1 (2)'!G$527</f>
        <v>8.6162368559024108E-3</v>
      </c>
      <c r="H108" s="48">
        <f>('Sheet1 (2)'!H108-'Sheet1 (2)'!H$526)/'Sheet1 (2)'!H$527</f>
        <v>-0.65344885266753361</v>
      </c>
      <c r="I108" s="48">
        <f>('Sheet1 (2)'!I108-'Sheet1 (2)'!I$526)/'Sheet1 (2)'!I$527</f>
        <v>-1.1720852956531465</v>
      </c>
      <c r="J108" s="48">
        <f>('Sheet1 (2)'!J108-'Sheet1 (2)'!J$526)/'Sheet1 (2)'!J$527</f>
        <v>0.37024983260089239</v>
      </c>
      <c r="K108" s="48">
        <f>('Sheet1 (2)'!K108-'Sheet1 (2)'!K$526)/'Sheet1 (2)'!K$527</f>
        <v>-0.65477772893018815</v>
      </c>
    </row>
    <row r="109" spans="1:11" ht="12.75" x14ac:dyDescent="0.2">
      <c r="A109" s="50">
        <v>7</v>
      </c>
      <c r="B109" s="48">
        <f>('Sheet1 (2)'!B109-'Sheet1 (2)'!B$526)/'Sheet1 (2)'!B$527</f>
        <v>-1.2242915745870349</v>
      </c>
      <c r="C109" s="48">
        <f>('Sheet1 (2)'!C109-'Sheet1 (2)'!C$526)/'Sheet1 (2)'!C$527</f>
        <v>0.11153475637503092</v>
      </c>
      <c r="D109" s="48">
        <f>('Sheet1 (2)'!D109-'Sheet1 (2)'!D$526)/'Sheet1 (2)'!D$527</f>
        <v>1.4257032508898051</v>
      </c>
      <c r="E109" s="48">
        <f>('Sheet1 (2)'!E109-'Sheet1 (2)'!E$526)/'Sheet1 (2)'!E$527</f>
        <v>5.3246242222244815</v>
      </c>
      <c r="F109" s="48">
        <f>('Sheet1 (2)'!F109-'Sheet1 (2)'!F$526)/'Sheet1 (2)'!F$527</f>
        <v>3.5300958634082259E-2</v>
      </c>
      <c r="G109" s="48">
        <f>('Sheet1 (2)'!G109-'Sheet1 (2)'!G$526)/'Sheet1 (2)'!G$527</f>
        <v>-0.50144115274505707</v>
      </c>
      <c r="H109" s="48">
        <f>('Sheet1 (2)'!H109-'Sheet1 (2)'!H$526)/'Sheet1 (2)'!H$527</f>
        <v>-0.41416923489041158</v>
      </c>
      <c r="I109" s="48">
        <f>('Sheet1 (2)'!I109-'Sheet1 (2)'!I$526)/'Sheet1 (2)'!I$527</f>
        <v>0.25929830407649779</v>
      </c>
      <c r="J109" s="48">
        <f>('Sheet1 (2)'!J109-'Sheet1 (2)'!J$526)/'Sheet1 (2)'!J$527</f>
        <v>-0.33372371036635551</v>
      </c>
      <c r="K109" s="48">
        <f>('Sheet1 (2)'!K109-'Sheet1 (2)'!K$526)/'Sheet1 (2)'!K$527</f>
        <v>-0.7280949496773983</v>
      </c>
    </row>
    <row r="110" spans="1:11" ht="12.75" x14ac:dyDescent="0.2">
      <c r="A110" s="49">
        <v>7</v>
      </c>
      <c r="B110" s="48">
        <f>('Sheet1 (2)'!B110-'Sheet1 (2)'!B$526)/'Sheet1 (2)'!B$527</f>
        <v>-1.2242915745870349</v>
      </c>
      <c r="C110" s="48">
        <f>('Sheet1 (2)'!C110-'Sheet1 (2)'!C$526)/'Sheet1 (2)'!C$527</f>
        <v>-0.4166046783530708</v>
      </c>
      <c r="D110" s="48">
        <f>('Sheet1 (2)'!D110-'Sheet1 (2)'!D$526)/'Sheet1 (2)'!D$527</f>
        <v>-0.4704097020702403</v>
      </c>
      <c r="E110" s="48">
        <f>('Sheet1 (2)'!E110-'Sheet1 (2)'!E$526)/'Sheet1 (2)'!E$527</f>
        <v>-0.91800358086852019</v>
      </c>
      <c r="F110" s="48">
        <f>('Sheet1 (2)'!F110-'Sheet1 (2)'!F$526)/'Sheet1 (2)'!F$527</f>
        <v>-1.1978791963165167</v>
      </c>
      <c r="G110" s="48">
        <f>('Sheet1 (2)'!G110-'Sheet1 (2)'!G$526)/'Sheet1 (2)'!G$527</f>
        <v>-0.11085022045596322</v>
      </c>
      <c r="H110" s="48">
        <f>('Sheet1 (2)'!H110-'Sheet1 (2)'!H$526)/'Sheet1 (2)'!H$527</f>
        <v>-0.65468543983950822</v>
      </c>
      <c r="I110" s="48">
        <f>('Sheet1 (2)'!I110-'Sheet1 (2)'!I$526)/'Sheet1 (2)'!I$527</f>
        <v>0.13458810324435455</v>
      </c>
      <c r="J110" s="48">
        <f>('Sheet1 (2)'!J110-'Sheet1 (2)'!J$526)/'Sheet1 (2)'!J$527</f>
        <v>-0.22689935856175736</v>
      </c>
      <c r="K110" s="48">
        <f>('Sheet1 (2)'!K110-'Sheet1 (2)'!K$526)/'Sheet1 (2)'!K$527</f>
        <v>-1.5091313207363732</v>
      </c>
    </row>
    <row r="111" spans="1:11" ht="12.75" x14ac:dyDescent="0.2">
      <c r="A111" s="53">
        <v>7</v>
      </c>
      <c r="B111" s="48">
        <f>('Sheet1 (2)'!B111-'Sheet1 (2)'!B$526)/'Sheet1 (2)'!B$527</f>
        <v>-1.2242915745870349</v>
      </c>
      <c r="C111" s="48">
        <f>('Sheet1 (2)'!C111-'Sheet1 (2)'!C$526)/'Sheet1 (2)'!C$527</f>
        <v>-1.0688066367879623</v>
      </c>
      <c r="D111" s="48">
        <f>('Sheet1 (2)'!D111-'Sheet1 (2)'!D$526)/'Sheet1 (2)'!D$527</f>
        <v>-0.4704097020702403</v>
      </c>
      <c r="E111" s="48">
        <f>('Sheet1 (2)'!E111-'Sheet1 (2)'!E$526)/'Sheet1 (2)'!E$527</f>
        <v>-0.73189653189887227</v>
      </c>
      <c r="F111" s="48">
        <f>('Sheet1 (2)'!F111-'Sheet1 (2)'!F$526)/'Sheet1 (2)'!F$527</f>
        <v>-1.1978791963165167</v>
      </c>
      <c r="G111" s="48">
        <f>('Sheet1 (2)'!G111-'Sheet1 (2)'!G$526)/'Sheet1 (2)'!G$527</f>
        <v>-0.50144115274505707</v>
      </c>
      <c r="H111" s="48">
        <f>('Sheet1 (2)'!H111-'Sheet1 (2)'!H$526)/'Sheet1 (2)'!H$527</f>
        <v>-1.3836535777186485</v>
      </c>
      <c r="I111" s="48">
        <f>('Sheet1 (2)'!I111-'Sheet1 (2)'!I$526)/'Sheet1 (2)'!I$527</f>
        <v>0.67128736039697101</v>
      </c>
      <c r="J111" s="48">
        <f>('Sheet1 (2)'!J111-'Sheet1 (2)'!J$526)/'Sheet1 (2)'!J$527</f>
        <v>-9.1911255304177319E-2</v>
      </c>
      <c r="K111" s="48">
        <f>('Sheet1 (2)'!K111-'Sheet1 (2)'!K$526)/'Sheet1 (2)'!K$527</f>
        <v>-1.7981166404470108</v>
      </c>
    </row>
    <row r="112" spans="1:11" ht="12.75" x14ac:dyDescent="0.2">
      <c r="A112" s="52">
        <v>7</v>
      </c>
      <c r="B112" s="48">
        <f>('Sheet1 (2)'!B112-'Sheet1 (2)'!B$526)/'Sheet1 (2)'!B$527</f>
        <v>1.1794716518179513E-2</v>
      </c>
      <c r="C112" s="48">
        <f>('Sheet1 (2)'!C112-'Sheet1 (2)'!C$526)/'Sheet1 (2)'!C$527</f>
        <v>-0.26095727819441028</v>
      </c>
      <c r="D112" s="48">
        <f>('Sheet1 (2)'!D112-'Sheet1 (2)'!D$526)/'Sheet1 (2)'!D$527</f>
        <v>-0.4704097020702403</v>
      </c>
      <c r="E112" s="48">
        <f>('Sheet1 (2)'!E112-'Sheet1 (2)'!E$526)/'Sheet1 (2)'!E$527</f>
        <v>0.60991231499340326</v>
      </c>
      <c r="F112" s="48">
        <f>('Sheet1 (2)'!F112-'Sheet1 (2)'!F$526)/'Sheet1 (2)'!F$527</f>
        <v>1.2684811135846812</v>
      </c>
      <c r="G112" s="48">
        <f>('Sheet1 (2)'!G112-'Sheet1 (2)'!G$526)/'Sheet1 (2)'!G$527</f>
        <v>-0.50144115274505707</v>
      </c>
      <c r="H112" s="48">
        <f>('Sheet1 (2)'!H112-'Sheet1 (2)'!H$526)/'Sheet1 (2)'!H$527</f>
        <v>-0.21095148769555713</v>
      </c>
      <c r="I112" s="48">
        <f>('Sheet1 (2)'!I112-'Sheet1 (2)'!I$526)/'Sheet1 (2)'!I$527</f>
        <v>0.60337582700491788</v>
      </c>
      <c r="J112" s="48">
        <f>('Sheet1 (2)'!J112-'Sheet1 (2)'!J$526)/'Sheet1 (2)'!J$527</f>
        <v>-0.83945425120312078</v>
      </c>
      <c r="K112" s="48">
        <f>('Sheet1 (2)'!K112-'Sheet1 (2)'!K$526)/'Sheet1 (2)'!K$527</f>
        <v>0.16911178412541056</v>
      </c>
    </row>
    <row r="113" spans="1:11" ht="12.75" x14ac:dyDescent="0.2">
      <c r="A113" s="50">
        <v>7</v>
      </c>
      <c r="B113" s="48">
        <f>('Sheet1 (2)'!B113-'Sheet1 (2)'!B$526)/'Sheet1 (2)'!B$527</f>
        <v>1.1794716518179513E-2</v>
      </c>
      <c r="C113" s="48">
        <f>('Sheet1 (2)'!C113-'Sheet1 (2)'!C$526)/'Sheet1 (2)'!C$527</f>
        <v>3.1889056732623726E-3</v>
      </c>
      <c r="D113" s="48">
        <f>('Sheet1 (2)'!D113-'Sheet1 (2)'!D$526)/'Sheet1 (2)'!D$527</f>
        <v>-0.4704097020702403</v>
      </c>
      <c r="E113" s="48">
        <f>('Sheet1 (2)'!E113-'Sheet1 (2)'!E$526)/'Sheet1 (2)'!E$527</f>
        <v>3.3210224976346521E-2</v>
      </c>
      <c r="F113" s="48">
        <f>('Sheet1 (2)'!F113-'Sheet1 (2)'!F$526)/'Sheet1 (2)'!F$527</f>
        <v>3.5300958634082259E-2</v>
      </c>
      <c r="G113" s="48">
        <f>('Sheet1 (2)'!G113-'Sheet1 (2)'!G$526)/'Sheet1 (2)'!G$527</f>
        <v>-0.50144115274505707</v>
      </c>
      <c r="H113" s="48">
        <f>('Sheet1 (2)'!H113-'Sheet1 (2)'!H$526)/'Sheet1 (2)'!H$527</f>
        <v>-0.35842917700317944</v>
      </c>
      <c r="I113" s="48">
        <f>('Sheet1 (2)'!I113-'Sheet1 (2)'!I$526)/'Sheet1 (2)'!I$527</f>
        <v>0.66010820388252101</v>
      </c>
      <c r="J113" s="48">
        <f>('Sheet1 (2)'!J113-'Sheet1 (2)'!J$526)/'Sheet1 (2)'!J$527</f>
        <v>0.15142154877269112</v>
      </c>
      <c r="K113" s="48">
        <f>('Sheet1 (2)'!K113-'Sheet1 (2)'!K$526)/'Sheet1 (2)'!K$527</f>
        <v>-0.56508118853342038</v>
      </c>
    </row>
    <row r="114" spans="1:11" ht="12.75" x14ac:dyDescent="0.2">
      <c r="A114" s="49">
        <v>7</v>
      </c>
      <c r="B114" s="48">
        <f>('Sheet1 (2)'!B114-'Sheet1 (2)'!B$526)/'Sheet1 (2)'!B$527</f>
        <v>1.1794716518179513E-2</v>
      </c>
      <c r="C114" s="48">
        <f>('Sheet1 (2)'!C114-'Sheet1 (2)'!C$526)/'Sheet1 (2)'!C$527</f>
        <v>0.29552428337089692</v>
      </c>
      <c r="D114" s="48">
        <f>('Sheet1 (2)'!D114-'Sheet1 (2)'!D$526)/'Sheet1 (2)'!D$527</f>
        <v>-0.4704097020702403</v>
      </c>
      <c r="E114" s="48">
        <f>('Sheet1 (2)'!E114-'Sheet1 (2)'!E$526)/'Sheet1 (2)'!E$527</f>
        <v>-0.48834903571637028</v>
      </c>
      <c r="F114" s="48">
        <f>('Sheet1 (2)'!F114-'Sheet1 (2)'!F$526)/'Sheet1 (2)'!F$527</f>
        <v>3.5300958634082259E-2</v>
      </c>
      <c r="G114" s="48">
        <f>('Sheet1 (2)'!G114-'Sheet1 (2)'!G$526)/'Sheet1 (2)'!G$527</f>
        <v>-0.50144115274505707</v>
      </c>
      <c r="H114" s="48">
        <f>('Sheet1 (2)'!H114-'Sheet1 (2)'!H$526)/'Sheet1 (2)'!H$527</f>
        <v>-0.26261478363901325</v>
      </c>
      <c r="I114" s="48">
        <f>('Sheet1 (2)'!I114-'Sheet1 (2)'!I$526)/'Sheet1 (2)'!I$527</f>
        <v>-0.25608637692957698</v>
      </c>
      <c r="J114" s="48">
        <f>('Sheet1 (2)'!J114-'Sheet1 (2)'!J$526)/'Sheet1 (2)'!J$527</f>
        <v>0.99725818804429034</v>
      </c>
      <c r="K114" s="48">
        <f>('Sheet1 (2)'!K114-'Sheet1 (2)'!K$526)/'Sheet1 (2)'!K$527</f>
        <v>-1.1921810322960704</v>
      </c>
    </row>
    <row r="115" spans="1:11" ht="12.75" x14ac:dyDescent="0.2">
      <c r="A115" s="50">
        <v>7</v>
      </c>
      <c r="B115" s="48">
        <f>('Sheet1 (2)'!B115-'Sheet1 (2)'!B$526)/'Sheet1 (2)'!B$527</f>
        <v>1.1794716518179513E-2</v>
      </c>
      <c r="C115" s="48">
        <f>('Sheet1 (2)'!C115-'Sheet1 (2)'!C$526)/'Sheet1 (2)'!C$527</f>
        <v>0.34048050235299027</v>
      </c>
      <c r="D115" s="48">
        <f>('Sheet1 (2)'!D115-'Sheet1 (2)'!D$526)/'Sheet1 (2)'!D$527</f>
        <v>-0.4704097020702403</v>
      </c>
      <c r="E115" s="48">
        <f>('Sheet1 (2)'!E115-'Sheet1 (2)'!E$526)/'Sheet1 (2)'!E$527</f>
        <v>-1.0397773289597712</v>
      </c>
      <c r="F115" s="48">
        <f>('Sheet1 (2)'!F115-'Sheet1 (2)'!F$526)/'Sheet1 (2)'!F$527</f>
        <v>-1.1978791963165167</v>
      </c>
      <c r="G115" s="48">
        <f>('Sheet1 (2)'!G115-'Sheet1 (2)'!G$526)/'Sheet1 (2)'!G$527</f>
        <v>-0.50144115274505707</v>
      </c>
      <c r="H115" s="48">
        <f>('Sheet1 (2)'!H115-'Sheet1 (2)'!H$526)/'Sheet1 (2)'!H$527</f>
        <v>-0.25224774129483496</v>
      </c>
      <c r="I115" s="48">
        <f>('Sheet1 (2)'!I115-'Sheet1 (2)'!I$526)/'Sheet1 (2)'!I$527</f>
        <v>0.64884053650530882</v>
      </c>
      <c r="J115" s="48">
        <f>('Sheet1 (2)'!J115-'Sheet1 (2)'!J$526)/'Sheet1 (2)'!J$527</f>
        <v>0.30209963606490992</v>
      </c>
      <c r="K115" s="48">
        <f>('Sheet1 (2)'!K115-'Sheet1 (2)'!K$526)/'Sheet1 (2)'!K$527</f>
        <v>-0.81727505083424379</v>
      </c>
    </row>
    <row r="116" spans="1:11" ht="12.75" x14ac:dyDescent="0.2">
      <c r="A116" s="51">
        <v>7</v>
      </c>
      <c r="B116" s="48">
        <f>('Sheet1 (2)'!B116-'Sheet1 (2)'!B$526)/'Sheet1 (2)'!B$527</f>
        <v>1.1794716518179513E-2</v>
      </c>
      <c r="C116" s="48">
        <f>('Sheet1 (2)'!C116-'Sheet1 (2)'!C$526)/'Sheet1 (2)'!C$527</f>
        <v>0.32819711066208329</v>
      </c>
      <c r="D116" s="48">
        <f>('Sheet1 (2)'!D116-'Sheet1 (2)'!D$526)/'Sheet1 (2)'!D$527</f>
        <v>-0.4704097020702403</v>
      </c>
      <c r="E116" s="48">
        <f>('Sheet1 (2)'!E116-'Sheet1 (2)'!E$526)/'Sheet1 (2)'!E$527</f>
        <v>-0.77555127178064154</v>
      </c>
      <c r="F116" s="48">
        <f>('Sheet1 (2)'!F116-'Sheet1 (2)'!F$526)/'Sheet1 (2)'!F$527</f>
        <v>-1.1978791963165167</v>
      </c>
      <c r="G116" s="48">
        <f>('Sheet1 (2)'!G116-'Sheet1 (2)'!G$526)/'Sheet1 (2)'!G$527</f>
        <v>-0.50144115274505707</v>
      </c>
      <c r="H116" s="48">
        <f>('Sheet1 (2)'!H116-'Sheet1 (2)'!H$526)/'Sheet1 (2)'!H$527</f>
        <v>-0.30002469875145388</v>
      </c>
      <c r="I116" s="48">
        <f>('Sheet1 (2)'!I116-'Sheet1 (2)'!I$526)/'Sheet1 (2)'!I$527</f>
        <v>-6.7496022405827999E-2</v>
      </c>
      <c r="J116" s="48">
        <f>('Sheet1 (2)'!J116-'Sheet1 (2)'!J$526)/'Sheet1 (2)'!J$527</f>
        <v>2.2135353511073115</v>
      </c>
      <c r="K116" s="48">
        <f>('Sheet1 (2)'!K116-'Sheet1 (2)'!K$526)/'Sheet1 (2)'!K$527</f>
        <v>-1.6078198339153866</v>
      </c>
    </row>
    <row r="117" spans="1:11" ht="12.75" x14ac:dyDescent="0.2">
      <c r="A117" s="48">
        <v>7</v>
      </c>
      <c r="B117" s="48">
        <f>('Sheet1 (2)'!B117-'Sheet1 (2)'!B$526)/'Sheet1 (2)'!B$527</f>
        <v>1.2478810076233939</v>
      </c>
      <c r="C117" s="48">
        <f>('Sheet1 (2)'!C117-'Sheet1 (2)'!C$526)/'Sheet1 (2)'!C$527</f>
        <v>-0.23161911272696911</v>
      </c>
      <c r="D117" s="48">
        <f>('Sheet1 (2)'!D117-'Sheet1 (2)'!D$526)/'Sheet1 (2)'!D$527</f>
        <v>3.3218162038498509</v>
      </c>
      <c r="E117" s="48">
        <f>('Sheet1 (2)'!E117-'Sheet1 (2)'!E$526)/'Sheet1 (2)'!E$527</f>
        <v>1.6507332184903223</v>
      </c>
      <c r="F117" s="48">
        <f>('Sheet1 (2)'!F117-'Sheet1 (2)'!F$526)/'Sheet1 (2)'!F$527</f>
        <v>1.2684811135846812</v>
      </c>
      <c r="G117" s="48">
        <f>('Sheet1 (2)'!G117-'Sheet1 (2)'!G$526)/'Sheet1 (2)'!G$527</f>
        <v>-0.50144115274505707</v>
      </c>
      <c r="H117" s="48">
        <f>('Sheet1 (2)'!H117-'Sheet1 (2)'!H$526)/'Sheet1 (2)'!H$527</f>
        <v>-0.15108531405277364</v>
      </c>
      <c r="I117" s="48">
        <f>('Sheet1 (2)'!I117-'Sheet1 (2)'!I$526)/'Sheet1 (2)'!I$527</f>
        <v>0.66377134382896241</v>
      </c>
      <c r="J117" s="48">
        <f>('Sheet1 (2)'!J117-'Sheet1 (2)'!J$526)/'Sheet1 (2)'!J$527</f>
        <v>-0.83945425120312078</v>
      </c>
      <c r="K117" s="48">
        <f>('Sheet1 (2)'!K117-'Sheet1 (2)'!K$526)/'Sheet1 (2)'!K$527</f>
        <v>-1.3189162789332818</v>
      </c>
    </row>
    <row r="118" spans="1:11" ht="12.75" x14ac:dyDescent="0.2">
      <c r="A118" s="49">
        <v>7</v>
      </c>
      <c r="B118" s="48">
        <f>('Sheet1 (2)'!B118-'Sheet1 (2)'!B$526)/'Sheet1 (2)'!B$527</f>
        <v>1.2478810076233939</v>
      </c>
      <c r="C118" s="48">
        <f>('Sheet1 (2)'!C118-'Sheet1 (2)'!C$526)/'Sheet1 (2)'!C$527</f>
        <v>-1.1891128345009525</v>
      </c>
      <c r="D118" s="48">
        <f>('Sheet1 (2)'!D118-'Sheet1 (2)'!D$526)/'Sheet1 (2)'!D$527</f>
        <v>-0.4704097020702403</v>
      </c>
      <c r="E118" s="48">
        <f>('Sheet1 (2)'!E118-'Sheet1 (2)'!E$526)/'Sheet1 (2)'!E$527</f>
        <v>-0.17817062076695714</v>
      </c>
      <c r="F118" s="48">
        <f>('Sheet1 (2)'!F118-'Sheet1 (2)'!F$526)/'Sheet1 (2)'!F$527</f>
        <v>3.5300958634082259E-2</v>
      </c>
      <c r="G118" s="48">
        <f>('Sheet1 (2)'!G118-'Sheet1 (2)'!G$526)/'Sheet1 (2)'!G$527</f>
        <v>0.21178075108685962</v>
      </c>
      <c r="H118" s="48">
        <f>('Sheet1 (2)'!H118-'Sheet1 (2)'!H$526)/'Sheet1 (2)'!H$527</f>
        <v>-0.92487973691600045</v>
      </c>
      <c r="I118" s="48">
        <f>('Sheet1 (2)'!I118-'Sheet1 (2)'!I$526)/'Sheet1 (2)'!I$527</f>
        <v>-1.0565613372930134</v>
      </c>
      <c r="J118" s="48">
        <f>('Sheet1 (2)'!J118-'Sheet1 (2)'!J$526)/'Sheet1 (2)'!J$527</f>
        <v>0.56890028355994438</v>
      </c>
      <c r="K118" s="48">
        <f>('Sheet1 (2)'!K118-'Sheet1 (2)'!K$526)/'Sheet1 (2)'!K$527</f>
        <v>-1.1235485450709024</v>
      </c>
    </row>
    <row r="119" spans="1:11" ht="12.75" x14ac:dyDescent="0.2">
      <c r="A119" s="50">
        <v>7</v>
      </c>
      <c r="B119" s="48">
        <f>('Sheet1 (2)'!B119-'Sheet1 (2)'!B$526)/'Sheet1 (2)'!B$527</f>
        <v>1.2478810076233939</v>
      </c>
      <c r="C119" s="48">
        <f>('Sheet1 (2)'!C119-'Sheet1 (2)'!C$526)/'Sheet1 (2)'!C$527</f>
        <v>-0.22757224218116334</v>
      </c>
      <c r="D119" s="48">
        <f>('Sheet1 (2)'!D119-'Sheet1 (2)'!D$526)/'Sheet1 (2)'!D$527</f>
        <v>-0.4704097020702403</v>
      </c>
      <c r="E119" s="48">
        <f>('Sheet1 (2)'!E119-'Sheet1 (2)'!E$526)/'Sheet1 (2)'!E$527</f>
        <v>-0.40103955595283181</v>
      </c>
      <c r="F119" s="48">
        <f>('Sheet1 (2)'!F119-'Sheet1 (2)'!F$526)/'Sheet1 (2)'!F$527</f>
        <v>3.5300958634082259E-2</v>
      </c>
      <c r="G119" s="48">
        <f>('Sheet1 (2)'!G119-'Sheet1 (2)'!G$526)/'Sheet1 (2)'!G$527</f>
        <v>0.31050153617091625</v>
      </c>
      <c r="H119" s="48">
        <f>('Sheet1 (2)'!H119-'Sheet1 (2)'!H$526)/'Sheet1 (2)'!H$527</f>
        <v>4.9550954600137136E-2</v>
      </c>
      <c r="I119" s="48">
        <f>('Sheet1 (2)'!I119-'Sheet1 (2)'!I$526)/'Sheet1 (2)'!I$527</f>
        <v>0.23368817354846835</v>
      </c>
      <c r="J119" s="48">
        <f>('Sheet1 (2)'!J119-'Sheet1 (2)'!J$526)/'Sheet1 (2)'!J$527</f>
        <v>1.3701606590419857</v>
      </c>
      <c r="K119" s="48">
        <f>('Sheet1 (2)'!K119-'Sheet1 (2)'!K$526)/'Sheet1 (2)'!K$527</f>
        <v>-1.0527766300397261</v>
      </c>
    </row>
    <row r="120" spans="1:11" ht="12.75" x14ac:dyDescent="0.2">
      <c r="A120" s="49">
        <v>7</v>
      </c>
      <c r="B120" s="48">
        <f>('Sheet1 (2)'!B120-'Sheet1 (2)'!B$526)/'Sheet1 (2)'!B$527</f>
        <v>1.2478810076233939</v>
      </c>
      <c r="C120" s="48">
        <f>('Sheet1 (2)'!C120-'Sheet1 (2)'!C$526)/'Sheet1 (2)'!C$527</f>
        <v>-0.21845329388461546</v>
      </c>
      <c r="D120" s="48">
        <f>('Sheet1 (2)'!D120-'Sheet1 (2)'!D$526)/'Sheet1 (2)'!D$527</f>
        <v>1.4257032508898051</v>
      </c>
      <c r="E120" s="48">
        <f>('Sheet1 (2)'!E120-'Sheet1 (2)'!E$526)/'Sheet1 (2)'!E$527</f>
        <v>9.2948290077714907E-2</v>
      </c>
      <c r="F120" s="48">
        <f>('Sheet1 (2)'!F120-'Sheet1 (2)'!F$526)/'Sheet1 (2)'!F$527</f>
        <v>-1.1978791963165167</v>
      </c>
      <c r="G120" s="48">
        <f>('Sheet1 (2)'!G120-'Sheet1 (2)'!G$526)/'Sheet1 (2)'!G$527</f>
        <v>9.9467973853548705E-2</v>
      </c>
      <c r="H120" s="48">
        <f>('Sheet1 (2)'!H120-'Sheet1 (2)'!H$526)/'Sheet1 (2)'!H$527</f>
        <v>-0.28030867352413963</v>
      </c>
      <c r="I120" s="48">
        <f>('Sheet1 (2)'!I120-'Sheet1 (2)'!I$526)/'Sheet1 (2)'!I$527</f>
        <v>4.5231017380252113E-2</v>
      </c>
      <c r="J120" s="48">
        <f>('Sheet1 (2)'!J120-'Sheet1 (2)'!J$526)/'Sheet1 (2)'!J$527</f>
        <v>0.67530033714832538</v>
      </c>
      <c r="K120" s="48">
        <f>('Sheet1 (2)'!K120-'Sheet1 (2)'!K$526)/'Sheet1 (2)'!K$527</f>
        <v>-1.8698818455137134</v>
      </c>
    </row>
    <row r="121" spans="1:11" ht="12.75" x14ac:dyDescent="0.2">
      <c r="A121" s="53">
        <v>7</v>
      </c>
      <c r="B121" s="48">
        <f>('Sheet1 (2)'!B121-'Sheet1 (2)'!B$526)/'Sheet1 (2)'!B$527</f>
        <v>1.2478810076233939</v>
      </c>
      <c r="C121" s="48">
        <f>('Sheet1 (2)'!C121-'Sheet1 (2)'!C$526)/'Sheet1 (2)'!C$527</f>
        <v>-1.0142589724669639</v>
      </c>
      <c r="D121" s="48">
        <f>('Sheet1 (2)'!D121-'Sheet1 (2)'!D$526)/'Sheet1 (2)'!D$527</f>
        <v>-0.4704097020702403</v>
      </c>
      <c r="E121" s="48">
        <f>('Sheet1 (2)'!E121-'Sheet1 (2)'!E$526)/'Sheet1 (2)'!E$527</f>
        <v>-0.78703936122321239</v>
      </c>
      <c r="F121" s="48">
        <f>('Sheet1 (2)'!F121-'Sheet1 (2)'!F$526)/'Sheet1 (2)'!F$527</f>
        <v>-1.1978791963165167</v>
      </c>
      <c r="G121" s="48">
        <f>('Sheet1 (2)'!G121-'Sheet1 (2)'!G$526)/'Sheet1 (2)'!G$527</f>
        <v>0.13380563823061206</v>
      </c>
      <c r="H121" s="48">
        <f>('Sheet1 (2)'!H121-'Sheet1 (2)'!H$526)/'Sheet1 (2)'!H$527</f>
        <v>-1.1187147761230491</v>
      </c>
      <c r="I121" s="48">
        <f>('Sheet1 (2)'!I121-'Sheet1 (2)'!I$526)/'Sheet1 (2)'!I$527</f>
        <v>-0.91876770021285536</v>
      </c>
      <c r="J121" s="48">
        <f>('Sheet1 (2)'!J121-'Sheet1 (2)'!J$526)/'Sheet1 (2)'!J$527</f>
        <v>0.72633406880791296</v>
      </c>
      <c r="K121" s="48">
        <f>('Sheet1 (2)'!K121-'Sheet1 (2)'!K$526)/'Sheet1 (2)'!K$527</f>
        <v>-1.4071328502133715</v>
      </c>
    </row>
    <row r="122" spans="1:11" ht="12.75" x14ac:dyDescent="0.2">
      <c r="A122" s="52">
        <v>8</v>
      </c>
      <c r="B122" s="48">
        <f>('Sheet1 (2)'!B122-'Sheet1 (2)'!B$526)/'Sheet1 (2)'!B$527</f>
        <v>-1.2242915745870349</v>
      </c>
      <c r="C122" s="48">
        <f>('Sheet1 (2)'!C122-'Sheet1 (2)'!C$526)/'Sheet1 (2)'!C$527</f>
        <v>-0.29139019338953481</v>
      </c>
      <c r="D122" s="48">
        <f>('Sheet1 (2)'!D122-'Sheet1 (2)'!D$526)/'Sheet1 (2)'!D$527</f>
        <v>-0.4704097020702403</v>
      </c>
      <c r="E122" s="48">
        <f>('Sheet1 (2)'!E122-'Sheet1 (2)'!E$526)/'Sheet1 (2)'!E$527</f>
        <v>-4.0313547456106998E-2</v>
      </c>
      <c r="F122" s="48">
        <f>('Sheet1 (2)'!F122-'Sheet1 (2)'!F$526)/'Sheet1 (2)'!F$527</f>
        <v>1.2684811135846812</v>
      </c>
      <c r="G122" s="48">
        <f>('Sheet1 (2)'!G122-'Sheet1 (2)'!G$526)/'Sheet1 (2)'!G$527</f>
        <v>-0.50144115274505707</v>
      </c>
      <c r="H122" s="48">
        <f>('Sheet1 (2)'!H122-'Sheet1 (2)'!H$526)/'Sheet1 (2)'!H$527</f>
        <v>-0.24762234529569033</v>
      </c>
      <c r="I122" s="48">
        <f>('Sheet1 (2)'!I122-'Sheet1 (2)'!I$526)/'Sheet1 (2)'!I$527</f>
        <v>0.67830016787851755</v>
      </c>
      <c r="J122" s="48">
        <f>('Sheet1 (2)'!J122-'Sheet1 (2)'!J$526)/'Sheet1 (2)'!J$527</f>
        <v>1.6153773679193226</v>
      </c>
      <c r="K122" s="48">
        <f>('Sheet1 (2)'!K122-'Sheet1 (2)'!K$526)/'Sheet1 (2)'!K$527</f>
        <v>0.2715296975407917</v>
      </c>
    </row>
    <row r="123" spans="1:11" ht="12.75" x14ac:dyDescent="0.2">
      <c r="A123" s="50">
        <v>8</v>
      </c>
      <c r="B123" s="48">
        <f>('Sheet1 (2)'!B123-'Sheet1 (2)'!B$526)/'Sheet1 (2)'!B$527</f>
        <v>-1.2242915745870349</v>
      </c>
      <c r="C123" s="48">
        <f>('Sheet1 (2)'!C123-'Sheet1 (2)'!C$526)/'Sheet1 (2)'!C$527</f>
        <v>-0.63714283983335673</v>
      </c>
      <c r="D123" s="48">
        <f>('Sheet1 (2)'!D123-'Sheet1 (2)'!D$526)/'Sheet1 (2)'!D$527</f>
        <v>1.4257032508898051</v>
      </c>
      <c r="E123" s="48">
        <f>('Sheet1 (2)'!E123-'Sheet1 (2)'!E$526)/'Sheet1 (2)'!E$527</f>
        <v>2.9925420653825978</v>
      </c>
      <c r="F123" s="48">
        <f>('Sheet1 (2)'!F123-'Sheet1 (2)'!F$526)/'Sheet1 (2)'!F$527</f>
        <v>3.5300958634082259E-2</v>
      </c>
      <c r="G123" s="48">
        <f>('Sheet1 (2)'!G123-'Sheet1 (2)'!G$526)/'Sheet1 (2)'!G$527</f>
        <v>0.19802367401271559</v>
      </c>
      <c r="H123" s="48">
        <f>('Sheet1 (2)'!H123-'Sheet1 (2)'!H$526)/'Sheet1 (2)'!H$527</f>
        <v>-0.75231637511917171</v>
      </c>
      <c r="I123" s="48">
        <f>('Sheet1 (2)'!I123-'Sheet1 (2)'!I$526)/'Sheet1 (2)'!I$527</f>
        <v>-1.0251803621351312</v>
      </c>
      <c r="J123" s="48">
        <f>('Sheet1 (2)'!J123-'Sheet1 (2)'!J$526)/'Sheet1 (2)'!J$527</f>
        <v>-5.0071957588360194E-2</v>
      </c>
      <c r="K123" s="48">
        <f>('Sheet1 (2)'!K123-'Sheet1 (2)'!K$526)/'Sheet1 (2)'!K$527</f>
        <v>-4.8667851363082514E-2</v>
      </c>
    </row>
    <row r="124" spans="1:11" ht="12.75" x14ac:dyDescent="0.2">
      <c r="A124" s="49">
        <v>8</v>
      </c>
      <c r="B124" s="48">
        <f>('Sheet1 (2)'!B124-'Sheet1 (2)'!B$526)/'Sheet1 (2)'!B$527</f>
        <v>-1.2242915745870349</v>
      </c>
      <c r="C124" s="48">
        <f>('Sheet1 (2)'!C124-'Sheet1 (2)'!C$526)/'Sheet1 (2)'!C$527</f>
        <v>-0.17297269490445036</v>
      </c>
      <c r="D124" s="48">
        <f>('Sheet1 (2)'!D124-'Sheet1 (2)'!D$526)/'Sheet1 (2)'!D$527</f>
        <v>-0.4704097020702403</v>
      </c>
      <c r="E124" s="48">
        <f>('Sheet1 (2)'!E124-'Sheet1 (2)'!E$526)/'Sheet1 (2)'!E$527</f>
        <v>-0.66296799524344718</v>
      </c>
      <c r="F124" s="48">
        <f>('Sheet1 (2)'!F124-'Sheet1 (2)'!F$526)/'Sheet1 (2)'!F$527</f>
        <v>3.5300958634082259E-2</v>
      </c>
      <c r="G124" s="48">
        <f>('Sheet1 (2)'!G124-'Sheet1 (2)'!G$526)/'Sheet1 (2)'!G$527</f>
        <v>-0.35558862160498333</v>
      </c>
      <c r="H124" s="48">
        <f>('Sheet1 (2)'!H124-'Sheet1 (2)'!H$526)/'Sheet1 (2)'!H$527</f>
        <v>-0.72181785496421724</v>
      </c>
      <c r="I124" s="48">
        <f>('Sheet1 (2)'!I124-'Sheet1 (2)'!I$526)/'Sheet1 (2)'!I$527</f>
        <v>-4.304470427677249E-2</v>
      </c>
      <c r="J124" s="48">
        <f>('Sheet1 (2)'!J124-'Sheet1 (2)'!J$526)/'Sheet1 (2)'!J$527</f>
        <v>-0.51880041835577184</v>
      </c>
      <c r="K124" s="48">
        <f>('Sheet1 (2)'!K124-'Sheet1 (2)'!K$526)/'Sheet1 (2)'!K$527</f>
        <v>-1.6072378134759484</v>
      </c>
    </row>
    <row r="125" spans="1:11" ht="12.75" x14ac:dyDescent="0.2">
      <c r="A125" s="50">
        <v>8</v>
      </c>
      <c r="B125" s="48">
        <f>('Sheet1 (2)'!B125-'Sheet1 (2)'!B$526)/'Sheet1 (2)'!B$527</f>
        <v>-1.2242915745870349</v>
      </c>
      <c r="C125" s="48">
        <f>('Sheet1 (2)'!C125-'Sheet1 (2)'!C$526)/'Sheet1 (2)'!C$527</f>
        <v>-1.1874334231344095</v>
      </c>
      <c r="D125" s="48">
        <f>('Sheet1 (2)'!D125-'Sheet1 (2)'!D$526)/'Sheet1 (2)'!D$527</f>
        <v>-0.4704097020702403</v>
      </c>
      <c r="E125" s="48">
        <f>('Sheet1 (2)'!E125-'Sheet1 (2)'!E$526)/'Sheet1 (2)'!E$527</f>
        <v>-0.8031226864428116</v>
      </c>
      <c r="F125" s="48">
        <f>('Sheet1 (2)'!F125-'Sheet1 (2)'!F$526)/'Sheet1 (2)'!F$527</f>
        <v>-1.1978791963165167</v>
      </c>
      <c r="G125" s="48">
        <f>('Sheet1 (2)'!G125-'Sheet1 (2)'!G$526)/'Sheet1 (2)'!G$527</f>
        <v>0.73543013283707315</v>
      </c>
      <c r="H125" s="48">
        <f>('Sheet1 (2)'!H125-'Sheet1 (2)'!H$526)/'Sheet1 (2)'!H$527</f>
        <v>-1.1289166202918413</v>
      </c>
      <c r="I125" s="48">
        <f>('Sheet1 (2)'!I125-'Sheet1 (2)'!I$526)/'Sheet1 (2)'!I$527</f>
        <v>0.63436037871169781</v>
      </c>
      <c r="J125" s="48">
        <f>('Sheet1 (2)'!J125-'Sheet1 (2)'!J$526)/'Sheet1 (2)'!J$527</f>
        <v>-0.21320875978653056</v>
      </c>
      <c r="K125" s="48">
        <f>('Sheet1 (2)'!K125-'Sheet1 (2)'!K$526)/'Sheet1 (2)'!K$527</f>
        <v>-1.2066052611424098</v>
      </c>
    </row>
    <row r="126" spans="1:11" ht="12.75" x14ac:dyDescent="0.2">
      <c r="A126" s="51">
        <v>8</v>
      </c>
      <c r="B126" s="48">
        <f>('Sheet1 (2)'!B126-'Sheet1 (2)'!B$526)/'Sheet1 (2)'!B$527</f>
        <v>-1.2242915745870349</v>
      </c>
      <c r="C126" s="48">
        <f>('Sheet1 (2)'!C126-'Sheet1 (2)'!C$526)/'Sheet1 (2)'!C$527</f>
        <v>-2.0318037832245137</v>
      </c>
      <c r="D126" s="48">
        <f>('Sheet1 (2)'!D126-'Sheet1 (2)'!D$526)/'Sheet1 (2)'!D$527</f>
        <v>-0.4704097020702403</v>
      </c>
      <c r="E126" s="48">
        <f>('Sheet1 (2)'!E126-'Sheet1 (2)'!E$526)/'Sheet1 (2)'!E$527</f>
        <v>-0.64688467002384797</v>
      </c>
      <c r="F126" s="48">
        <f>('Sheet1 (2)'!F126-'Sheet1 (2)'!F$526)/'Sheet1 (2)'!F$527</f>
        <v>-1.1978791963165167</v>
      </c>
      <c r="G126" s="48">
        <f>('Sheet1 (2)'!G126-'Sheet1 (2)'!G$526)/'Sheet1 (2)'!G$527</f>
        <v>0.77306949571193095</v>
      </c>
      <c r="H126" s="48">
        <f>('Sheet1 (2)'!H126-'Sheet1 (2)'!H$526)/'Sheet1 (2)'!H$527</f>
        <v>-1.5705803751284146</v>
      </c>
      <c r="I126" s="48">
        <f>('Sheet1 (2)'!I126-'Sheet1 (2)'!I$526)/'Sheet1 (2)'!I$527</f>
        <v>-1.2166032399405815</v>
      </c>
      <c r="J126" s="48">
        <f>('Sheet1 (2)'!J126-'Sheet1 (2)'!J$526)/'Sheet1 (2)'!J$527</f>
        <v>0.48898787975120767</v>
      </c>
      <c r="K126" s="48">
        <f>('Sheet1 (2)'!K126-'Sheet1 (2)'!K$526)/'Sheet1 (2)'!K$527</f>
        <v>0.12767217025626573</v>
      </c>
    </row>
    <row r="127" spans="1:11" ht="12.75" x14ac:dyDescent="0.2">
      <c r="A127" s="48">
        <v>8</v>
      </c>
      <c r="B127" s="48">
        <f>('Sheet1 (2)'!B127-'Sheet1 (2)'!B$526)/'Sheet1 (2)'!B$527</f>
        <v>1.1794716518179513E-2</v>
      </c>
      <c r="C127" s="48">
        <f>('Sheet1 (2)'!C127-'Sheet1 (2)'!C$526)/'Sheet1 (2)'!C$527</f>
        <v>-0.47859734941091819</v>
      </c>
      <c r="D127" s="48">
        <f>('Sheet1 (2)'!D127-'Sheet1 (2)'!D$526)/'Sheet1 (2)'!D$527</f>
        <v>3.3218162038498509</v>
      </c>
      <c r="E127" s="48">
        <f>('Sheet1 (2)'!E127-'Sheet1 (2)'!E$526)/'Sheet1 (2)'!E$527</f>
        <v>2.5353161055682785</v>
      </c>
      <c r="F127" s="48">
        <f>('Sheet1 (2)'!F127-'Sheet1 (2)'!F$526)/'Sheet1 (2)'!F$527</f>
        <v>1.2684811135846812</v>
      </c>
      <c r="G127" s="48">
        <f>('Sheet1 (2)'!G127-'Sheet1 (2)'!G$526)/'Sheet1 (2)'!G$527</f>
        <v>-0.50144115274505707</v>
      </c>
      <c r="H127" s="48">
        <f>('Sheet1 (2)'!H127-'Sheet1 (2)'!H$526)/'Sheet1 (2)'!H$527</f>
        <v>-0.26600829689683114</v>
      </c>
      <c r="I127" s="48">
        <f>('Sheet1 (2)'!I127-'Sheet1 (2)'!I$526)/'Sheet1 (2)'!I$527</f>
        <v>0.6416160008984626</v>
      </c>
      <c r="J127" s="48">
        <f>('Sheet1 (2)'!J127-'Sheet1 (2)'!J$526)/'Sheet1 (2)'!J$527</f>
        <v>-0.10356011270480787</v>
      </c>
      <c r="K127" s="48">
        <f>('Sheet1 (2)'!K127-'Sheet1 (2)'!K$526)/'Sheet1 (2)'!K$527</f>
        <v>1.0946132215085895</v>
      </c>
    </row>
    <row r="128" spans="1:11" ht="12.75" x14ac:dyDescent="0.2">
      <c r="A128" s="49">
        <v>8</v>
      </c>
      <c r="B128" s="48">
        <f>('Sheet1 (2)'!B128-'Sheet1 (2)'!B$526)/'Sheet1 (2)'!B$527</f>
        <v>1.1794716518179513E-2</v>
      </c>
      <c r="C128" s="48">
        <f>('Sheet1 (2)'!C128-'Sheet1 (2)'!C$526)/'Sheet1 (2)'!C$527</f>
        <v>-0.13911973748840606</v>
      </c>
      <c r="D128" s="48">
        <f>('Sheet1 (2)'!D128-'Sheet1 (2)'!D$526)/'Sheet1 (2)'!D$527</f>
        <v>-0.4704097020702403</v>
      </c>
      <c r="E128" s="48">
        <f>('Sheet1 (2)'!E128-'Sheet1 (2)'!E$526)/'Sheet1 (2)'!E$527</f>
        <v>-0.40103955595283181</v>
      </c>
      <c r="F128" s="48">
        <f>('Sheet1 (2)'!F128-'Sheet1 (2)'!F$526)/'Sheet1 (2)'!F$527</f>
        <v>3.5300958634082259E-2</v>
      </c>
      <c r="G128" s="48">
        <f>('Sheet1 (2)'!G128-'Sheet1 (2)'!G$526)/'Sheet1 (2)'!G$527</f>
        <v>-0.50144115274505707</v>
      </c>
      <c r="H128" s="48">
        <f>('Sheet1 (2)'!H128-'Sheet1 (2)'!H$526)/'Sheet1 (2)'!H$527</f>
        <v>-0.62763313500947537</v>
      </c>
      <c r="I128" s="48">
        <f>('Sheet1 (2)'!I128-'Sheet1 (2)'!I$526)/'Sheet1 (2)'!I$527</f>
        <v>0.65310742669944377</v>
      </c>
      <c r="J128" s="48">
        <f>('Sheet1 (2)'!J128-'Sheet1 (2)'!J$526)/'Sheet1 (2)'!J$527</f>
        <v>-0.83945425120312078</v>
      </c>
      <c r="K128" s="48">
        <f>('Sheet1 (2)'!K128-'Sheet1 (2)'!K$526)/'Sheet1 (2)'!K$527</f>
        <v>8.8984585615183076E-2</v>
      </c>
    </row>
    <row r="129" spans="1:11" ht="12.75" x14ac:dyDescent="0.2">
      <c r="A129" s="50">
        <v>8</v>
      </c>
      <c r="B129" s="48">
        <f>('Sheet1 (2)'!B129-'Sheet1 (2)'!B$526)/'Sheet1 (2)'!B$527</f>
        <v>1.1794716518179513E-2</v>
      </c>
      <c r="C129" s="48">
        <f>('Sheet1 (2)'!C129-'Sheet1 (2)'!C$526)/'Sheet1 (2)'!C$527</f>
        <v>0.23751453802474379</v>
      </c>
      <c r="D129" s="48">
        <f>('Sheet1 (2)'!D129-'Sheet1 (2)'!D$526)/'Sheet1 (2)'!D$527</f>
        <v>-0.4704097020702403</v>
      </c>
      <c r="E129" s="48">
        <f>('Sheet1 (2)'!E129-'Sheet1 (2)'!E$526)/'Sheet1 (2)'!E$527</f>
        <v>-0.31832531196632163</v>
      </c>
      <c r="F129" s="48">
        <f>('Sheet1 (2)'!F129-'Sheet1 (2)'!F$526)/'Sheet1 (2)'!F$527</f>
        <v>3.5300958634082259E-2</v>
      </c>
      <c r="G129" s="48">
        <f>('Sheet1 (2)'!G129-'Sheet1 (2)'!G$526)/'Sheet1 (2)'!G$527</f>
        <v>-0.50144115274505707</v>
      </c>
      <c r="H129" s="48">
        <f>('Sheet1 (2)'!H129-'Sheet1 (2)'!H$526)/'Sheet1 (2)'!H$527</f>
        <v>-0.26807128622762622</v>
      </c>
      <c r="I129" s="48">
        <f>('Sheet1 (2)'!I129-'Sheet1 (2)'!I$526)/'Sheet1 (2)'!I$527</f>
        <v>-0.22201599051796797</v>
      </c>
      <c r="J129" s="48">
        <f>('Sheet1 (2)'!J129-'Sheet1 (2)'!J$526)/'Sheet1 (2)'!J$527</f>
        <v>-0.83945425120312078</v>
      </c>
      <c r="K129" s="48">
        <f>('Sheet1 (2)'!K129-'Sheet1 (2)'!K$526)/'Sheet1 (2)'!K$527</f>
        <v>-0.32549602550699758</v>
      </c>
    </row>
    <row r="130" spans="1:11" ht="12.75" x14ac:dyDescent="0.2">
      <c r="A130" s="49">
        <v>8</v>
      </c>
      <c r="B130" s="48">
        <f>('Sheet1 (2)'!B130-'Sheet1 (2)'!B$526)/'Sheet1 (2)'!B$527</f>
        <v>1.1794716518179513E-2</v>
      </c>
      <c r="C130" s="48">
        <f>('Sheet1 (2)'!C130-'Sheet1 (2)'!C$526)/'Sheet1 (2)'!C$527</f>
        <v>0.49072294482143164</v>
      </c>
      <c r="D130" s="48">
        <f>('Sheet1 (2)'!D130-'Sheet1 (2)'!D$526)/'Sheet1 (2)'!D$527</f>
        <v>-0.4704097020702403</v>
      </c>
      <c r="E130" s="48">
        <f>('Sheet1 (2)'!E130-'Sheet1 (2)'!E$526)/'Sheet1 (2)'!E$527</f>
        <v>-0.80771792221983996</v>
      </c>
      <c r="F130" s="48">
        <f>('Sheet1 (2)'!F130-'Sheet1 (2)'!F$526)/'Sheet1 (2)'!F$527</f>
        <v>-1.1978791963165167</v>
      </c>
      <c r="G130" s="48">
        <f>('Sheet1 (2)'!G130-'Sheet1 (2)'!G$526)/'Sheet1 (2)'!G$527</f>
        <v>-0.50144115274505707</v>
      </c>
      <c r="H130" s="48">
        <f>('Sheet1 (2)'!H130-'Sheet1 (2)'!H$526)/'Sheet1 (2)'!H$527</f>
        <v>0.12365600453707104</v>
      </c>
      <c r="I130" s="48">
        <f>('Sheet1 (2)'!I130-'Sheet1 (2)'!I$526)/'Sheet1 (2)'!I$527</f>
        <v>0.54532435434610094</v>
      </c>
      <c r="J130" s="48">
        <f>('Sheet1 (2)'!J130-'Sheet1 (2)'!J$526)/'Sheet1 (2)'!J$527</f>
        <v>2.1105753410475137</v>
      </c>
      <c r="K130" s="48">
        <f>('Sheet1 (2)'!K130-'Sheet1 (2)'!K$526)/'Sheet1 (2)'!K$527</f>
        <v>0.56137733696409509</v>
      </c>
    </row>
    <row r="131" spans="1:11" ht="12.75" x14ac:dyDescent="0.2">
      <c r="A131" s="53">
        <v>8</v>
      </c>
      <c r="B131" s="48">
        <f>('Sheet1 (2)'!B131-'Sheet1 (2)'!B$526)/'Sheet1 (2)'!B$527</f>
        <v>1.1794716518179513E-2</v>
      </c>
      <c r="C131" s="48">
        <f>('Sheet1 (2)'!C131-'Sheet1 (2)'!C$526)/'Sheet1 (2)'!C$527</f>
        <v>0.73873599389048217</v>
      </c>
      <c r="D131" s="48">
        <f>('Sheet1 (2)'!D131-'Sheet1 (2)'!D$526)/'Sheet1 (2)'!D$527</f>
        <v>-0.4704097020702403</v>
      </c>
      <c r="E131" s="48">
        <f>('Sheet1 (2)'!E131-'Sheet1 (2)'!E$526)/'Sheet1 (2)'!E$527</f>
        <v>-0.79393221488875487</v>
      </c>
      <c r="F131" s="48">
        <f>('Sheet1 (2)'!F131-'Sheet1 (2)'!F$526)/'Sheet1 (2)'!F$527</f>
        <v>-1.1978791963165167</v>
      </c>
      <c r="G131" s="48">
        <f>('Sheet1 (2)'!G131-'Sheet1 (2)'!G$526)/'Sheet1 (2)'!G$527</f>
        <v>-0.50144115274505707</v>
      </c>
      <c r="H131" s="48">
        <f>('Sheet1 (2)'!H131-'Sheet1 (2)'!H$526)/'Sheet1 (2)'!H$527</f>
        <v>-0.42282986919365267</v>
      </c>
      <c r="I131" s="48">
        <f>('Sheet1 (2)'!I131-'Sheet1 (2)'!I$526)/'Sheet1 (2)'!I$527</f>
        <v>0.61471667323770218</v>
      </c>
      <c r="J131" s="48">
        <f>('Sheet1 (2)'!J131-'Sheet1 (2)'!J$526)/'Sheet1 (2)'!J$527</f>
        <v>3.568910736683339</v>
      </c>
      <c r="K131" s="48">
        <f>('Sheet1 (2)'!K131-'Sheet1 (2)'!K$526)/'Sheet1 (2)'!K$527</f>
        <v>-0.45776700855599806</v>
      </c>
    </row>
    <row r="132" spans="1:11" ht="12.75" x14ac:dyDescent="0.2">
      <c r="A132" s="52">
        <v>8</v>
      </c>
      <c r="B132" s="48">
        <f>('Sheet1 (2)'!B132-'Sheet1 (2)'!B$526)/'Sheet1 (2)'!B$527</f>
        <v>1.2478810076233939</v>
      </c>
      <c r="C132" s="48">
        <f>('Sheet1 (2)'!C132-'Sheet1 (2)'!C$526)/'Sheet1 (2)'!C$527</f>
        <v>-0.2741838895959261</v>
      </c>
      <c r="D132" s="48">
        <f>('Sheet1 (2)'!D132-'Sheet1 (2)'!D$526)/'Sheet1 (2)'!D$527</f>
        <v>-0.4704097020702403</v>
      </c>
      <c r="E132" s="48">
        <f>('Sheet1 (2)'!E132-'Sheet1 (2)'!E$526)/'Sheet1 (2)'!E$527</f>
        <v>0.22391250972302268</v>
      </c>
      <c r="F132" s="48">
        <f>('Sheet1 (2)'!F132-'Sheet1 (2)'!F$526)/'Sheet1 (2)'!F$527</f>
        <v>1.2684811135846812</v>
      </c>
      <c r="G132" s="48">
        <f>('Sheet1 (2)'!G132-'Sheet1 (2)'!G$526)/'Sheet1 (2)'!G$527</f>
        <v>-0.50144115274505707</v>
      </c>
      <c r="H132" s="48">
        <f>('Sheet1 (2)'!H132-'Sheet1 (2)'!H$526)/'Sheet1 (2)'!H$527</f>
        <v>5.2333275737079306E-2</v>
      </c>
      <c r="I132" s="48">
        <f>('Sheet1 (2)'!I132-'Sheet1 (2)'!I$526)/'Sheet1 (2)'!I$527</f>
        <v>0.68270057074098411</v>
      </c>
      <c r="J132" s="48">
        <f>('Sheet1 (2)'!J132-'Sheet1 (2)'!J$526)/'Sheet1 (2)'!J$527</f>
        <v>-0.83945425120312078</v>
      </c>
      <c r="K132" s="48">
        <f>('Sheet1 (2)'!K132-'Sheet1 (2)'!K$526)/'Sheet1 (2)'!K$527</f>
        <v>-1.1103253714729719</v>
      </c>
    </row>
    <row r="133" spans="1:11" ht="12.75" x14ac:dyDescent="0.2">
      <c r="A133" s="50">
        <v>8</v>
      </c>
      <c r="B133" s="48">
        <f>('Sheet1 (2)'!B133-'Sheet1 (2)'!B$526)/'Sheet1 (2)'!B$527</f>
        <v>1.2478810076233939</v>
      </c>
      <c r="C133" s="48">
        <f>('Sheet1 (2)'!C133-'Sheet1 (2)'!C$526)/'Sheet1 (2)'!C$527</f>
        <v>-1.185414617417555</v>
      </c>
      <c r="D133" s="48">
        <f>('Sheet1 (2)'!D133-'Sheet1 (2)'!D$526)/'Sheet1 (2)'!D$527</f>
        <v>-0.4704097020702403</v>
      </c>
      <c r="E133" s="48">
        <f>('Sheet1 (2)'!E133-'Sheet1 (2)'!E$526)/'Sheet1 (2)'!E$527</f>
        <v>-0.29534913308117999</v>
      </c>
      <c r="F133" s="48">
        <f>('Sheet1 (2)'!F133-'Sheet1 (2)'!F$526)/'Sheet1 (2)'!F$527</f>
        <v>3.5300958634082259E-2</v>
      </c>
      <c r="G133" s="48">
        <f>('Sheet1 (2)'!G133-'Sheet1 (2)'!G$526)/'Sheet1 (2)'!G$527</f>
        <v>0.57876453911672232</v>
      </c>
      <c r="H133" s="48">
        <f>('Sheet1 (2)'!H133-'Sheet1 (2)'!H$526)/'Sheet1 (2)'!H$527</f>
        <v>-0.74217398225672482</v>
      </c>
      <c r="I133" s="48">
        <f>('Sheet1 (2)'!I133-'Sheet1 (2)'!I$526)/'Sheet1 (2)'!I$527</f>
        <v>-1.1790445702531542</v>
      </c>
      <c r="J133" s="48">
        <f>('Sheet1 (2)'!J133-'Sheet1 (2)'!J$526)/'Sheet1 (2)'!J$527</f>
        <v>0.82671889100609586</v>
      </c>
      <c r="K133" s="48">
        <f>('Sheet1 (2)'!K133-'Sheet1 (2)'!K$526)/'Sheet1 (2)'!K$527</f>
        <v>-0.49560300073726132</v>
      </c>
    </row>
    <row r="134" spans="1:11" ht="12.75" x14ac:dyDescent="0.2">
      <c r="A134" s="49">
        <v>8</v>
      </c>
      <c r="B134" s="48">
        <f>('Sheet1 (2)'!B134-'Sheet1 (2)'!B$526)/'Sheet1 (2)'!B$527</f>
        <v>1.2478810076233939</v>
      </c>
      <c r="C134" s="48">
        <f>('Sheet1 (2)'!C134-'Sheet1 (2)'!C$526)/'Sheet1 (2)'!C$527</f>
        <v>-0.74651801715648758</v>
      </c>
      <c r="D134" s="48">
        <f>('Sheet1 (2)'!D134-'Sheet1 (2)'!D$526)/'Sheet1 (2)'!D$527</f>
        <v>-0.4704097020702403</v>
      </c>
      <c r="E134" s="48">
        <f>('Sheet1 (2)'!E134-'Sheet1 (2)'!E$526)/'Sheet1 (2)'!E$527</f>
        <v>-0.64688467002384797</v>
      </c>
      <c r="F134" s="48">
        <f>('Sheet1 (2)'!F134-'Sheet1 (2)'!F$526)/'Sheet1 (2)'!F$527</f>
        <v>3.5300958634082259E-2</v>
      </c>
      <c r="G134" s="48">
        <f>('Sheet1 (2)'!G134-'Sheet1 (2)'!G$526)/'Sheet1 (2)'!G$527</f>
        <v>-0.1087041164323968</v>
      </c>
      <c r="H134" s="48">
        <f>('Sheet1 (2)'!H134-'Sheet1 (2)'!H$526)/'Sheet1 (2)'!H$527</f>
        <v>-0.70600380747646219</v>
      </c>
      <c r="I134" s="48">
        <f>('Sheet1 (2)'!I134-'Sheet1 (2)'!I$526)/'Sheet1 (2)'!I$527</f>
        <v>0.6253561480369183</v>
      </c>
      <c r="J134" s="48">
        <f>('Sheet1 (2)'!J134-'Sheet1 (2)'!J$526)/'Sheet1 (2)'!J$527</f>
        <v>1.2742884092083342</v>
      </c>
      <c r="K134" s="48">
        <f>('Sheet1 (2)'!K134-'Sheet1 (2)'!K$526)/'Sheet1 (2)'!K$527</f>
        <v>-0.12318131804249972</v>
      </c>
    </row>
    <row r="135" spans="1:11" ht="12.75" x14ac:dyDescent="0.2">
      <c r="A135" s="50">
        <v>8</v>
      </c>
      <c r="B135" s="48">
        <f>('Sheet1 (2)'!B135-'Sheet1 (2)'!B$526)/'Sheet1 (2)'!B$527</f>
        <v>1.2478810076233939</v>
      </c>
      <c r="C135" s="48">
        <f>('Sheet1 (2)'!C135-'Sheet1 (2)'!C$526)/'Sheet1 (2)'!C$527</f>
        <v>-0.39402936666216298</v>
      </c>
      <c r="D135" s="48">
        <f>('Sheet1 (2)'!D135-'Sheet1 (2)'!D$526)/'Sheet1 (2)'!D$527</f>
        <v>-0.4704097020702403</v>
      </c>
      <c r="E135" s="48">
        <f>('Sheet1 (2)'!E135-'Sheet1 (2)'!E$526)/'Sheet1 (2)'!E$527</f>
        <v>-0.94557499553069002</v>
      </c>
      <c r="F135" s="48">
        <f>('Sheet1 (2)'!F135-'Sheet1 (2)'!F$526)/'Sheet1 (2)'!F$527</f>
        <v>-1.1978791963165167</v>
      </c>
      <c r="G135" s="48">
        <f>('Sheet1 (2)'!G135-'Sheet1 (2)'!G$526)/'Sheet1 (2)'!G$527</f>
        <v>0.71182298857784221</v>
      </c>
      <c r="H135" s="48">
        <f>('Sheet1 (2)'!H135-'Sheet1 (2)'!H$526)/'Sheet1 (2)'!H$527</f>
        <v>1.9423484791070236E-3</v>
      </c>
      <c r="I135" s="48">
        <f>('Sheet1 (2)'!I135-'Sheet1 (2)'!I$526)/'Sheet1 (2)'!I$527</f>
        <v>-0.32667261724417518</v>
      </c>
      <c r="J135" s="48">
        <f>('Sheet1 (2)'!J135-'Sheet1 (2)'!J$526)/'Sheet1 (2)'!J$527</f>
        <v>0.86621079212706975</v>
      </c>
      <c r="K135" s="48">
        <f>('Sheet1 (2)'!K135-'Sheet1 (2)'!K$526)/'Sheet1 (2)'!K$527</f>
        <v>-1.325000180400874</v>
      </c>
    </row>
    <row r="136" spans="1:11" ht="12.75" x14ac:dyDescent="0.2">
      <c r="A136" s="51">
        <v>8</v>
      </c>
      <c r="B136" s="48">
        <f>('Sheet1 (2)'!B136-'Sheet1 (2)'!B$526)/'Sheet1 (2)'!B$527</f>
        <v>1.2478810076233939</v>
      </c>
      <c r="C136" s="48">
        <f>('Sheet1 (2)'!C136-'Sheet1 (2)'!C$526)/'Sheet1 (2)'!C$527</f>
        <v>-0.97412646856194773</v>
      </c>
      <c r="D136" s="48">
        <f>('Sheet1 (2)'!D136-'Sheet1 (2)'!D$526)/'Sheet1 (2)'!D$527</f>
        <v>-0.4704097020702403</v>
      </c>
      <c r="E136" s="48">
        <f>('Sheet1 (2)'!E136-'Sheet1 (2)'!E$526)/'Sheet1 (2)'!E$527</f>
        <v>-0.79622983277726911</v>
      </c>
      <c r="F136" s="48">
        <f>('Sheet1 (2)'!F136-'Sheet1 (2)'!F$526)/'Sheet1 (2)'!F$527</f>
        <v>-1.1978791963165167</v>
      </c>
      <c r="G136" s="48">
        <f>('Sheet1 (2)'!G136-'Sheet1 (2)'!G$526)/'Sheet1 (2)'!G$527</f>
        <v>-0.15091082889587035</v>
      </c>
      <c r="H136" s="48">
        <f>('Sheet1 (2)'!H136-'Sheet1 (2)'!H$526)/'Sheet1 (2)'!H$527</f>
        <v>-1.385199311683617</v>
      </c>
      <c r="I136" s="48">
        <f>('Sheet1 (2)'!I136-'Sheet1 (2)'!I$526)/'Sheet1 (2)'!I$527</f>
        <v>0.59417859782888238</v>
      </c>
      <c r="J136" s="48">
        <f>('Sheet1 (2)'!J136-'Sheet1 (2)'!J$526)/'Sheet1 (2)'!J$527</f>
        <v>0.87707328599098267</v>
      </c>
      <c r="K136" s="48">
        <f>('Sheet1 (2)'!K136-'Sheet1 (2)'!K$526)/'Sheet1 (2)'!K$527</f>
        <v>-1.3811831480352736</v>
      </c>
    </row>
    <row r="137" spans="1:11" ht="12.75" x14ac:dyDescent="0.2">
      <c r="A137" s="48">
        <v>9</v>
      </c>
      <c r="B137" s="48">
        <f>('Sheet1 (2)'!B137-'Sheet1 (2)'!B$526)/'Sheet1 (2)'!B$527</f>
        <v>-1.2242915745870349</v>
      </c>
      <c r="C137" s="48">
        <f>('Sheet1 (2)'!C137-'Sheet1 (2)'!C$526)/'Sheet1 (2)'!C$527</f>
        <v>-0.10368183153280114</v>
      </c>
      <c r="D137" s="48">
        <f>('Sheet1 (2)'!D137-'Sheet1 (2)'!D$526)/'Sheet1 (2)'!D$527</f>
        <v>-0.4704097020702403</v>
      </c>
      <c r="E137" s="48">
        <f>('Sheet1 (2)'!E137-'Sheet1 (2)'!E$526)/'Sheet1 (2)'!E$527</f>
        <v>4.4377437172580105</v>
      </c>
      <c r="F137" s="48">
        <f>('Sheet1 (2)'!F137-'Sheet1 (2)'!F$526)/'Sheet1 (2)'!F$527</f>
        <v>1.2684811135846812</v>
      </c>
      <c r="G137" s="48">
        <f>('Sheet1 (2)'!G137-'Sheet1 (2)'!G$526)/'Sheet1 (2)'!G$527</f>
        <v>-2.4362228306235384E-2</v>
      </c>
      <c r="H137" s="48">
        <f>('Sheet1 (2)'!H137-'Sheet1 (2)'!H$526)/'Sheet1 (2)'!H$527</f>
        <v>-0.17403431098600577</v>
      </c>
      <c r="I137" s="48">
        <f>('Sheet1 (2)'!I137-'Sheet1 (2)'!I$526)/'Sheet1 (2)'!I$527</f>
        <v>0.71383172578501997</v>
      </c>
      <c r="J137" s="48">
        <f>('Sheet1 (2)'!J137-'Sheet1 (2)'!J$526)/'Sheet1 (2)'!J$527</f>
        <v>1.113499885350351</v>
      </c>
      <c r="K137" s="48">
        <f>('Sheet1 (2)'!K137-'Sheet1 (2)'!K$526)/'Sheet1 (2)'!K$527</f>
        <v>0.62249185839753463</v>
      </c>
    </row>
    <row r="138" spans="1:11" ht="12.75" x14ac:dyDescent="0.2">
      <c r="A138" s="49">
        <v>9</v>
      </c>
      <c r="B138" s="48">
        <f>('Sheet1 (2)'!B138-'Sheet1 (2)'!B$526)/'Sheet1 (2)'!B$527</f>
        <v>-1.2242915745870349</v>
      </c>
      <c r="C138" s="48">
        <f>('Sheet1 (2)'!C138-'Sheet1 (2)'!C$526)/'Sheet1 (2)'!C$527</f>
        <v>5.8182613708266676E-2</v>
      </c>
      <c r="D138" s="48">
        <f>('Sheet1 (2)'!D138-'Sheet1 (2)'!D$526)/'Sheet1 (2)'!D$527</f>
        <v>-0.4704097020702403</v>
      </c>
      <c r="E138" s="48">
        <f>('Sheet1 (2)'!E138-'Sheet1 (2)'!E$526)/'Sheet1 (2)'!E$527</f>
        <v>0.12051970473988498</v>
      </c>
      <c r="F138" s="48">
        <f>('Sheet1 (2)'!F138-'Sheet1 (2)'!F$526)/'Sheet1 (2)'!F$527</f>
        <v>3.5300958634082259E-2</v>
      </c>
      <c r="G138" s="48">
        <f>('Sheet1 (2)'!G138-'Sheet1 (2)'!G$526)/'Sheet1 (2)'!G$527</f>
        <v>-0.37005189530226668</v>
      </c>
      <c r="H138" s="48">
        <f>('Sheet1 (2)'!H138-'Sheet1 (2)'!H$526)/'Sheet1 (2)'!H$527</f>
        <v>0.35147401753088214</v>
      </c>
      <c r="I138" s="48">
        <f>('Sheet1 (2)'!I138-'Sheet1 (2)'!I$526)/'Sheet1 (2)'!I$527</f>
        <v>-1.1849367560811612</v>
      </c>
      <c r="J138" s="48">
        <f>('Sheet1 (2)'!J138-'Sheet1 (2)'!J$526)/'Sheet1 (2)'!J$527</f>
        <v>1.7797907684893515</v>
      </c>
      <c r="K138" s="48">
        <f>('Sheet1 (2)'!K138-'Sheet1 (2)'!K$526)/'Sheet1 (2)'!K$527</f>
        <v>9.1270000627409045E-2</v>
      </c>
    </row>
    <row r="139" spans="1:11" ht="12.75" x14ac:dyDescent="0.2">
      <c r="A139" s="49">
        <v>9</v>
      </c>
      <c r="B139" s="48">
        <f>('Sheet1 (2)'!B139-'Sheet1 (2)'!B$526)/'Sheet1 (2)'!B$527</f>
        <v>-1.2242915745870349</v>
      </c>
      <c r="C139" s="48">
        <f>('Sheet1 (2)'!C139-'Sheet1 (2)'!C$526)/'Sheet1 (2)'!C$527</f>
        <v>-8.6600302256691131E-2</v>
      </c>
      <c r="D139" s="48">
        <f>('Sheet1 (2)'!D139-'Sheet1 (2)'!D$526)/'Sheet1 (2)'!D$527</f>
        <v>-0.4704097020702403</v>
      </c>
      <c r="E139" s="48">
        <f>('Sheet1 (2)'!E139-'Sheet1 (2)'!E$526)/'Sheet1 (2)'!E$527</f>
        <v>1.4439476085240472</v>
      </c>
      <c r="F139" s="48">
        <f>('Sheet1 (2)'!F139-'Sheet1 (2)'!F$526)/'Sheet1 (2)'!F$527</f>
        <v>-1.1978791963165167</v>
      </c>
      <c r="G139" s="48">
        <f>('Sheet1 (2)'!G139-'Sheet1 (2)'!G$526)/'Sheet1 (2)'!G$527</f>
        <v>-0.29937353612614492</v>
      </c>
      <c r="H139" s="48">
        <f>('Sheet1 (2)'!H139-'Sheet1 (2)'!H$526)/'Sheet1 (2)'!H$527</f>
        <v>-0.2836783735677707</v>
      </c>
      <c r="I139" s="48">
        <f>('Sheet1 (2)'!I139-'Sheet1 (2)'!I$526)/'Sheet1 (2)'!I$527</f>
        <v>-0.23132127619126569</v>
      </c>
      <c r="J139" s="48">
        <f>('Sheet1 (2)'!J139-'Sheet1 (2)'!J$526)/'Sheet1 (2)'!J$527</f>
        <v>0.71064213197419135</v>
      </c>
      <c r="K139" s="48">
        <f>('Sheet1 (2)'!K139-'Sheet1 (2)'!K$526)/'Sheet1 (2)'!K$527</f>
        <v>0.15885717948218273</v>
      </c>
    </row>
    <row r="140" spans="1:11" ht="12.75" x14ac:dyDescent="0.2">
      <c r="A140" s="53">
        <v>9</v>
      </c>
      <c r="B140" s="48">
        <f>('Sheet1 (2)'!B140-'Sheet1 (2)'!B$526)/'Sheet1 (2)'!B$527</f>
        <v>-1.2242915745870349</v>
      </c>
      <c r="C140" s="48">
        <f>('Sheet1 (2)'!C140-'Sheet1 (2)'!C$526)/'Sheet1 (2)'!C$527</f>
        <v>4.8821683306261056E-2</v>
      </c>
      <c r="D140" s="48">
        <f>('Sheet1 (2)'!D140-'Sheet1 (2)'!D$526)/'Sheet1 (2)'!D$527</f>
        <v>-0.4704097020702403</v>
      </c>
      <c r="E140" s="48">
        <f>('Sheet1 (2)'!E140-'Sheet1 (2)'!E$526)/'Sheet1 (2)'!E$527</f>
        <v>-0.61701563747316368</v>
      </c>
      <c r="F140" s="48">
        <f>('Sheet1 (2)'!F140-'Sheet1 (2)'!F$526)/'Sheet1 (2)'!F$527</f>
        <v>-1.1978791963165167</v>
      </c>
      <c r="G140" s="48">
        <f>('Sheet1 (2)'!G140-'Sheet1 (2)'!G$526)/'Sheet1 (2)'!G$527</f>
        <v>0.12469661893058534</v>
      </c>
      <c r="H140" s="48">
        <f>('Sheet1 (2)'!H140-'Sheet1 (2)'!H$526)/'Sheet1 (2)'!H$527</f>
        <v>0.12866161892722414</v>
      </c>
      <c r="I140" s="48">
        <f>('Sheet1 (2)'!I140-'Sheet1 (2)'!I$526)/'Sheet1 (2)'!I$527</f>
        <v>-0.70187030851260623</v>
      </c>
      <c r="J140" s="48">
        <f>('Sheet1 (2)'!J140-'Sheet1 (2)'!J$526)/'Sheet1 (2)'!J$527</f>
        <v>-0.7805473368126844</v>
      </c>
      <c r="K140" s="48">
        <f>('Sheet1 (2)'!K140-'Sheet1 (2)'!K$526)/'Sheet1 (2)'!K$527</f>
        <v>0.3113313386437952</v>
      </c>
    </row>
    <row r="141" spans="1:11" ht="12.75" x14ac:dyDescent="0.2">
      <c r="A141" s="52">
        <v>9</v>
      </c>
      <c r="B141" s="48">
        <f>('Sheet1 (2)'!B141-'Sheet1 (2)'!B$526)/'Sheet1 (2)'!B$527</f>
        <v>1.1794716518179513E-2</v>
      </c>
      <c r="C141" s="48">
        <f>('Sheet1 (2)'!C141-'Sheet1 (2)'!C$526)/'Sheet1 (2)'!C$527</f>
        <v>-0.9820091991697264</v>
      </c>
      <c r="D141" s="48">
        <f>('Sheet1 (2)'!D141-'Sheet1 (2)'!D$526)/'Sheet1 (2)'!D$527</f>
        <v>1.4257032508898051</v>
      </c>
      <c r="E141" s="48">
        <f>('Sheet1 (2)'!E141-'Sheet1 (2)'!E$526)/'Sheet1 (2)'!E$527</f>
        <v>1.000507356040812</v>
      </c>
      <c r="F141" s="48">
        <f>('Sheet1 (2)'!F141-'Sheet1 (2)'!F$526)/'Sheet1 (2)'!F$527</f>
        <v>1.2684811135846812</v>
      </c>
      <c r="G141" s="48">
        <f>('Sheet1 (2)'!G141-'Sheet1 (2)'!G$526)/'Sheet1 (2)'!G$527</f>
        <v>-0.50144115274505707</v>
      </c>
      <c r="H141" s="48">
        <f>('Sheet1 (2)'!H141-'Sheet1 (2)'!H$526)/'Sheet1 (2)'!H$527</f>
        <v>-0.54996177412981506</v>
      </c>
      <c r="I141" s="48">
        <f>('Sheet1 (2)'!I141-'Sheet1 (2)'!I$526)/'Sheet1 (2)'!I$527</f>
        <v>0.65002942249778051</v>
      </c>
      <c r="J141" s="48">
        <f>('Sheet1 (2)'!J141-'Sheet1 (2)'!J$526)/'Sheet1 (2)'!J$527</f>
        <v>-0.44890398323955716</v>
      </c>
      <c r="K141" s="48">
        <f>('Sheet1 (2)'!K141-'Sheet1 (2)'!K$526)/'Sheet1 (2)'!K$527</f>
        <v>1.5740199345057604</v>
      </c>
    </row>
    <row r="142" spans="1:11" ht="12.75" x14ac:dyDescent="0.2">
      <c r="A142" s="50">
        <v>9</v>
      </c>
      <c r="B142" s="48">
        <f>('Sheet1 (2)'!B142-'Sheet1 (2)'!B$526)/'Sheet1 (2)'!B$527</f>
        <v>1.1794716518179513E-2</v>
      </c>
      <c r="C142" s="48">
        <f>('Sheet1 (2)'!C142-'Sheet1 (2)'!C$526)/'Sheet1 (2)'!C$527</f>
        <v>0.3657702092353336</v>
      </c>
      <c r="D142" s="48">
        <f>('Sheet1 (2)'!D142-'Sheet1 (2)'!D$526)/'Sheet1 (2)'!D$527</f>
        <v>-0.4704097020702403</v>
      </c>
      <c r="E142" s="48">
        <f>('Sheet1 (2)'!E142-'Sheet1 (2)'!E$526)/'Sheet1 (2)'!E$527</f>
        <v>3.7805460753374764E-2</v>
      </c>
      <c r="F142" s="48">
        <f>('Sheet1 (2)'!F142-'Sheet1 (2)'!F$526)/'Sheet1 (2)'!F$527</f>
        <v>3.5300958634082259E-2</v>
      </c>
      <c r="G142" s="48">
        <f>('Sheet1 (2)'!G142-'Sheet1 (2)'!G$526)/'Sheet1 (2)'!G$527</f>
        <v>-0.50144115274505707</v>
      </c>
      <c r="H142" s="48">
        <f>('Sheet1 (2)'!H142-'Sheet1 (2)'!H$526)/'Sheet1 (2)'!H$527</f>
        <v>-0.138196193059551</v>
      </c>
      <c r="I142" s="48">
        <f>('Sheet1 (2)'!I142-'Sheet1 (2)'!I$526)/'Sheet1 (2)'!I$527</f>
        <v>0.66338394610633888</v>
      </c>
      <c r="J142" s="48">
        <f>('Sheet1 (2)'!J142-'Sheet1 (2)'!J$526)/'Sheet1 (2)'!J$527</f>
        <v>-0.4887558792365333</v>
      </c>
      <c r="K142" s="48">
        <f>('Sheet1 (2)'!K142-'Sheet1 (2)'!K$526)/'Sheet1 (2)'!K$527</f>
        <v>1.0043108407939043</v>
      </c>
    </row>
    <row r="143" spans="1:11" ht="12.75" x14ac:dyDescent="0.2">
      <c r="A143" s="49">
        <v>9</v>
      </c>
      <c r="B143" s="48">
        <f>('Sheet1 (2)'!B143-'Sheet1 (2)'!B$526)/'Sheet1 (2)'!B$527</f>
        <v>1.1794716518179513E-2</v>
      </c>
      <c r="C143" s="48">
        <f>('Sheet1 (2)'!C143-'Sheet1 (2)'!C$526)/'Sheet1 (2)'!C$527</f>
        <v>0.64707561417883031</v>
      </c>
      <c r="D143" s="48">
        <f>('Sheet1 (2)'!D143-'Sheet1 (2)'!D$526)/'Sheet1 (2)'!D$527</f>
        <v>-0.4704097020702403</v>
      </c>
      <c r="E143" s="48">
        <f>('Sheet1 (2)'!E143-'Sheet1 (2)'!E$526)/'Sheet1 (2)'!E$527</f>
        <v>-0.35049196240551994</v>
      </c>
      <c r="F143" s="48">
        <f>('Sheet1 (2)'!F143-'Sheet1 (2)'!F$526)/'Sheet1 (2)'!F$527</f>
        <v>3.5300958634082259E-2</v>
      </c>
      <c r="G143" s="48">
        <f>('Sheet1 (2)'!G143-'Sheet1 (2)'!G$526)/'Sheet1 (2)'!G$527</f>
        <v>-0.50144115274505707</v>
      </c>
      <c r="H143" s="48">
        <f>('Sheet1 (2)'!H143-'Sheet1 (2)'!H$526)/'Sheet1 (2)'!H$527</f>
        <v>6.6890029998105923E-3</v>
      </c>
      <c r="I143" s="48">
        <f>('Sheet1 (2)'!I143-'Sheet1 (2)'!I$526)/'Sheet1 (2)'!I$527</f>
        <v>-0.1574219209058158</v>
      </c>
      <c r="J143" s="48">
        <f>('Sheet1 (2)'!J143-'Sheet1 (2)'!J$526)/'Sheet1 (2)'!J$527</f>
        <v>-0.68215743157508713</v>
      </c>
      <c r="K143" s="48">
        <f>('Sheet1 (2)'!K143-'Sheet1 (2)'!K$526)/'Sheet1 (2)'!K$527</f>
        <v>1.1895658282975645</v>
      </c>
    </row>
    <row r="144" spans="1:11" ht="12.75" x14ac:dyDescent="0.2">
      <c r="A144" s="50">
        <v>9</v>
      </c>
      <c r="B144" s="48">
        <f>('Sheet1 (2)'!B144-'Sheet1 (2)'!B$526)/'Sheet1 (2)'!B$527</f>
        <v>1.1794716518179513E-2</v>
      </c>
      <c r="C144" s="48">
        <f>('Sheet1 (2)'!C144-'Sheet1 (2)'!C$526)/'Sheet1 (2)'!C$527</f>
        <v>0.78873269600929341</v>
      </c>
      <c r="D144" s="48">
        <f>('Sheet1 (2)'!D144-'Sheet1 (2)'!D$526)/'Sheet1 (2)'!D$527</f>
        <v>-0.4704097020702403</v>
      </c>
      <c r="E144" s="48">
        <f>('Sheet1 (2)'!E144-'Sheet1 (2)'!E$526)/'Sheet1 (2)'!E$527</f>
        <v>-0.48605141782785605</v>
      </c>
      <c r="F144" s="48">
        <f>('Sheet1 (2)'!F144-'Sheet1 (2)'!F$526)/'Sheet1 (2)'!F$527</f>
        <v>-1.1978791963165167</v>
      </c>
      <c r="G144" s="48">
        <f>('Sheet1 (2)'!G144-'Sheet1 (2)'!G$526)/'Sheet1 (2)'!G$527</f>
        <v>-0.50144115274505707</v>
      </c>
      <c r="H144" s="48">
        <f>('Sheet1 (2)'!H144-'Sheet1 (2)'!H$526)/'Sheet1 (2)'!H$527</f>
        <v>0.12944783255784026</v>
      </c>
      <c r="I144" s="48">
        <f>('Sheet1 (2)'!I144-'Sheet1 (2)'!I$526)/'Sheet1 (2)'!I$527</f>
        <v>0.66169733204955861</v>
      </c>
      <c r="J144" s="48">
        <f>('Sheet1 (2)'!J144-'Sheet1 (2)'!J$526)/'Sheet1 (2)'!J$527</f>
        <v>-0.83145061359449712</v>
      </c>
      <c r="K144" s="48">
        <f>('Sheet1 (2)'!K144-'Sheet1 (2)'!K$526)/'Sheet1 (2)'!K$527</f>
        <v>0.92376993247640027</v>
      </c>
    </row>
    <row r="145" spans="1:11" ht="12.75" x14ac:dyDescent="0.2">
      <c r="A145" s="51">
        <v>9</v>
      </c>
      <c r="B145" s="48">
        <f>('Sheet1 (2)'!B145-'Sheet1 (2)'!B$526)/'Sheet1 (2)'!B$527</f>
        <v>1.1794716518179513E-2</v>
      </c>
      <c r="C145" s="48">
        <f>('Sheet1 (2)'!C145-'Sheet1 (2)'!C$526)/'Sheet1 (2)'!C$527</f>
        <v>0.7146601696820325</v>
      </c>
      <c r="D145" s="48">
        <f>('Sheet1 (2)'!D145-'Sheet1 (2)'!D$526)/'Sheet1 (2)'!D$527</f>
        <v>-0.4704097020702403</v>
      </c>
      <c r="E145" s="48">
        <f>('Sheet1 (2)'!E145-'Sheet1 (2)'!E$526)/'Sheet1 (2)'!E$527</f>
        <v>-0.633098962692763</v>
      </c>
      <c r="F145" s="48">
        <f>('Sheet1 (2)'!F145-'Sheet1 (2)'!F$526)/'Sheet1 (2)'!F$527</f>
        <v>-1.1978791963165167</v>
      </c>
      <c r="G145" s="48">
        <f>('Sheet1 (2)'!G145-'Sheet1 (2)'!G$526)/'Sheet1 (2)'!G$527</f>
        <v>-0.50144115274505707</v>
      </c>
      <c r="H145" s="48">
        <f>('Sheet1 (2)'!H145-'Sheet1 (2)'!H$526)/'Sheet1 (2)'!H$527</f>
        <v>-2.5729701989108598E-2</v>
      </c>
      <c r="I145" s="48">
        <f>('Sheet1 (2)'!I145-'Sheet1 (2)'!I$526)/'Sheet1 (2)'!I$527</f>
        <v>-0.19369709708087809</v>
      </c>
      <c r="J145" s="48">
        <f>('Sheet1 (2)'!J145-'Sheet1 (2)'!J$526)/'Sheet1 (2)'!J$527</f>
        <v>1.1118606185126181</v>
      </c>
      <c r="K145" s="48">
        <f>('Sheet1 (2)'!K145-'Sheet1 (2)'!K$526)/'Sheet1 (2)'!K$527</f>
        <v>0.98793724033759223</v>
      </c>
    </row>
    <row r="146" spans="1:11" ht="12.75" x14ac:dyDescent="0.2">
      <c r="A146" s="48">
        <v>9</v>
      </c>
      <c r="B146" s="48">
        <f>('Sheet1 (2)'!B146-'Sheet1 (2)'!B$526)/'Sheet1 (2)'!B$527</f>
        <v>1.2478810076233939</v>
      </c>
      <c r="C146" s="48">
        <f>('Sheet1 (2)'!C146-'Sheet1 (2)'!C$526)/'Sheet1 (2)'!C$527</f>
        <v>-0.93146266936608313</v>
      </c>
      <c r="D146" s="48">
        <f>('Sheet1 (2)'!D146-'Sheet1 (2)'!D$526)/'Sheet1 (2)'!D$527</f>
        <v>-0.4704097020702403</v>
      </c>
      <c r="E146" s="48">
        <f>('Sheet1 (2)'!E146-'Sheet1 (2)'!E$526)/'Sheet1 (2)'!E$527</f>
        <v>-0.1528968239933014</v>
      </c>
      <c r="F146" s="48">
        <f>('Sheet1 (2)'!F146-'Sheet1 (2)'!F$526)/'Sheet1 (2)'!F$527</f>
        <v>1.2684811135846812</v>
      </c>
      <c r="G146" s="48">
        <f>('Sheet1 (2)'!G146-'Sheet1 (2)'!G$526)/'Sheet1 (2)'!G$527</f>
        <v>-0.50144115274505707</v>
      </c>
      <c r="H146" s="48">
        <f>('Sheet1 (2)'!H146-'Sheet1 (2)'!H$526)/'Sheet1 (2)'!H$527</f>
        <v>-0.59440181520573732</v>
      </c>
      <c r="I146" s="48">
        <f>('Sheet1 (2)'!I146-'Sheet1 (2)'!I$526)/'Sheet1 (2)'!I$527</f>
        <v>0.65325952524266462</v>
      </c>
      <c r="J146" s="48">
        <f>('Sheet1 (2)'!J146-'Sheet1 (2)'!J$526)/'Sheet1 (2)'!J$527</f>
        <v>-0.83945425120312078</v>
      </c>
      <c r="K146" s="48">
        <f>('Sheet1 (2)'!K146-'Sheet1 (2)'!K$526)/'Sheet1 (2)'!K$527</f>
        <v>0.71032205167868612</v>
      </c>
    </row>
    <row r="147" spans="1:11" ht="12.75" x14ac:dyDescent="0.2">
      <c r="A147" s="49">
        <v>9</v>
      </c>
      <c r="B147" s="48">
        <f>('Sheet1 (2)'!B147-'Sheet1 (2)'!B$526)/'Sheet1 (2)'!B$527</f>
        <v>1.2478810076233939</v>
      </c>
      <c r="C147" s="48">
        <f>('Sheet1 (2)'!C147-'Sheet1 (2)'!C$526)/'Sheet1 (2)'!C$527</f>
        <v>-1.4281361291118773</v>
      </c>
      <c r="D147" s="48">
        <f>('Sheet1 (2)'!D147-'Sheet1 (2)'!D$526)/'Sheet1 (2)'!D$527</f>
        <v>-0.4704097020702403</v>
      </c>
      <c r="E147" s="48">
        <f>('Sheet1 (2)'!E147-'Sheet1 (2)'!E$526)/'Sheet1 (2)'!E$527</f>
        <v>-8.8563523114904563E-2</v>
      </c>
      <c r="F147" s="48">
        <f>('Sheet1 (2)'!F147-'Sheet1 (2)'!F$526)/'Sheet1 (2)'!F$527</f>
        <v>3.5300958634082259E-2</v>
      </c>
      <c r="G147" s="48">
        <f>('Sheet1 (2)'!G147-'Sheet1 (2)'!G$526)/'Sheet1 (2)'!G$527</f>
        <v>3.4421782837028334</v>
      </c>
      <c r="H147" s="48">
        <f>('Sheet1 (2)'!H147-'Sheet1 (2)'!H$526)/'Sheet1 (2)'!H$527</f>
        <v>-1.368063746586252</v>
      </c>
      <c r="I147" s="48">
        <f>('Sheet1 (2)'!I147-'Sheet1 (2)'!I$526)/'Sheet1 (2)'!I$527</f>
        <v>-1.5802301812421866</v>
      </c>
      <c r="J147" s="48">
        <f>('Sheet1 (2)'!J147-'Sheet1 (2)'!J$526)/'Sheet1 (2)'!J$527</f>
        <v>-0.61695392967530771</v>
      </c>
      <c r="K147" s="48">
        <f>('Sheet1 (2)'!K147-'Sheet1 (2)'!K$526)/'Sheet1 (2)'!K$527</f>
        <v>1.8523897884476634</v>
      </c>
    </row>
    <row r="148" spans="1:11" ht="12.75" x14ac:dyDescent="0.2">
      <c r="A148" s="50">
        <v>9</v>
      </c>
      <c r="B148" s="48">
        <f>('Sheet1 (2)'!B148-'Sheet1 (2)'!B$526)/'Sheet1 (2)'!B$527</f>
        <v>1.2478810076233939</v>
      </c>
      <c r="C148" s="48">
        <f>('Sheet1 (2)'!C148-'Sheet1 (2)'!C$526)/'Sheet1 (2)'!C$527</f>
        <v>-1.2718539934317599</v>
      </c>
      <c r="D148" s="48">
        <f>('Sheet1 (2)'!D148-'Sheet1 (2)'!D$526)/'Sheet1 (2)'!D$527</f>
        <v>1.4257032508898051</v>
      </c>
      <c r="E148" s="48">
        <f>('Sheet1 (2)'!E148-'Sheet1 (2)'!E$526)/'Sheet1 (2)'!E$527</f>
        <v>-0.88813454831783589</v>
      </c>
      <c r="F148" s="48">
        <f>('Sheet1 (2)'!F148-'Sheet1 (2)'!F$526)/'Sheet1 (2)'!F$527</f>
        <v>3.5300958634082259E-2</v>
      </c>
      <c r="G148" s="48">
        <f>('Sheet1 (2)'!G148-'Sheet1 (2)'!G$526)/'Sheet1 (2)'!G$527</f>
        <v>0.84934397180225119</v>
      </c>
      <c r="H148" s="48">
        <f>('Sheet1 (2)'!H148-'Sheet1 (2)'!H$526)/'Sheet1 (2)'!H$527</f>
        <v>-0.8078161513023866</v>
      </c>
      <c r="I148" s="48">
        <f>('Sheet1 (2)'!I148-'Sheet1 (2)'!I$526)/'Sheet1 (2)'!I$527</f>
        <v>-0.83850406649276332</v>
      </c>
      <c r="J148" s="48">
        <f>('Sheet1 (2)'!J148-'Sheet1 (2)'!J$526)/'Sheet1 (2)'!J$527</f>
        <v>0.96446030091101098</v>
      </c>
      <c r="K148" s="48">
        <f>('Sheet1 (2)'!K148-'Sheet1 (2)'!K$526)/'Sheet1 (2)'!K$527</f>
        <v>1.4348916579502558</v>
      </c>
    </row>
    <row r="149" spans="1:11" ht="12.75" x14ac:dyDescent="0.2">
      <c r="A149" s="49">
        <v>9</v>
      </c>
      <c r="B149" s="48">
        <f>('Sheet1 (2)'!B149-'Sheet1 (2)'!B$526)/'Sheet1 (2)'!B$527</f>
        <v>1.2478810076233939</v>
      </c>
      <c r="C149" s="48">
        <f>('Sheet1 (2)'!C149-'Sheet1 (2)'!C$526)/'Sheet1 (2)'!C$527</f>
        <v>-0.35393678792687849</v>
      </c>
      <c r="D149" s="48">
        <f>('Sheet1 (2)'!D149-'Sheet1 (2)'!D$526)/'Sheet1 (2)'!D$527</f>
        <v>1.4257032508898051</v>
      </c>
      <c r="E149" s="48">
        <f>('Sheet1 (2)'!E149-'Sheet1 (2)'!E$526)/'Sheet1 (2)'!E$527</f>
        <v>-0.61471801958464967</v>
      </c>
      <c r="F149" s="48">
        <f>('Sheet1 (2)'!F149-'Sheet1 (2)'!F$526)/'Sheet1 (2)'!F$527</f>
        <v>-1.1978791963165167</v>
      </c>
      <c r="G149" s="48">
        <f>('Sheet1 (2)'!G149-'Sheet1 (2)'!G$526)/'Sheet1 (2)'!G$527</f>
        <v>-0.1674664885062401</v>
      </c>
      <c r="H149" s="48">
        <f>('Sheet1 (2)'!H149-'Sheet1 (2)'!H$526)/'Sheet1 (2)'!H$527</f>
        <v>-0.18407569324795833</v>
      </c>
      <c r="I149" s="48">
        <f>('Sheet1 (2)'!I149-'Sheet1 (2)'!I$526)/'Sheet1 (2)'!I$527</f>
        <v>-0.14009777915824667</v>
      </c>
      <c r="J149" s="48">
        <f>('Sheet1 (2)'!J149-'Sheet1 (2)'!J$526)/'Sheet1 (2)'!J$527</f>
        <v>0.51009595714031719</v>
      </c>
      <c r="K149" s="48">
        <f>('Sheet1 (2)'!K149-'Sheet1 (2)'!K$526)/'Sheet1 (2)'!K$527</f>
        <v>1.5795809064584385</v>
      </c>
    </row>
    <row r="150" spans="1:11" ht="12.75" x14ac:dyDescent="0.2">
      <c r="A150" s="53">
        <v>9</v>
      </c>
      <c r="B150" s="48">
        <f>('Sheet1 (2)'!B150-'Sheet1 (2)'!B$526)/'Sheet1 (2)'!B$527</f>
        <v>1.2478810076233939</v>
      </c>
      <c r="C150" s="48">
        <f>('Sheet1 (2)'!C150-'Sheet1 (2)'!C$526)/'Sheet1 (2)'!C$527</f>
        <v>-1.3567922225939304</v>
      </c>
      <c r="D150" s="48">
        <f>('Sheet1 (2)'!D150-'Sheet1 (2)'!D$526)/'Sheet1 (2)'!D$527</f>
        <v>1.4257032508898051</v>
      </c>
      <c r="E150" s="48">
        <f>('Sheet1 (2)'!E150-'Sheet1 (2)'!E$526)/'Sheet1 (2)'!E$527</f>
        <v>0.52030521734135049</v>
      </c>
      <c r="F150" s="48">
        <f>('Sheet1 (2)'!F150-'Sheet1 (2)'!F$526)/'Sheet1 (2)'!F$527</f>
        <v>-1.1978791963165167</v>
      </c>
      <c r="G150" s="48">
        <f>('Sheet1 (2)'!G150-'Sheet1 (2)'!G$526)/'Sheet1 (2)'!G$527</f>
        <v>3.4900738750859195</v>
      </c>
      <c r="H150" s="48">
        <f>('Sheet1 (2)'!H150-'Sheet1 (2)'!H$526)/'Sheet1 (2)'!H$527</f>
        <v>-1.0631861235910383</v>
      </c>
      <c r="I150" s="48">
        <f>('Sheet1 (2)'!I150-'Sheet1 (2)'!I$526)/'Sheet1 (2)'!I$527</f>
        <v>0.46386121003330422</v>
      </c>
      <c r="J150" s="48">
        <f>('Sheet1 (2)'!J150-'Sheet1 (2)'!J$526)/'Sheet1 (2)'!J$527</f>
        <v>1.0934330998373218</v>
      </c>
      <c r="K150" s="48">
        <f>('Sheet1 (2)'!K150-'Sheet1 (2)'!K$526)/'Sheet1 (2)'!K$527</f>
        <v>0.49912967031580979</v>
      </c>
    </row>
    <row r="151" spans="1:11" ht="12.75" x14ac:dyDescent="0.2">
      <c r="A151" s="52">
        <v>10</v>
      </c>
      <c r="B151" s="48">
        <f>('Sheet1 (2)'!B151-'Sheet1 (2)'!B$526)/'Sheet1 (2)'!B$527</f>
        <v>-1.2242915745870349</v>
      </c>
      <c r="C151" s="48">
        <f>('Sheet1 (2)'!C151-'Sheet1 (2)'!C$526)/'Sheet1 (2)'!C$527</f>
        <v>-0.34814605712096813</v>
      </c>
      <c r="D151" s="48">
        <f>('Sheet1 (2)'!D151-'Sheet1 (2)'!D$526)/'Sheet1 (2)'!D$527</f>
        <v>-0.4704097020702403</v>
      </c>
      <c r="E151" s="48">
        <f>('Sheet1 (2)'!E151-'Sheet1 (2)'!E$526)/'Sheet1 (2)'!E$527</f>
        <v>0.41691241235821297</v>
      </c>
      <c r="F151" s="48">
        <f>('Sheet1 (2)'!F151-'Sheet1 (2)'!F$526)/'Sheet1 (2)'!F$527</f>
        <v>1.2684811135846812</v>
      </c>
      <c r="G151" s="48">
        <f>('Sheet1 (2)'!G151-'Sheet1 (2)'!G$526)/'Sheet1 (2)'!G$527</f>
        <v>-0.35840161631719164</v>
      </c>
      <c r="H151" s="48">
        <f>('Sheet1 (2)'!H151-'Sheet1 (2)'!H$526)/'Sheet1 (2)'!H$527</f>
        <v>-0.20057824348347914</v>
      </c>
      <c r="I151" s="48">
        <f>('Sheet1 (2)'!I151-'Sheet1 (2)'!I$526)/'Sheet1 (2)'!I$527</f>
        <v>0.70262397973872137</v>
      </c>
      <c r="J151" s="48">
        <f>('Sheet1 (2)'!J151-'Sheet1 (2)'!J$526)/'Sheet1 (2)'!J$527</f>
        <v>2.2849395896881619</v>
      </c>
      <c r="K151" s="48">
        <f>('Sheet1 (2)'!K151-'Sheet1 (2)'!K$526)/'Sheet1 (2)'!K$527</f>
        <v>1.0223924960542552</v>
      </c>
    </row>
    <row r="152" spans="1:11" ht="12.75" x14ac:dyDescent="0.2">
      <c r="A152" s="50">
        <v>10</v>
      </c>
      <c r="B152" s="48">
        <f>('Sheet1 (2)'!B152-'Sheet1 (2)'!B$526)/'Sheet1 (2)'!B$527</f>
        <v>-1.2242915745870349</v>
      </c>
      <c r="C152" s="48">
        <f>('Sheet1 (2)'!C152-'Sheet1 (2)'!C$526)/'Sheet1 (2)'!C$527</f>
        <v>-0.39149392073485728</v>
      </c>
      <c r="D152" s="48">
        <f>('Sheet1 (2)'!D152-'Sheet1 (2)'!D$526)/'Sheet1 (2)'!D$527</f>
        <v>-0.4704097020702403</v>
      </c>
      <c r="E152" s="48">
        <f>('Sheet1 (2)'!E152-'Sheet1 (2)'!E$526)/'Sheet1 (2)'!E$527</f>
        <v>-0.21723012487169802</v>
      </c>
      <c r="F152" s="48">
        <f>('Sheet1 (2)'!F152-'Sheet1 (2)'!F$526)/'Sheet1 (2)'!F$527</f>
        <v>3.5300958634082259E-2</v>
      </c>
      <c r="G152" s="48">
        <f>('Sheet1 (2)'!G152-'Sheet1 (2)'!G$526)/'Sheet1 (2)'!G$527</f>
        <v>6.640458548491943E-3</v>
      </c>
      <c r="H152" s="48">
        <f>('Sheet1 (2)'!H152-'Sheet1 (2)'!H$526)/'Sheet1 (2)'!H$527</f>
        <v>-0.14715473339899701</v>
      </c>
      <c r="I152" s="48">
        <f>('Sheet1 (2)'!I152-'Sheet1 (2)'!I$526)/'Sheet1 (2)'!I$527</f>
        <v>-0.59923757786391685</v>
      </c>
      <c r="J152" s="48">
        <f>('Sheet1 (2)'!J152-'Sheet1 (2)'!J$526)/'Sheet1 (2)'!J$527</f>
        <v>-0.42135701081622079</v>
      </c>
      <c r="K152" s="48">
        <f>('Sheet1 (2)'!K152-'Sheet1 (2)'!K$526)/'Sheet1 (2)'!K$527</f>
        <v>-0.39972981876666458</v>
      </c>
    </row>
    <row r="153" spans="1:11" ht="12.75" x14ac:dyDescent="0.2">
      <c r="A153" s="49">
        <v>10</v>
      </c>
      <c r="B153" s="48">
        <f>('Sheet1 (2)'!B153-'Sheet1 (2)'!B$526)/'Sheet1 (2)'!B$527</f>
        <v>-1.2242915745870349</v>
      </c>
      <c r="C153" s="48">
        <f>('Sheet1 (2)'!C153-'Sheet1 (2)'!C$526)/'Sheet1 (2)'!C$527</f>
        <v>-1.4795636800148209E-3</v>
      </c>
      <c r="D153" s="48">
        <f>('Sheet1 (2)'!D153-'Sheet1 (2)'!D$526)/'Sheet1 (2)'!D$527</f>
        <v>-0.4704097020702403</v>
      </c>
      <c r="E153" s="48">
        <f>('Sheet1 (2)'!E153-'Sheet1 (2)'!E$526)/'Sheet1 (2)'!E$527</f>
        <v>-0.18506347443249971</v>
      </c>
      <c r="F153" s="48">
        <f>('Sheet1 (2)'!F153-'Sheet1 (2)'!F$526)/'Sheet1 (2)'!F$527</f>
        <v>3.5300958634082259E-2</v>
      </c>
      <c r="G153" s="48">
        <f>('Sheet1 (2)'!G153-'Sheet1 (2)'!G$526)/'Sheet1 (2)'!G$527</f>
        <v>-0.50144115274505707</v>
      </c>
      <c r="H153" s="48">
        <f>('Sheet1 (2)'!H153-'Sheet1 (2)'!H$526)/'Sheet1 (2)'!H$527</f>
        <v>-0.750756486081264</v>
      </c>
      <c r="I153" s="48">
        <f>('Sheet1 (2)'!I153-'Sheet1 (2)'!I$526)/'Sheet1 (2)'!I$527</f>
        <v>-8.141452457875073E-2</v>
      </c>
      <c r="J153" s="48">
        <f>('Sheet1 (2)'!J153-'Sheet1 (2)'!J$526)/'Sheet1 (2)'!J$527</f>
        <v>-0.83945425120312078</v>
      </c>
      <c r="K153" s="48">
        <f>('Sheet1 (2)'!K153-'Sheet1 (2)'!K$526)/'Sheet1 (2)'!K$527</f>
        <v>1.3732751573239059</v>
      </c>
    </row>
    <row r="154" spans="1:11" ht="12.75" x14ac:dyDescent="0.2">
      <c r="A154" s="50">
        <v>10</v>
      </c>
      <c r="B154" s="48">
        <f>('Sheet1 (2)'!B154-'Sheet1 (2)'!B$526)/'Sheet1 (2)'!B$527</f>
        <v>-1.2242915745870349</v>
      </c>
      <c r="C154" s="48">
        <f>('Sheet1 (2)'!C154-'Sheet1 (2)'!C$526)/'Sheet1 (2)'!C$527</f>
        <v>-0.21531976100875683</v>
      </c>
      <c r="D154" s="48">
        <f>('Sheet1 (2)'!D154-'Sheet1 (2)'!D$526)/'Sheet1 (2)'!D$527</f>
        <v>-0.4704097020702403</v>
      </c>
      <c r="E154" s="48">
        <f>('Sheet1 (2)'!E154-'Sheet1 (2)'!E$526)/'Sheet1 (2)'!E$527</f>
        <v>-0.39644432017580339</v>
      </c>
      <c r="F154" s="48">
        <f>('Sheet1 (2)'!F154-'Sheet1 (2)'!F$526)/'Sheet1 (2)'!F$527</f>
        <v>-1.1978791963165167</v>
      </c>
      <c r="G154" s="48">
        <f>('Sheet1 (2)'!G154-'Sheet1 (2)'!G$526)/'Sheet1 (2)'!G$527</f>
        <v>-0.50144115274505707</v>
      </c>
      <c r="H154" s="48">
        <f>('Sheet1 (2)'!H154-'Sheet1 (2)'!H$526)/'Sheet1 (2)'!H$527</f>
        <v>-0.60279294244413695</v>
      </c>
      <c r="I154" s="48">
        <f>('Sheet1 (2)'!I154-'Sheet1 (2)'!I$526)/'Sheet1 (2)'!I$527</f>
        <v>0.57291635695571508</v>
      </c>
      <c r="J154" s="48">
        <f>('Sheet1 (2)'!J154-'Sheet1 (2)'!J$526)/'Sheet1 (2)'!J$527</f>
        <v>-0.59392475557891466</v>
      </c>
      <c r="K154" s="48">
        <f>('Sheet1 (2)'!K154-'Sheet1 (2)'!K$526)/'Sheet1 (2)'!K$527</f>
        <v>0.14375355412354504</v>
      </c>
    </row>
    <row r="155" spans="1:11" ht="12.75" x14ac:dyDescent="0.2">
      <c r="A155" s="51">
        <v>10</v>
      </c>
      <c r="B155" s="48">
        <f>('Sheet1 (2)'!B155-'Sheet1 (2)'!B$526)/'Sheet1 (2)'!B$527</f>
        <v>-1.2242915745870349</v>
      </c>
      <c r="C155" s="48">
        <f>('Sheet1 (2)'!C155-'Sheet1 (2)'!C$526)/'Sheet1 (2)'!C$527</f>
        <v>-0.6843952436516787</v>
      </c>
      <c r="D155" s="48">
        <f>('Sheet1 (2)'!D155-'Sheet1 (2)'!D$526)/'Sheet1 (2)'!D$527</f>
        <v>-0.4704097020702403</v>
      </c>
      <c r="E155" s="48">
        <f>('Sheet1 (2)'!E155-'Sheet1 (2)'!E$526)/'Sheet1 (2)'!E$527</f>
        <v>-0.72730129612184402</v>
      </c>
      <c r="F155" s="48">
        <f>('Sheet1 (2)'!F155-'Sheet1 (2)'!F$526)/'Sheet1 (2)'!F$527</f>
        <v>-1.1978791963165167</v>
      </c>
      <c r="G155" s="48">
        <f>('Sheet1 (2)'!G155-'Sheet1 (2)'!G$526)/'Sheet1 (2)'!G$527</f>
        <v>-3.6077231063449747E-2</v>
      </c>
      <c r="H155" s="48">
        <f>('Sheet1 (2)'!H155-'Sheet1 (2)'!H$526)/'Sheet1 (2)'!H$527</f>
        <v>-0.46909431511229155</v>
      </c>
      <c r="I155" s="48">
        <f>('Sheet1 (2)'!I155-'Sheet1 (2)'!I$526)/'Sheet1 (2)'!I$527</f>
        <v>-1.0049831706860974</v>
      </c>
      <c r="J155" s="48">
        <f>('Sheet1 (2)'!J155-'Sheet1 (2)'!J$526)/'Sheet1 (2)'!J$527</f>
        <v>-0.23711599570304726</v>
      </c>
      <c r="K155" s="48">
        <f>('Sheet1 (2)'!K155-'Sheet1 (2)'!K$526)/'Sheet1 (2)'!K$527</f>
        <v>-0.48499312592327248</v>
      </c>
    </row>
    <row r="156" spans="1:11" ht="12.75" x14ac:dyDescent="0.2">
      <c r="A156" s="48">
        <v>10</v>
      </c>
      <c r="B156" s="48">
        <f>('Sheet1 (2)'!B156-'Sheet1 (2)'!B$526)/'Sheet1 (2)'!B$527</f>
        <v>1.1794716518179513E-2</v>
      </c>
      <c r="C156" s="48">
        <f>('Sheet1 (2)'!C156-'Sheet1 (2)'!C$526)/'Sheet1 (2)'!C$527</f>
        <v>-0.34255449878085775</v>
      </c>
      <c r="D156" s="48">
        <f>('Sheet1 (2)'!D156-'Sheet1 (2)'!D$526)/'Sheet1 (2)'!D$527</f>
        <v>1.4257032508898051</v>
      </c>
      <c r="E156" s="48">
        <f>('Sheet1 (2)'!E156-'Sheet1 (2)'!E$526)/'Sheet1 (2)'!E$527</f>
        <v>1.4508404621895896</v>
      </c>
      <c r="F156" s="48">
        <f>('Sheet1 (2)'!F156-'Sheet1 (2)'!F$526)/'Sheet1 (2)'!F$527</f>
        <v>1.2684811135846812</v>
      </c>
      <c r="G156" s="48">
        <f>('Sheet1 (2)'!G156-'Sheet1 (2)'!G$526)/'Sheet1 (2)'!G$527</f>
        <v>-0.50144115274505707</v>
      </c>
      <c r="H156" s="48">
        <f>('Sheet1 (2)'!H156-'Sheet1 (2)'!H$526)/'Sheet1 (2)'!H$527</f>
        <v>-0.34011081213414718</v>
      </c>
      <c r="I156" s="48">
        <f>('Sheet1 (2)'!I156-'Sheet1 (2)'!I$526)/'Sheet1 (2)'!I$527</f>
        <v>0.62707082133822745</v>
      </c>
      <c r="J156" s="48">
        <f>('Sheet1 (2)'!J156-'Sheet1 (2)'!J$526)/'Sheet1 (2)'!J$527</f>
        <v>-0.5151906718160213</v>
      </c>
      <c r="K156" s="48">
        <f>('Sheet1 (2)'!K156-'Sheet1 (2)'!K$526)/'Sheet1 (2)'!K$527</f>
        <v>1.915037572542913</v>
      </c>
    </row>
    <row r="157" spans="1:11" ht="12.75" x14ac:dyDescent="0.2">
      <c r="A157" s="49">
        <v>10</v>
      </c>
      <c r="B157" s="48">
        <f>('Sheet1 (2)'!B157-'Sheet1 (2)'!B$526)/'Sheet1 (2)'!B$527</f>
        <v>1.1794716518179513E-2</v>
      </c>
      <c r="C157" s="48">
        <f>('Sheet1 (2)'!C157-'Sheet1 (2)'!C$526)/'Sheet1 (2)'!C$527</f>
        <v>0.32319120065882467</v>
      </c>
      <c r="D157" s="48">
        <f>('Sheet1 (2)'!D157-'Sheet1 (2)'!D$526)/'Sheet1 (2)'!D$527</f>
        <v>3.3218162038498509</v>
      </c>
      <c r="E157" s="48">
        <f>('Sheet1 (2)'!E157-'Sheet1 (2)'!E$526)/'Sheet1 (2)'!E$527</f>
        <v>1.9655068692167639</v>
      </c>
      <c r="F157" s="48">
        <f>('Sheet1 (2)'!F157-'Sheet1 (2)'!F$526)/'Sheet1 (2)'!F$527</f>
        <v>3.5300958634082259E-2</v>
      </c>
      <c r="G157" s="48">
        <f>('Sheet1 (2)'!G157-'Sheet1 (2)'!G$526)/'Sheet1 (2)'!G$527</f>
        <v>-0.50144115274505707</v>
      </c>
      <c r="H157" s="48">
        <f>('Sheet1 (2)'!H157-'Sheet1 (2)'!H$526)/'Sheet1 (2)'!H$527</f>
        <v>-0.37353036768534831</v>
      </c>
      <c r="I157" s="48">
        <f>('Sheet1 (2)'!I157-'Sheet1 (2)'!I$526)/'Sheet1 (2)'!I$527</f>
        <v>5.1510936502445516E-2</v>
      </c>
      <c r="J157" s="48">
        <f>('Sheet1 (2)'!J157-'Sheet1 (2)'!J$526)/'Sheet1 (2)'!J$527</f>
        <v>1.1652735141944497</v>
      </c>
      <c r="K157" s="48">
        <f>('Sheet1 (2)'!K157-'Sheet1 (2)'!K$526)/'Sheet1 (2)'!K$527</f>
        <v>1.0702865249944888</v>
      </c>
    </row>
    <row r="158" spans="1:11" ht="12.75" x14ac:dyDescent="0.2">
      <c r="A158" s="50">
        <v>10</v>
      </c>
      <c r="B158" s="48">
        <f>('Sheet1 (2)'!B158-'Sheet1 (2)'!B$526)/'Sheet1 (2)'!B$527</f>
        <v>1.1794716518179513E-2</v>
      </c>
      <c r="C158" s="48">
        <f>('Sheet1 (2)'!C158-'Sheet1 (2)'!C$526)/'Sheet1 (2)'!C$527</f>
        <v>0.27161495783834982</v>
      </c>
      <c r="D158" s="48">
        <f>('Sheet1 (2)'!D158-'Sheet1 (2)'!D$526)/'Sheet1 (2)'!D$527</f>
        <v>-0.4704097020702403</v>
      </c>
      <c r="E158" s="48">
        <f>('Sheet1 (2)'!E158-'Sheet1 (2)'!E$526)/'Sheet1 (2)'!E$527</f>
        <v>0.63059087599003072</v>
      </c>
      <c r="F158" s="48">
        <f>('Sheet1 (2)'!F158-'Sheet1 (2)'!F$526)/'Sheet1 (2)'!F$527</f>
        <v>3.5300958634082259E-2</v>
      </c>
      <c r="G158" s="48">
        <f>('Sheet1 (2)'!G158-'Sheet1 (2)'!G$526)/'Sheet1 (2)'!G$527</f>
        <v>-0.50144115274505707</v>
      </c>
      <c r="H158" s="48">
        <f>('Sheet1 (2)'!H158-'Sheet1 (2)'!H$526)/'Sheet1 (2)'!H$527</f>
        <v>-0.13462117287215711</v>
      </c>
      <c r="I158" s="48">
        <f>('Sheet1 (2)'!I158-'Sheet1 (2)'!I$526)/'Sheet1 (2)'!I$527</f>
        <v>0.56353671539184857</v>
      </c>
      <c r="J158" s="48">
        <f>('Sheet1 (2)'!J158-'Sheet1 (2)'!J$526)/'Sheet1 (2)'!J$527</f>
        <v>-0.591583341216807</v>
      </c>
      <c r="K158" s="48">
        <f>('Sheet1 (2)'!K158-'Sheet1 (2)'!K$526)/'Sheet1 (2)'!K$527</f>
        <v>0.85114524352126142</v>
      </c>
    </row>
    <row r="159" spans="1:11" ht="12.75" x14ac:dyDescent="0.2">
      <c r="A159" s="49">
        <v>10</v>
      </c>
      <c r="B159" s="48">
        <f>('Sheet1 (2)'!B159-'Sheet1 (2)'!B$526)/'Sheet1 (2)'!B$527</f>
        <v>1.1794716518179513E-2</v>
      </c>
      <c r="C159" s="48">
        <f>('Sheet1 (2)'!C159-'Sheet1 (2)'!C$526)/'Sheet1 (2)'!C$527</f>
        <v>0.27830694644269383</v>
      </c>
      <c r="D159" s="48">
        <f>('Sheet1 (2)'!D159-'Sheet1 (2)'!D$526)/'Sheet1 (2)'!D$527</f>
        <v>-0.4704097020702403</v>
      </c>
      <c r="E159" s="48">
        <f>('Sheet1 (2)'!E159-'Sheet1 (2)'!E$526)/'Sheet1 (2)'!E$527</f>
        <v>-0.52281330404408277</v>
      </c>
      <c r="F159" s="48">
        <f>('Sheet1 (2)'!F159-'Sheet1 (2)'!F$526)/'Sheet1 (2)'!F$527</f>
        <v>-1.1978791963165167</v>
      </c>
      <c r="G159" s="48">
        <f>('Sheet1 (2)'!G159-'Sheet1 (2)'!G$526)/'Sheet1 (2)'!G$527</f>
        <v>-0.43981414360583715</v>
      </c>
      <c r="H159" s="48">
        <f>('Sheet1 (2)'!H159-'Sheet1 (2)'!H$526)/'Sheet1 (2)'!H$527</f>
        <v>-0.3704418784581659</v>
      </c>
      <c r="I159" s="48">
        <f>('Sheet1 (2)'!I159-'Sheet1 (2)'!I$526)/'Sheet1 (2)'!I$527</f>
        <v>-8.8286665128741726E-2</v>
      </c>
      <c r="J159" s="48">
        <f>('Sheet1 (2)'!J159-'Sheet1 (2)'!J$526)/'Sheet1 (2)'!J$527</f>
        <v>2.3685622229058754</v>
      </c>
      <c r="K159" s="48">
        <f>('Sheet1 (2)'!K159-'Sheet1 (2)'!K$526)/'Sheet1 (2)'!K$527</f>
        <v>0.6319804201171304</v>
      </c>
    </row>
    <row r="160" spans="1:11" ht="12.75" x14ac:dyDescent="0.2">
      <c r="A160" s="53">
        <v>10</v>
      </c>
      <c r="B160" s="48">
        <f>('Sheet1 (2)'!B160-'Sheet1 (2)'!B$526)/'Sheet1 (2)'!B$527</f>
        <v>1.1794716518179513E-2</v>
      </c>
      <c r="C160" s="48">
        <f>('Sheet1 (2)'!C160-'Sheet1 (2)'!C$526)/'Sheet1 (2)'!C$527</f>
        <v>0.15956505876567054</v>
      </c>
      <c r="D160" s="48">
        <f>('Sheet1 (2)'!D160-'Sheet1 (2)'!D$526)/'Sheet1 (2)'!D$527</f>
        <v>-0.4704097020702403</v>
      </c>
      <c r="E160" s="48">
        <f>('Sheet1 (2)'!E160-'Sheet1 (2)'!E$526)/'Sheet1 (2)'!E$527</f>
        <v>-0.27926580786158073</v>
      </c>
      <c r="F160" s="48">
        <f>('Sheet1 (2)'!F160-'Sheet1 (2)'!F$526)/'Sheet1 (2)'!F$527</f>
        <v>-1.1978791963165167</v>
      </c>
      <c r="G160" s="48">
        <f>('Sheet1 (2)'!G160-'Sheet1 (2)'!G$526)/'Sheet1 (2)'!G$527</f>
        <v>-0.10834914029085291</v>
      </c>
      <c r="H160" s="48">
        <f>('Sheet1 (2)'!H160-'Sheet1 (2)'!H$526)/'Sheet1 (2)'!H$527</f>
        <v>-0.31780415826555836</v>
      </c>
      <c r="I160" s="48">
        <f>('Sheet1 (2)'!I160-'Sheet1 (2)'!I$526)/'Sheet1 (2)'!I$527</f>
        <v>0.64904239596251756</v>
      </c>
      <c r="J160" s="48">
        <f>('Sheet1 (2)'!J160-'Sheet1 (2)'!J$526)/'Sheet1 (2)'!J$527</f>
        <v>1.9166371459032885</v>
      </c>
      <c r="K160" s="48">
        <f>('Sheet1 (2)'!K160-'Sheet1 (2)'!K$526)/'Sheet1 (2)'!K$527</f>
        <v>0.26853278475898534</v>
      </c>
    </row>
    <row r="161" spans="1:11" ht="12.75" x14ac:dyDescent="0.2">
      <c r="A161" s="52">
        <v>10</v>
      </c>
      <c r="B161" s="48">
        <f>('Sheet1 (2)'!B161-'Sheet1 (2)'!B$526)/'Sheet1 (2)'!B$527</f>
        <v>1.2478810076233939</v>
      </c>
      <c r="C161" s="48">
        <f>('Sheet1 (2)'!C161-'Sheet1 (2)'!C$526)/'Sheet1 (2)'!C$527</f>
        <v>-4.1840200552214116E-2</v>
      </c>
      <c r="D161" s="48">
        <f>('Sheet1 (2)'!D161-'Sheet1 (2)'!D$526)/'Sheet1 (2)'!D$527</f>
        <v>-0.4704097020702403</v>
      </c>
      <c r="E161" s="48">
        <f>('Sheet1 (2)'!E161-'Sheet1 (2)'!E$526)/'Sheet1 (2)'!E$527</f>
        <v>0.29513866426696189</v>
      </c>
      <c r="F161" s="48">
        <f>('Sheet1 (2)'!F161-'Sheet1 (2)'!F$526)/'Sheet1 (2)'!F$527</f>
        <v>1.2684811135846812</v>
      </c>
      <c r="G161" s="48">
        <f>('Sheet1 (2)'!G161-'Sheet1 (2)'!G$526)/'Sheet1 (2)'!G$527</f>
        <v>-0.50144115274505707</v>
      </c>
      <c r="H161" s="48">
        <f>('Sheet1 (2)'!H161-'Sheet1 (2)'!H$526)/'Sheet1 (2)'!H$527</f>
        <v>0.27853360611831485</v>
      </c>
      <c r="I161" s="48">
        <f>('Sheet1 (2)'!I161-'Sheet1 (2)'!I$526)/'Sheet1 (2)'!I$527</f>
        <v>0.68202962529236799</v>
      </c>
      <c r="J161" s="48">
        <f>('Sheet1 (2)'!J161-'Sheet1 (2)'!J$526)/'Sheet1 (2)'!J$527</f>
        <v>-0.83945425120312078</v>
      </c>
      <c r="K161" s="48">
        <f>('Sheet1 (2)'!K161-'Sheet1 (2)'!K$526)/'Sheet1 (2)'!K$527</f>
        <v>-0.56087202529918967</v>
      </c>
    </row>
    <row r="162" spans="1:11" ht="12.75" x14ac:dyDescent="0.2">
      <c r="A162" s="50">
        <v>10</v>
      </c>
      <c r="B162" s="48">
        <f>('Sheet1 (2)'!B162-'Sheet1 (2)'!B$526)/'Sheet1 (2)'!B$527</f>
        <v>1.2478810076233939</v>
      </c>
      <c r="C162" s="48">
        <f>('Sheet1 (2)'!C162-'Sheet1 (2)'!C$526)/'Sheet1 (2)'!C$527</f>
        <v>-0.58424154142710738</v>
      </c>
      <c r="D162" s="48">
        <f>('Sheet1 (2)'!D162-'Sheet1 (2)'!D$526)/'Sheet1 (2)'!D$527</f>
        <v>-0.4704097020702403</v>
      </c>
      <c r="E162" s="48">
        <f>('Sheet1 (2)'!E162-'Sheet1 (2)'!E$526)/'Sheet1 (2)'!E$527</f>
        <v>-0.12532540933113132</v>
      </c>
      <c r="F162" s="48">
        <f>('Sheet1 (2)'!F162-'Sheet1 (2)'!F$526)/'Sheet1 (2)'!F$527</f>
        <v>3.5300958634082259E-2</v>
      </c>
      <c r="G162" s="48">
        <f>('Sheet1 (2)'!G162-'Sheet1 (2)'!G$526)/'Sheet1 (2)'!G$527</f>
        <v>0.62564865778540479</v>
      </c>
      <c r="H162" s="48">
        <f>('Sheet1 (2)'!H162-'Sheet1 (2)'!H$526)/'Sheet1 (2)'!H$527</f>
        <v>-0.40282592563979619</v>
      </c>
      <c r="I162" s="48">
        <f>('Sheet1 (2)'!I162-'Sheet1 (2)'!I$526)/'Sheet1 (2)'!I$527</f>
        <v>-1.1965319782224042</v>
      </c>
      <c r="J162" s="48">
        <f>('Sheet1 (2)'!J162-'Sheet1 (2)'!J$526)/'Sheet1 (2)'!J$527</f>
        <v>4.7603638216137334E-2</v>
      </c>
      <c r="K162" s="48">
        <f>('Sheet1 (2)'!K162-'Sheet1 (2)'!K$526)/'Sheet1 (2)'!K$527</f>
        <v>0.3056907565269944</v>
      </c>
    </row>
    <row r="163" spans="1:11" ht="12.75" x14ac:dyDescent="0.2">
      <c r="A163" s="49">
        <v>10</v>
      </c>
      <c r="B163" s="48">
        <f>('Sheet1 (2)'!B163-'Sheet1 (2)'!B$526)/'Sheet1 (2)'!B$527</f>
        <v>1.2478810076233939</v>
      </c>
      <c r="C163" s="48">
        <f>('Sheet1 (2)'!C163-'Sheet1 (2)'!C$526)/'Sheet1 (2)'!C$527</f>
        <v>-0.18029777005215439</v>
      </c>
      <c r="D163" s="48">
        <f>('Sheet1 (2)'!D163-'Sheet1 (2)'!D$526)/'Sheet1 (2)'!D$527</f>
        <v>-0.4704097020702403</v>
      </c>
      <c r="E163" s="48">
        <f>('Sheet1 (2)'!E163-'Sheet1 (2)'!E$526)/'Sheet1 (2)'!E$527</f>
        <v>-9.3158758891933022E-2</v>
      </c>
      <c r="F163" s="48">
        <f>('Sheet1 (2)'!F163-'Sheet1 (2)'!F$526)/'Sheet1 (2)'!F$527</f>
        <v>3.5300958634082259E-2</v>
      </c>
      <c r="G163" s="48">
        <f>('Sheet1 (2)'!G163-'Sheet1 (2)'!G$526)/'Sheet1 (2)'!G$527</f>
        <v>-0.50144115274505707</v>
      </c>
      <c r="H163" s="48">
        <f>('Sheet1 (2)'!H163-'Sheet1 (2)'!H$526)/'Sheet1 (2)'!H$527</f>
        <v>-0.68898488018011683</v>
      </c>
      <c r="I163" s="48">
        <f>('Sheet1 (2)'!I163-'Sheet1 (2)'!I$526)/'Sheet1 (2)'!I$527</f>
        <v>-0.3204485275506298</v>
      </c>
      <c r="J163" s="48">
        <f>('Sheet1 (2)'!J163-'Sheet1 (2)'!J$526)/'Sheet1 (2)'!J$527</f>
        <v>-0.64933609056545161</v>
      </c>
      <c r="K163" s="48">
        <f>('Sheet1 (2)'!K163-'Sheet1 (2)'!K$526)/'Sheet1 (2)'!K$527</f>
        <v>-0.37922411005250317</v>
      </c>
    </row>
    <row r="164" spans="1:11" ht="12.75" x14ac:dyDescent="0.2">
      <c r="A164" s="50">
        <v>10</v>
      </c>
      <c r="B164" s="48">
        <f>('Sheet1 (2)'!B164-'Sheet1 (2)'!B$526)/'Sheet1 (2)'!B$527</f>
        <v>1.2478810076233939</v>
      </c>
      <c r="C164" s="48">
        <f>('Sheet1 (2)'!C164-'Sheet1 (2)'!C$526)/'Sheet1 (2)'!C$527</f>
        <v>-0.20746677203546313</v>
      </c>
      <c r="D164" s="48">
        <f>('Sheet1 (2)'!D164-'Sheet1 (2)'!D$526)/'Sheet1 (2)'!D$527</f>
        <v>-0.4704097020702403</v>
      </c>
      <c r="E164" s="48">
        <f>('Sheet1 (2)'!E164-'Sheet1 (2)'!E$526)/'Sheet1 (2)'!E$527</f>
        <v>-0.45618238527717186</v>
      </c>
      <c r="F164" s="48">
        <f>('Sheet1 (2)'!F164-'Sheet1 (2)'!F$526)/'Sheet1 (2)'!F$527</f>
        <v>-1.1978791963165167</v>
      </c>
      <c r="G164" s="48">
        <f>('Sheet1 (2)'!G164-'Sheet1 (2)'!G$526)/'Sheet1 (2)'!G$527</f>
        <v>1.5054548926601729E-2</v>
      </c>
      <c r="H164" s="48">
        <f>('Sheet1 (2)'!H164-'Sheet1 (2)'!H$526)/'Sheet1 (2)'!H$527</f>
        <v>-0.64771774673588067</v>
      </c>
      <c r="I164" s="48">
        <f>('Sheet1 (2)'!I164-'Sheet1 (2)'!I$526)/'Sheet1 (2)'!I$527</f>
        <v>-1.0405728500068416</v>
      </c>
      <c r="J164" s="48">
        <f>('Sheet1 (2)'!J164-'Sheet1 (2)'!J$526)/'Sheet1 (2)'!J$527</f>
        <v>-0.70485211282296045</v>
      </c>
      <c r="K164" s="48">
        <f>('Sheet1 (2)'!K164-'Sheet1 (2)'!K$526)/'Sheet1 (2)'!K$527</f>
        <v>-0.30693997461467759</v>
      </c>
    </row>
    <row r="165" spans="1:11" ht="12.75" x14ac:dyDescent="0.2">
      <c r="A165" s="51">
        <v>10</v>
      </c>
      <c r="B165" s="48">
        <f>('Sheet1 (2)'!B165-'Sheet1 (2)'!B$526)/'Sheet1 (2)'!B$527</f>
        <v>1.2478810076233939</v>
      </c>
      <c r="C165" s="48">
        <f>('Sheet1 (2)'!C165-'Sheet1 (2)'!C$526)/'Sheet1 (2)'!C$527</f>
        <v>-1.1400777475280439</v>
      </c>
      <c r="D165" s="48">
        <f>('Sheet1 (2)'!D165-'Sheet1 (2)'!D$526)/'Sheet1 (2)'!D$527</f>
        <v>-0.4704097020702403</v>
      </c>
      <c r="E165" s="48">
        <f>('Sheet1 (2)'!E165-'Sheet1 (2)'!E$526)/'Sheet1 (2)'!E$527</f>
        <v>-0.32521816563186418</v>
      </c>
      <c r="F165" s="48">
        <f>('Sheet1 (2)'!F165-'Sheet1 (2)'!F$526)/'Sheet1 (2)'!F$527</f>
        <v>-1.1978791963165167</v>
      </c>
      <c r="G165" s="48">
        <f>('Sheet1 (2)'!G165-'Sheet1 (2)'!G$526)/'Sheet1 (2)'!G$527</f>
        <v>1.6690954397050717</v>
      </c>
      <c r="H165" s="48">
        <f>('Sheet1 (2)'!H165-'Sheet1 (2)'!H$526)/'Sheet1 (2)'!H$527</f>
        <v>-0.85586073366994553</v>
      </c>
      <c r="I165" s="48">
        <f>('Sheet1 (2)'!I165-'Sheet1 (2)'!I$526)/'Sheet1 (2)'!I$527</f>
        <v>0.76990920362600734</v>
      </c>
      <c r="J165" s="48">
        <f>('Sheet1 (2)'!J165-'Sheet1 (2)'!J$526)/'Sheet1 (2)'!J$527</f>
        <v>1.5690966658819043</v>
      </c>
      <c r="K165" s="48">
        <f>('Sheet1 (2)'!K165-'Sheet1 (2)'!K$526)/'Sheet1 (2)'!K$527</f>
        <v>-1.1412622173711031</v>
      </c>
    </row>
    <row r="166" spans="1:11" ht="12.75" x14ac:dyDescent="0.2">
      <c r="A166" s="48">
        <v>11</v>
      </c>
      <c r="B166" s="48">
        <f>('Sheet1 (2)'!B166-'Sheet1 (2)'!B$526)/'Sheet1 (2)'!B$527</f>
        <v>-1.2242915745870349</v>
      </c>
      <c r="C166" s="48">
        <f>('Sheet1 (2)'!C166-'Sheet1 (2)'!C$526)/'Sheet1 (2)'!C$527</f>
        <v>-0.16635664328004715</v>
      </c>
      <c r="D166" s="48">
        <f>('Sheet1 (2)'!D166-'Sheet1 (2)'!D$526)/'Sheet1 (2)'!D$527</f>
        <v>1.4257032508898051</v>
      </c>
      <c r="E166" s="48">
        <f>('Sheet1 (2)'!E166-'Sheet1 (2)'!E$526)/'Sheet1 (2)'!E$527</f>
        <v>2.4365185363621689</v>
      </c>
      <c r="F166" s="48">
        <f>('Sheet1 (2)'!F166-'Sheet1 (2)'!F$526)/'Sheet1 (2)'!F$527</f>
        <v>1.2684811135846812</v>
      </c>
      <c r="G166" s="48">
        <f>('Sheet1 (2)'!G166-'Sheet1 (2)'!G$526)/'Sheet1 (2)'!G$527</f>
        <v>-0.50144115274505707</v>
      </c>
      <c r="H166" s="48">
        <f>('Sheet1 (2)'!H166-'Sheet1 (2)'!H$526)/'Sheet1 (2)'!H$527</f>
        <v>-0.11524302223477692</v>
      </c>
      <c r="I166" s="48">
        <f>('Sheet1 (2)'!I166-'Sheet1 (2)'!I$526)/'Sheet1 (2)'!I$527</f>
        <v>0.69532005534899866</v>
      </c>
      <c r="J166" s="48">
        <f>('Sheet1 (2)'!J166-'Sheet1 (2)'!J$526)/'Sheet1 (2)'!J$527</f>
        <v>2.7049325254365559</v>
      </c>
      <c r="K166" s="48">
        <f>('Sheet1 (2)'!K166-'Sheet1 (2)'!K$526)/'Sheet1 (2)'!K$527</f>
        <v>0.10410902682902426</v>
      </c>
    </row>
    <row r="167" spans="1:11" ht="12.75" x14ac:dyDescent="0.2">
      <c r="A167" s="49">
        <v>11</v>
      </c>
      <c r="B167" s="48">
        <f>('Sheet1 (2)'!B167-'Sheet1 (2)'!B$526)/'Sheet1 (2)'!B$527</f>
        <v>-1.2242915745870349</v>
      </c>
      <c r="C167" s="48">
        <f>('Sheet1 (2)'!C167-'Sheet1 (2)'!C$526)/'Sheet1 (2)'!C$527</f>
        <v>-0.22935072701465919</v>
      </c>
      <c r="D167" s="48">
        <f>('Sheet1 (2)'!D167-'Sheet1 (2)'!D$526)/'Sheet1 (2)'!D$527</f>
        <v>-0.4704097020702403</v>
      </c>
      <c r="E167" s="48">
        <f>('Sheet1 (2)'!E167-'Sheet1 (2)'!E$526)/'Sheet1 (2)'!E$527</f>
        <v>1.6093760964970674</v>
      </c>
      <c r="F167" s="48">
        <f>('Sheet1 (2)'!F167-'Sheet1 (2)'!F$526)/'Sheet1 (2)'!F$527</f>
        <v>1.2684811135846812</v>
      </c>
      <c r="G167" s="48">
        <f>('Sheet1 (2)'!G167-'Sheet1 (2)'!G$526)/'Sheet1 (2)'!G$527</f>
        <v>-0.34410354665369047</v>
      </c>
      <c r="H167" s="48">
        <f>('Sheet1 (2)'!H167-'Sheet1 (2)'!H$526)/'Sheet1 (2)'!H$527</f>
        <v>-0.87954757536156081</v>
      </c>
      <c r="I167" s="48">
        <f>('Sheet1 (2)'!I167-'Sheet1 (2)'!I$526)/'Sheet1 (2)'!I$527</f>
        <v>-0.93659187867323945</v>
      </c>
      <c r="J167" s="48">
        <f>('Sheet1 (2)'!J167-'Sheet1 (2)'!J$526)/'Sheet1 (2)'!J$527</f>
        <v>1.8791536915726725</v>
      </c>
      <c r="K167" s="48">
        <f>('Sheet1 (2)'!K167-'Sheet1 (2)'!K$526)/'Sheet1 (2)'!K$527</f>
        <v>-0.20592915043381643</v>
      </c>
    </row>
    <row r="168" spans="1:11" ht="12.75" x14ac:dyDescent="0.2">
      <c r="A168" s="50">
        <v>11</v>
      </c>
      <c r="B168" s="48">
        <f>('Sheet1 (2)'!B168-'Sheet1 (2)'!B$526)/'Sheet1 (2)'!B$527</f>
        <v>-1.2242915745870349</v>
      </c>
      <c r="C168" s="48">
        <f>('Sheet1 (2)'!C168-'Sheet1 (2)'!C$526)/'Sheet1 (2)'!C$527</f>
        <v>0.20118850385133211</v>
      </c>
      <c r="D168" s="48">
        <f>('Sheet1 (2)'!D168-'Sheet1 (2)'!D$526)/'Sheet1 (2)'!D$527</f>
        <v>1.4257032508898051</v>
      </c>
      <c r="E168" s="48">
        <f>('Sheet1 (2)'!E168-'Sheet1 (2)'!E$526)/'Sheet1 (2)'!E$527</f>
        <v>-0.18276585654398558</v>
      </c>
      <c r="F168" s="48">
        <f>('Sheet1 (2)'!F168-'Sheet1 (2)'!F$526)/'Sheet1 (2)'!F$527</f>
        <v>3.5300958634082259E-2</v>
      </c>
      <c r="G168" s="48">
        <f>('Sheet1 (2)'!G168-'Sheet1 (2)'!G$526)/'Sheet1 (2)'!G$527</f>
        <v>-0.50144115274505707</v>
      </c>
      <c r="H168" s="48">
        <f>('Sheet1 (2)'!H168-'Sheet1 (2)'!H$526)/'Sheet1 (2)'!H$527</f>
        <v>0.24323610445300631</v>
      </c>
      <c r="I168" s="48">
        <f>('Sheet1 (2)'!I168-'Sheet1 (2)'!I$526)/'Sheet1 (2)'!I$527</f>
        <v>0.44657449243380387</v>
      </c>
      <c r="J168" s="48">
        <f>('Sheet1 (2)'!J168-'Sheet1 (2)'!J$526)/'Sheet1 (2)'!J$527</f>
        <v>1.2535019045222542</v>
      </c>
      <c r="K168" s="48">
        <f>('Sheet1 (2)'!K168-'Sheet1 (2)'!K$526)/'Sheet1 (2)'!K$527</f>
        <v>9.3028575485759504E-2</v>
      </c>
    </row>
    <row r="169" spans="1:11" ht="12.75" x14ac:dyDescent="0.2">
      <c r="A169" s="49">
        <v>11</v>
      </c>
      <c r="B169" s="48">
        <f>('Sheet1 (2)'!B169-'Sheet1 (2)'!B$526)/'Sheet1 (2)'!B$527</f>
        <v>-1.2242915745870349</v>
      </c>
      <c r="C169" s="48">
        <f>('Sheet1 (2)'!C169-'Sheet1 (2)'!C$526)/'Sheet1 (2)'!C$527</f>
        <v>0.50735026574723541</v>
      </c>
      <c r="D169" s="48">
        <f>('Sheet1 (2)'!D169-'Sheet1 (2)'!D$526)/'Sheet1 (2)'!D$527</f>
        <v>-0.4704097020702403</v>
      </c>
      <c r="E169" s="48">
        <f>('Sheet1 (2)'!E169-'Sheet1 (2)'!E$526)/'Sheet1 (2)'!E$527</f>
        <v>5.8484021750002266E-2</v>
      </c>
      <c r="F169" s="48">
        <f>('Sheet1 (2)'!F169-'Sheet1 (2)'!F$526)/'Sheet1 (2)'!F$527</f>
        <v>3.5300958634082259E-2</v>
      </c>
      <c r="G169" s="48">
        <f>('Sheet1 (2)'!G169-'Sheet1 (2)'!G$526)/'Sheet1 (2)'!G$527</f>
        <v>-0.24607645175906945</v>
      </c>
      <c r="H169" s="48">
        <f>('Sheet1 (2)'!H169-'Sheet1 (2)'!H$526)/'Sheet1 (2)'!H$527</f>
        <v>-0.21954727657392342</v>
      </c>
      <c r="I169" s="48">
        <f>('Sheet1 (2)'!I169-'Sheet1 (2)'!I$526)/'Sheet1 (2)'!I$527</f>
        <v>-0.20766480384185662</v>
      </c>
      <c r="J169" s="48">
        <f>('Sheet1 (2)'!J169-'Sheet1 (2)'!J$526)/'Sheet1 (2)'!J$527</f>
        <v>-0.36828465907992652</v>
      </c>
      <c r="K169" s="48">
        <f>('Sheet1 (2)'!K169-'Sheet1 (2)'!K$526)/'Sheet1 (2)'!K$527</f>
        <v>-0.4943068324901459</v>
      </c>
    </row>
    <row r="170" spans="1:11" ht="12.75" x14ac:dyDescent="0.2">
      <c r="A170" s="50">
        <v>11</v>
      </c>
      <c r="B170" s="48">
        <f>('Sheet1 (2)'!B170-'Sheet1 (2)'!B$526)/'Sheet1 (2)'!B$527</f>
        <v>-1.2242915745870349</v>
      </c>
      <c r="C170" s="48">
        <f>('Sheet1 (2)'!C170-'Sheet1 (2)'!C$526)/'Sheet1 (2)'!C$527</f>
        <v>-0.67934260741022956</v>
      </c>
      <c r="D170" s="48">
        <f>('Sheet1 (2)'!D170-'Sheet1 (2)'!D$526)/'Sheet1 (2)'!D$527</f>
        <v>3.3218162038498509</v>
      </c>
      <c r="E170" s="48">
        <f>('Sheet1 (2)'!E170-'Sheet1 (2)'!E$526)/'Sheet1 (2)'!E$527</f>
        <v>0.61910278654745976</v>
      </c>
      <c r="F170" s="48">
        <f>('Sheet1 (2)'!F170-'Sheet1 (2)'!F$526)/'Sheet1 (2)'!F$527</f>
        <v>-1.1978791963165167</v>
      </c>
      <c r="G170" s="48">
        <f>('Sheet1 (2)'!G170-'Sheet1 (2)'!G$526)/'Sheet1 (2)'!G$527</f>
        <v>0.12131921482077081</v>
      </c>
      <c r="H170" s="48">
        <f>('Sheet1 (2)'!H170-'Sheet1 (2)'!H$526)/'Sheet1 (2)'!H$527</f>
        <v>-0.78058312926503259</v>
      </c>
      <c r="I170" s="48">
        <f>('Sheet1 (2)'!I170-'Sheet1 (2)'!I$526)/'Sheet1 (2)'!I$527</f>
        <v>0.49722114055313471</v>
      </c>
      <c r="J170" s="48">
        <f>('Sheet1 (2)'!J170-'Sheet1 (2)'!J$526)/'Sheet1 (2)'!J$527</f>
        <v>-0.22997077448639228</v>
      </c>
      <c r="K170" s="48">
        <f>('Sheet1 (2)'!K170-'Sheet1 (2)'!K$526)/'Sheet1 (2)'!K$527</f>
        <v>0.65126886283773677</v>
      </c>
    </row>
    <row r="171" spans="1:11" ht="12.75" x14ac:dyDescent="0.2">
      <c r="A171" s="51">
        <v>11</v>
      </c>
      <c r="B171" s="48">
        <f>('Sheet1 (2)'!B171-'Sheet1 (2)'!B$526)/'Sheet1 (2)'!B$527</f>
        <v>-1.2242915745870349</v>
      </c>
      <c r="C171" s="48">
        <f>('Sheet1 (2)'!C171-'Sheet1 (2)'!C$526)/'Sheet1 (2)'!C$527</f>
        <v>-1.9319020562844367</v>
      </c>
      <c r="D171" s="48">
        <f>('Sheet1 (2)'!D171-'Sheet1 (2)'!D$526)/'Sheet1 (2)'!D$527</f>
        <v>-0.4704097020702403</v>
      </c>
      <c r="E171" s="48">
        <f>('Sheet1 (2)'!E171-'Sheet1 (2)'!E$526)/'Sheet1 (2)'!E$527</f>
        <v>-0.61701563747316368</v>
      </c>
      <c r="F171" s="48">
        <f>('Sheet1 (2)'!F171-'Sheet1 (2)'!F$526)/'Sheet1 (2)'!F$527</f>
        <v>-1.1978791963165167</v>
      </c>
      <c r="G171" s="48">
        <f>('Sheet1 (2)'!G171-'Sheet1 (2)'!G$526)/'Sheet1 (2)'!G$527</f>
        <v>0.9277774156765185</v>
      </c>
      <c r="H171" s="48">
        <f>('Sheet1 (2)'!H171-'Sheet1 (2)'!H$526)/'Sheet1 (2)'!H$527</f>
        <v>-1.3028163753931146</v>
      </c>
      <c r="I171" s="48">
        <f>('Sheet1 (2)'!I171-'Sheet1 (2)'!I$526)/'Sheet1 (2)'!I$527</f>
        <v>-0.14131128383741687</v>
      </c>
      <c r="J171" s="48">
        <f>('Sheet1 (2)'!J171-'Sheet1 (2)'!J$526)/'Sheet1 (2)'!J$527</f>
        <v>8.7970718454655622E-2</v>
      </c>
      <c r="K171" s="48">
        <f>('Sheet1 (2)'!K171-'Sheet1 (2)'!K$526)/'Sheet1 (2)'!K$527</f>
        <v>0.37161256829030026</v>
      </c>
    </row>
    <row r="172" spans="1:11" ht="12.75" x14ac:dyDescent="0.2">
      <c r="A172" s="48">
        <v>11</v>
      </c>
      <c r="B172" s="48">
        <f>('Sheet1 (2)'!B172-'Sheet1 (2)'!B$526)/'Sheet1 (2)'!B$527</f>
        <v>1.1794716518179513E-2</v>
      </c>
      <c r="C172" s="48">
        <f>('Sheet1 (2)'!C172-'Sheet1 (2)'!C$526)/'Sheet1 (2)'!C$527</f>
        <v>-0.14563884654108855</v>
      </c>
      <c r="D172" s="48">
        <f>('Sheet1 (2)'!D172-'Sheet1 (2)'!D$526)/'Sheet1 (2)'!D$527</f>
        <v>-0.4704097020702403</v>
      </c>
      <c r="E172" s="48">
        <f>('Sheet1 (2)'!E172-'Sheet1 (2)'!E$526)/'Sheet1 (2)'!E$527</f>
        <v>2.843196902629177</v>
      </c>
      <c r="F172" s="48">
        <f>('Sheet1 (2)'!F172-'Sheet1 (2)'!F$526)/'Sheet1 (2)'!F$527</f>
        <v>1.2684811135846812</v>
      </c>
      <c r="G172" s="48">
        <f>('Sheet1 (2)'!G172-'Sheet1 (2)'!G$526)/'Sheet1 (2)'!G$527</f>
        <v>-0.50144115274505707</v>
      </c>
      <c r="H172" s="48">
        <f>('Sheet1 (2)'!H172-'Sheet1 (2)'!H$526)/'Sheet1 (2)'!H$527</f>
        <v>0.51229364427918433</v>
      </c>
      <c r="I172" s="48">
        <f>('Sheet1 (2)'!I172-'Sheet1 (2)'!I$526)/'Sheet1 (2)'!I$527</f>
        <v>0.58440891660534544</v>
      </c>
      <c r="J172" s="48">
        <f>('Sheet1 (2)'!J172-'Sheet1 (2)'!J$526)/'Sheet1 (2)'!J$527</f>
        <v>-0.33187221512787324</v>
      </c>
      <c r="K172" s="48">
        <f>('Sheet1 (2)'!K172-'Sheet1 (2)'!K$526)/'Sheet1 (2)'!K$527</f>
        <v>1.2564383455324983</v>
      </c>
    </row>
    <row r="173" spans="1:11" ht="12.75" x14ac:dyDescent="0.2">
      <c r="A173" s="49">
        <v>11</v>
      </c>
      <c r="B173" s="48">
        <f>('Sheet1 (2)'!B173-'Sheet1 (2)'!B$526)/'Sheet1 (2)'!B$527</f>
        <v>1.1794716518179513E-2</v>
      </c>
      <c r="C173" s="48">
        <f>('Sheet1 (2)'!C173-'Sheet1 (2)'!C$526)/'Sheet1 (2)'!C$527</f>
        <v>0.27028203463072525</v>
      </c>
      <c r="D173" s="48">
        <f>('Sheet1 (2)'!D173-'Sheet1 (2)'!D$526)/'Sheet1 (2)'!D$527</f>
        <v>5.2179291568098956</v>
      </c>
      <c r="E173" s="48">
        <f>('Sheet1 (2)'!E173-'Sheet1 (2)'!E$526)/'Sheet1 (2)'!E$527</f>
        <v>2.8960421140650032</v>
      </c>
      <c r="F173" s="48">
        <f>('Sheet1 (2)'!F173-'Sheet1 (2)'!F$526)/'Sheet1 (2)'!F$527</f>
        <v>1.2684811135846812</v>
      </c>
      <c r="G173" s="48">
        <f>('Sheet1 (2)'!G173-'Sheet1 (2)'!G$526)/'Sheet1 (2)'!G$527</f>
        <v>-0.29678177794443161</v>
      </c>
      <c r="H173" s="48">
        <f>('Sheet1 (2)'!H173-'Sheet1 (2)'!H$526)/'Sheet1 (2)'!H$527</f>
        <v>-0.22943994686127839</v>
      </c>
      <c r="I173" s="48">
        <f>('Sheet1 (2)'!I173-'Sheet1 (2)'!I$526)/'Sheet1 (2)'!I$527</f>
        <v>0.66688239111521186</v>
      </c>
      <c r="J173" s="48">
        <f>('Sheet1 (2)'!J173-'Sheet1 (2)'!J$526)/'Sheet1 (2)'!J$527</f>
        <v>-0.83945425120312078</v>
      </c>
      <c r="K173" s="48">
        <f>('Sheet1 (2)'!K173-'Sheet1 (2)'!K$526)/'Sheet1 (2)'!K$527</f>
        <v>0.44585491685622247</v>
      </c>
    </row>
    <row r="174" spans="1:11" ht="12.75" x14ac:dyDescent="0.2">
      <c r="A174" s="50">
        <v>11</v>
      </c>
      <c r="B174" s="48">
        <f>('Sheet1 (2)'!B174-'Sheet1 (2)'!B$526)/'Sheet1 (2)'!B$527</f>
        <v>1.1794716518179513E-2</v>
      </c>
      <c r="C174" s="48">
        <f>('Sheet1 (2)'!C174-'Sheet1 (2)'!C$526)/'Sheet1 (2)'!C$527</f>
        <v>1.1491516002023248</v>
      </c>
      <c r="D174" s="48">
        <f>('Sheet1 (2)'!D174-'Sheet1 (2)'!D$526)/'Sheet1 (2)'!D$527</f>
        <v>-0.4704097020702403</v>
      </c>
      <c r="E174" s="48">
        <f>('Sheet1 (2)'!E174-'Sheet1 (2)'!E$526)/'Sheet1 (2)'!E$527</f>
        <v>-0.13221826299667389</v>
      </c>
      <c r="F174" s="48">
        <f>('Sheet1 (2)'!F174-'Sheet1 (2)'!F$526)/'Sheet1 (2)'!F$527</f>
        <v>3.5300958634082259E-2</v>
      </c>
      <c r="G174" s="48">
        <f>('Sheet1 (2)'!G174-'Sheet1 (2)'!G$526)/'Sheet1 (2)'!G$527</f>
        <v>-0.50144115274505707</v>
      </c>
      <c r="H174" s="48">
        <f>('Sheet1 (2)'!H174-'Sheet1 (2)'!H$526)/'Sheet1 (2)'!H$527</f>
        <v>0.45003431091198226</v>
      </c>
      <c r="I174" s="48">
        <f>('Sheet1 (2)'!I174-'Sheet1 (2)'!I$526)/'Sheet1 (2)'!I$527</f>
        <v>-0.32483845430766267</v>
      </c>
      <c r="J174" s="48">
        <f>('Sheet1 (2)'!J174-'Sheet1 (2)'!J$526)/'Sheet1 (2)'!J$527</f>
        <v>-0.75284817649656011</v>
      </c>
      <c r="K174" s="48">
        <f>('Sheet1 (2)'!K174-'Sheet1 (2)'!K$526)/'Sheet1 (2)'!K$527</f>
        <v>-0.96264375695043591</v>
      </c>
    </row>
    <row r="175" spans="1:11" ht="12.75" x14ac:dyDescent="0.2">
      <c r="A175" s="49">
        <v>11</v>
      </c>
      <c r="B175" s="48">
        <f>('Sheet1 (2)'!B175-'Sheet1 (2)'!B$526)/'Sheet1 (2)'!B$527</f>
        <v>1.1794716518179513E-2</v>
      </c>
      <c r="C175" s="48">
        <f>('Sheet1 (2)'!C175-'Sheet1 (2)'!C$526)/'Sheet1 (2)'!C$527</f>
        <v>1.3142734679355019</v>
      </c>
      <c r="D175" s="48">
        <f>('Sheet1 (2)'!D175-'Sheet1 (2)'!D$526)/'Sheet1 (2)'!D$527</f>
        <v>3.3218162038498509</v>
      </c>
      <c r="E175" s="48">
        <f>('Sheet1 (2)'!E175-'Sheet1 (2)'!E$526)/'Sheet1 (2)'!E$527</f>
        <v>2.2297329263958936</v>
      </c>
      <c r="F175" s="48">
        <f>('Sheet1 (2)'!F175-'Sheet1 (2)'!F$526)/'Sheet1 (2)'!F$527</f>
        <v>3.5300958634082259E-2</v>
      </c>
      <c r="G175" s="48">
        <f>('Sheet1 (2)'!G175-'Sheet1 (2)'!G$526)/'Sheet1 (2)'!G$527</f>
        <v>-0.50144115274505707</v>
      </c>
      <c r="H175" s="48">
        <f>('Sheet1 (2)'!H175-'Sheet1 (2)'!H$526)/'Sheet1 (2)'!H$527</f>
        <v>0.61573460817409043</v>
      </c>
      <c r="I175" s="48">
        <f>('Sheet1 (2)'!I175-'Sheet1 (2)'!I$526)/'Sheet1 (2)'!I$527</f>
        <v>0.66535812551510976</v>
      </c>
      <c r="J175" s="48">
        <f>('Sheet1 (2)'!J175-'Sheet1 (2)'!J$526)/'Sheet1 (2)'!J$527</f>
        <v>-6.8905877257069759E-2</v>
      </c>
      <c r="K175" s="48">
        <f>('Sheet1 (2)'!K175-'Sheet1 (2)'!K$526)/'Sheet1 (2)'!K$527</f>
        <v>-1.0384618016729028E-2</v>
      </c>
    </row>
    <row r="176" spans="1:11" ht="12.75" x14ac:dyDescent="0.2">
      <c r="A176" s="50">
        <v>11</v>
      </c>
      <c r="B176" s="48">
        <f>('Sheet1 (2)'!B176-'Sheet1 (2)'!B$526)/'Sheet1 (2)'!B$527</f>
        <v>1.1794716518179513E-2</v>
      </c>
      <c r="C176" s="48">
        <f>('Sheet1 (2)'!C176-'Sheet1 (2)'!C$526)/'Sheet1 (2)'!C$527</f>
        <v>0.35504780058554392</v>
      </c>
      <c r="D176" s="48">
        <f>('Sheet1 (2)'!D176-'Sheet1 (2)'!D$526)/'Sheet1 (2)'!D$527</f>
        <v>-0.4704097020702403</v>
      </c>
      <c r="E176" s="48">
        <f>('Sheet1 (2)'!E176-'Sheet1 (2)'!E$526)/'Sheet1 (2)'!E$527</f>
        <v>-0.41023002750688853</v>
      </c>
      <c r="F176" s="48">
        <f>('Sheet1 (2)'!F176-'Sheet1 (2)'!F$526)/'Sheet1 (2)'!F$527</f>
        <v>-1.1978791963165167</v>
      </c>
      <c r="G176" s="48">
        <f>('Sheet1 (2)'!G176-'Sheet1 (2)'!G$526)/'Sheet1 (2)'!G$527</f>
        <v>-0.4843447192464771</v>
      </c>
      <c r="H176" s="48">
        <f>('Sheet1 (2)'!H176-'Sheet1 (2)'!H$526)/'Sheet1 (2)'!H$527</f>
        <v>-0.87892532686371072</v>
      </c>
      <c r="I176" s="48">
        <f>('Sheet1 (2)'!I176-'Sheet1 (2)'!I$526)/'Sheet1 (2)'!I$527</f>
        <v>-0.35993224825784265</v>
      </c>
      <c r="J176" s="48">
        <f>('Sheet1 (2)'!J176-'Sheet1 (2)'!J$526)/'Sheet1 (2)'!J$527</f>
        <v>2.2760374215326165</v>
      </c>
      <c r="K176" s="48">
        <f>('Sheet1 (2)'!K176-'Sheet1 (2)'!K$526)/'Sheet1 (2)'!K$527</f>
        <v>-1.0735970662458199</v>
      </c>
    </row>
    <row r="177" spans="1:11" ht="12.75" x14ac:dyDescent="0.2">
      <c r="A177" s="51">
        <v>11</v>
      </c>
      <c r="B177" s="48">
        <f>('Sheet1 (2)'!B177-'Sheet1 (2)'!B$526)/'Sheet1 (2)'!B$527</f>
        <v>1.1794716518179513E-2</v>
      </c>
      <c r="C177" s="48">
        <f>('Sheet1 (2)'!C177-'Sheet1 (2)'!C$526)/'Sheet1 (2)'!C$527</f>
        <v>0.60160886017774284</v>
      </c>
      <c r="D177" s="48">
        <f>('Sheet1 (2)'!D177-'Sheet1 (2)'!D$526)/'Sheet1 (2)'!D$527</f>
        <v>-0.4704097020702403</v>
      </c>
      <c r="E177" s="48">
        <f>('Sheet1 (2)'!E177-'Sheet1 (2)'!E$526)/'Sheet1 (2)'!E$527</f>
        <v>-0.65147990580087634</v>
      </c>
      <c r="F177" s="48">
        <f>('Sheet1 (2)'!F177-'Sheet1 (2)'!F$526)/'Sheet1 (2)'!F$527</f>
        <v>-1.1978791963165167</v>
      </c>
      <c r="G177" s="48">
        <f>('Sheet1 (2)'!G177-'Sheet1 (2)'!G$526)/'Sheet1 (2)'!G$527</f>
        <v>-0.50144115274505707</v>
      </c>
      <c r="H177" s="48">
        <f>('Sheet1 (2)'!H177-'Sheet1 (2)'!H$526)/'Sheet1 (2)'!H$527</f>
        <v>-0.40250017259275067</v>
      </c>
      <c r="I177" s="48">
        <f>('Sheet1 (2)'!I177-'Sheet1 (2)'!I$526)/'Sheet1 (2)'!I$527</f>
        <v>0.66211077706271859</v>
      </c>
      <c r="J177" s="48">
        <f>('Sheet1 (2)'!J177-'Sheet1 (2)'!J$526)/'Sheet1 (2)'!J$527</f>
        <v>-0.83945425120312078</v>
      </c>
      <c r="K177" s="48">
        <f>('Sheet1 (2)'!K177-'Sheet1 (2)'!K$526)/'Sheet1 (2)'!K$527</f>
        <v>-7.8152847915176973E-2</v>
      </c>
    </row>
    <row r="178" spans="1:11" ht="12.75" x14ac:dyDescent="0.2">
      <c r="A178" s="48">
        <v>11</v>
      </c>
      <c r="B178" s="48">
        <f>('Sheet1 (2)'!B178-'Sheet1 (2)'!B$526)/'Sheet1 (2)'!B$527</f>
        <v>1.2478810076233939</v>
      </c>
      <c r="C178" s="48">
        <f>('Sheet1 (2)'!C178-'Sheet1 (2)'!C$526)/'Sheet1 (2)'!C$527</f>
        <v>-0.43107996010925081</v>
      </c>
      <c r="D178" s="48">
        <f>('Sheet1 (2)'!D178-'Sheet1 (2)'!D$526)/'Sheet1 (2)'!D$527</f>
        <v>-0.4704097020702403</v>
      </c>
      <c r="E178" s="48">
        <f>('Sheet1 (2)'!E178-'Sheet1 (2)'!E$526)/'Sheet1 (2)'!E$527</f>
        <v>-3.1123075902050306E-2</v>
      </c>
      <c r="F178" s="48">
        <f>('Sheet1 (2)'!F178-'Sheet1 (2)'!F$526)/'Sheet1 (2)'!F$527</f>
        <v>1.2684811135846812</v>
      </c>
      <c r="G178" s="48">
        <f>('Sheet1 (2)'!G178-'Sheet1 (2)'!G$526)/'Sheet1 (2)'!G$527</f>
        <v>-0.50144115274505707</v>
      </c>
      <c r="H178" s="48">
        <f>('Sheet1 (2)'!H178-'Sheet1 (2)'!H$526)/'Sheet1 (2)'!H$527</f>
        <v>9.5145422524389511E-2</v>
      </c>
      <c r="I178" s="48">
        <f>('Sheet1 (2)'!I178-'Sheet1 (2)'!I$526)/'Sheet1 (2)'!I$527</f>
        <v>0.72448996027848667</v>
      </c>
      <c r="J178" s="48">
        <f>('Sheet1 (2)'!J178-'Sheet1 (2)'!J$526)/'Sheet1 (2)'!J$527</f>
        <v>-0.83945425120312078</v>
      </c>
      <c r="K178" s="48">
        <f>('Sheet1 (2)'!K178-'Sheet1 (2)'!K$526)/'Sheet1 (2)'!K$527</f>
        <v>1.0558840538240595</v>
      </c>
    </row>
    <row r="179" spans="1:11" ht="12.75" x14ac:dyDescent="0.2">
      <c r="A179" s="49">
        <v>11</v>
      </c>
      <c r="B179" s="48">
        <f>('Sheet1 (2)'!B179-'Sheet1 (2)'!B$526)/'Sheet1 (2)'!B$527</f>
        <v>1.2478810076233939</v>
      </c>
      <c r="C179" s="48">
        <f>('Sheet1 (2)'!C179-'Sheet1 (2)'!C$526)/'Sheet1 (2)'!C$527</f>
        <v>-0.90501246003643609</v>
      </c>
      <c r="D179" s="48">
        <f>('Sheet1 (2)'!D179-'Sheet1 (2)'!D$526)/'Sheet1 (2)'!D$527</f>
        <v>3.3218162038498509</v>
      </c>
      <c r="E179" s="48">
        <f>('Sheet1 (2)'!E179-'Sheet1 (2)'!E$526)/'Sheet1 (2)'!E$527</f>
        <v>1.8873878610072821</v>
      </c>
      <c r="F179" s="48">
        <f>('Sheet1 (2)'!F179-'Sheet1 (2)'!F$526)/'Sheet1 (2)'!F$527</f>
        <v>1.2684811135846812</v>
      </c>
      <c r="G179" s="48">
        <f>('Sheet1 (2)'!G179-'Sheet1 (2)'!G$526)/'Sheet1 (2)'!G$527</f>
        <v>0.81739396428257549</v>
      </c>
      <c r="H179" s="48">
        <f>('Sheet1 (2)'!H179-'Sheet1 (2)'!H$526)/'Sheet1 (2)'!H$527</f>
        <v>-0.94148935097593434</v>
      </c>
      <c r="I179" s="48">
        <f>('Sheet1 (2)'!I179-'Sheet1 (2)'!I$526)/'Sheet1 (2)'!I$527</f>
        <v>-0.99717552737294546</v>
      </c>
      <c r="J179" s="48">
        <f>('Sheet1 (2)'!J179-'Sheet1 (2)'!J$526)/'Sheet1 (2)'!J$527</f>
        <v>-0.25468669098132807</v>
      </c>
      <c r="K179" s="48">
        <f>('Sheet1 (2)'!K179-'Sheet1 (2)'!K$526)/'Sheet1 (2)'!K$527</f>
        <v>1.0620319171499999</v>
      </c>
    </row>
    <row r="180" spans="1:11" ht="12.75" x14ac:dyDescent="0.2">
      <c r="A180" s="50">
        <v>11</v>
      </c>
      <c r="B180" s="48">
        <f>('Sheet1 (2)'!B180-'Sheet1 (2)'!B$526)/'Sheet1 (2)'!B$527</f>
        <v>1.2478810076233939</v>
      </c>
      <c r="C180" s="48">
        <f>('Sheet1 (2)'!C180-'Sheet1 (2)'!C$526)/'Sheet1 (2)'!C$527</f>
        <v>-0.33963338923714775</v>
      </c>
      <c r="D180" s="48">
        <f>('Sheet1 (2)'!D180-'Sheet1 (2)'!D$526)/'Sheet1 (2)'!D$527</f>
        <v>1.4257032508898051</v>
      </c>
      <c r="E180" s="48">
        <f>('Sheet1 (2)'!E180-'Sheet1 (2)'!E$526)/'Sheet1 (2)'!E$527</f>
        <v>0.67424561587179987</v>
      </c>
      <c r="F180" s="48">
        <f>('Sheet1 (2)'!F180-'Sheet1 (2)'!F$526)/'Sheet1 (2)'!F$527</f>
        <v>3.5300958634082259E-2</v>
      </c>
      <c r="G180" s="48">
        <f>('Sheet1 (2)'!G180-'Sheet1 (2)'!G$526)/'Sheet1 (2)'!G$527</f>
        <v>0.41292922820476935</v>
      </c>
      <c r="H180" s="48">
        <f>('Sheet1 (2)'!H180-'Sheet1 (2)'!H$526)/'Sheet1 (2)'!H$527</f>
        <v>-0.22061523822244769</v>
      </c>
      <c r="I180" s="48">
        <f>('Sheet1 (2)'!I180-'Sheet1 (2)'!I$526)/'Sheet1 (2)'!I$527</f>
        <v>0.73538860607631729</v>
      </c>
      <c r="J180" s="48">
        <f>('Sheet1 (2)'!J180-'Sheet1 (2)'!J$526)/'Sheet1 (2)'!J$527</f>
        <v>-0.83945425120312078</v>
      </c>
      <c r="K180" s="48">
        <f>('Sheet1 (2)'!K180-'Sheet1 (2)'!K$526)/'Sheet1 (2)'!K$527</f>
        <v>-0.69775821650906356</v>
      </c>
    </row>
    <row r="181" spans="1:11" ht="12.75" x14ac:dyDescent="0.2">
      <c r="A181" s="49">
        <v>11</v>
      </c>
      <c r="B181" s="48">
        <f>('Sheet1 (2)'!B181-'Sheet1 (2)'!B$526)/'Sheet1 (2)'!B$527</f>
        <v>1.2478810076233939</v>
      </c>
      <c r="C181" s="48">
        <f>('Sheet1 (2)'!C181-'Sheet1 (2)'!C$526)/'Sheet1 (2)'!C$527</f>
        <v>-0.34367686380767021</v>
      </c>
      <c r="D181" s="48">
        <f>('Sheet1 (2)'!D181-'Sheet1 (2)'!D$526)/'Sheet1 (2)'!D$527</f>
        <v>-0.4704097020702403</v>
      </c>
      <c r="E181" s="48">
        <f>('Sheet1 (2)'!E181-'Sheet1 (2)'!E$526)/'Sheet1 (2)'!E$527</f>
        <v>0.73398368097316824</v>
      </c>
      <c r="F181" s="48">
        <f>('Sheet1 (2)'!F181-'Sheet1 (2)'!F$526)/'Sheet1 (2)'!F$527</f>
        <v>3.5300958634082259E-2</v>
      </c>
      <c r="G181" s="48">
        <f>('Sheet1 (2)'!G181-'Sheet1 (2)'!G$526)/'Sheet1 (2)'!G$527</f>
        <v>-0.50144115274505707</v>
      </c>
      <c r="H181" s="48">
        <f>('Sheet1 (2)'!H181-'Sheet1 (2)'!H$526)/'Sheet1 (2)'!H$527</f>
        <v>-0.16045339868894595</v>
      </c>
      <c r="I181" s="48">
        <f>('Sheet1 (2)'!I181-'Sheet1 (2)'!I$526)/'Sheet1 (2)'!I$527</f>
        <v>-0.54680501719788277</v>
      </c>
      <c r="J181" s="48">
        <f>('Sheet1 (2)'!J181-'Sheet1 (2)'!J$526)/'Sheet1 (2)'!J$527</f>
        <v>1.0251920984755269</v>
      </c>
      <c r="K181" s="48">
        <f>('Sheet1 (2)'!K181-'Sheet1 (2)'!K$526)/'Sheet1 (2)'!K$527</f>
        <v>-0.96254526022166753</v>
      </c>
    </row>
    <row r="182" spans="1:11" ht="12.75" x14ac:dyDescent="0.2">
      <c r="A182" s="50">
        <v>11</v>
      </c>
      <c r="B182" s="48">
        <f>('Sheet1 (2)'!B182-'Sheet1 (2)'!B$526)/'Sheet1 (2)'!B$527</f>
        <v>1.2478810076233939</v>
      </c>
      <c r="C182" s="48">
        <f>('Sheet1 (2)'!C182-'Sheet1 (2)'!C$526)/'Sheet1 (2)'!C$527</f>
        <v>-0.25466306900695734</v>
      </c>
      <c r="D182" s="48">
        <f>('Sheet1 (2)'!D182-'Sheet1 (2)'!D$526)/'Sheet1 (2)'!D$527</f>
        <v>1.4257032508898051</v>
      </c>
      <c r="E182" s="48">
        <f>('Sheet1 (2)'!E182-'Sheet1 (2)'!E$526)/'Sheet1 (2)'!E$527</f>
        <v>-0.17357538498992889</v>
      </c>
      <c r="F182" s="48">
        <f>('Sheet1 (2)'!F182-'Sheet1 (2)'!F$526)/'Sheet1 (2)'!F$527</f>
        <v>-1.1978791963165167</v>
      </c>
      <c r="G182" s="48">
        <f>('Sheet1 (2)'!G182-'Sheet1 (2)'!G$526)/'Sheet1 (2)'!G$527</f>
        <v>0.36268004510752683</v>
      </c>
      <c r="H182" s="48">
        <f>('Sheet1 (2)'!H182-'Sheet1 (2)'!H$526)/'Sheet1 (2)'!H$527</f>
        <v>-0.1099032139921588</v>
      </c>
      <c r="I182" s="48">
        <f>('Sheet1 (2)'!I182-'Sheet1 (2)'!I$526)/'Sheet1 (2)'!I$527</f>
        <v>0.54786778867246555</v>
      </c>
      <c r="J182" s="48">
        <f>('Sheet1 (2)'!J182-'Sheet1 (2)'!J$526)/'Sheet1 (2)'!J$527</f>
        <v>0.76635890724094158</v>
      </c>
      <c r="K182" s="48">
        <f>('Sheet1 (2)'!K182-'Sheet1 (2)'!K$526)/'Sheet1 (2)'!K$527</f>
        <v>0.11897827766385766</v>
      </c>
    </row>
    <row r="183" spans="1:11" ht="12.75" x14ac:dyDescent="0.2">
      <c r="A183" s="51">
        <v>11</v>
      </c>
      <c r="B183" s="48">
        <f>('Sheet1 (2)'!B183-'Sheet1 (2)'!B$526)/'Sheet1 (2)'!B$527</f>
        <v>1.2478810076233939</v>
      </c>
      <c r="C183" s="48">
        <f>('Sheet1 (2)'!C183-'Sheet1 (2)'!C$526)/'Sheet1 (2)'!C$527</f>
        <v>-1.3719190644332804</v>
      </c>
      <c r="D183" s="48">
        <f>('Sheet1 (2)'!D183-'Sheet1 (2)'!D$526)/'Sheet1 (2)'!D$527</f>
        <v>-0.4704097020702403</v>
      </c>
      <c r="E183" s="48">
        <f>('Sheet1 (2)'!E183-'Sheet1 (2)'!E$526)/'Sheet1 (2)'!E$527</f>
        <v>-5.8694490564220374E-2</v>
      </c>
      <c r="F183" s="48">
        <f>('Sheet1 (2)'!F183-'Sheet1 (2)'!F$526)/'Sheet1 (2)'!F$527</f>
        <v>-1.1978791963165167</v>
      </c>
      <c r="G183" s="48">
        <f>('Sheet1 (2)'!G183-'Sheet1 (2)'!G$526)/'Sheet1 (2)'!G$527</f>
        <v>0.93189620117629257</v>
      </c>
      <c r="H183" s="48">
        <f>('Sheet1 (2)'!H183-'Sheet1 (2)'!H$526)/'Sheet1 (2)'!H$527</f>
        <v>-0.9439812614891564</v>
      </c>
      <c r="I183" s="48">
        <f>('Sheet1 (2)'!I183-'Sheet1 (2)'!I$526)/'Sheet1 (2)'!I$527</f>
        <v>-0.76766286880686363</v>
      </c>
      <c r="J183" s="48">
        <f>('Sheet1 (2)'!J183-'Sheet1 (2)'!J$526)/'Sheet1 (2)'!J$527</f>
        <v>1.6565058367800933</v>
      </c>
      <c r="K183" s="48">
        <f>('Sheet1 (2)'!K183-'Sheet1 (2)'!K$526)/'Sheet1 (2)'!K$527</f>
        <v>0.51551546218702515</v>
      </c>
    </row>
    <row r="184" spans="1:11" ht="12.75" x14ac:dyDescent="0.2">
      <c r="A184" s="48">
        <v>12</v>
      </c>
      <c r="B184" s="48">
        <f>('Sheet1 (2)'!B184-'Sheet1 (2)'!B$526)/'Sheet1 (2)'!B$527</f>
        <v>-1.2242915745870349</v>
      </c>
      <c r="C184" s="48">
        <f>('Sheet1 (2)'!C184-'Sheet1 (2)'!C$526)/'Sheet1 (2)'!C$527</f>
        <v>0.33212277244570576</v>
      </c>
      <c r="D184" s="48">
        <f>('Sheet1 (2)'!D184-'Sheet1 (2)'!D$526)/'Sheet1 (2)'!D$527</f>
        <v>-0.4704097020702403</v>
      </c>
      <c r="E184" s="48">
        <f>('Sheet1 (2)'!E184-'Sheet1 (2)'!E$526)/'Sheet1 (2)'!E$527</f>
        <v>0.23080536338856505</v>
      </c>
      <c r="F184" s="48">
        <f>('Sheet1 (2)'!F184-'Sheet1 (2)'!F$526)/'Sheet1 (2)'!F$527</f>
        <v>1.2684811135846812</v>
      </c>
      <c r="G184" s="48">
        <f>('Sheet1 (2)'!G184-'Sheet1 (2)'!G$526)/'Sheet1 (2)'!G$527</f>
        <v>-0.50144115274505707</v>
      </c>
      <c r="H184" s="48">
        <f>('Sheet1 (2)'!H184-'Sheet1 (2)'!H$526)/'Sheet1 (2)'!H$527</f>
        <v>1.4075237055886305</v>
      </c>
      <c r="I184" s="48">
        <f>('Sheet1 (2)'!I184-'Sheet1 (2)'!I$526)/'Sheet1 (2)'!I$527</f>
        <v>0.66586731359084705</v>
      </c>
      <c r="J184" s="48">
        <f>('Sheet1 (2)'!J184-'Sheet1 (2)'!J$526)/'Sheet1 (2)'!J$527</f>
        <v>0.54161409687163575</v>
      </c>
      <c r="K184" s="48">
        <f>('Sheet1 (2)'!K184-'Sheet1 (2)'!K$526)/'Sheet1 (2)'!K$527</f>
        <v>-0.70076486649404823</v>
      </c>
    </row>
    <row r="185" spans="1:11" ht="12.75" x14ac:dyDescent="0.2">
      <c r="A185" s="49">
        <v>12</v>
      </c>
      <c r="B185" s="48">
        <f>('Sheet1 (2)'!B185-'Sheet1 (2)'!B$526)/'Sheet1 (2)'!B$527</f>
        <v>-1.2242915745870349</v>
      </c>
      <c r="C185" s="48">
        <f>('Sheet1 (2)'!C185-'Sheet1 (2)'!C$526)/'Sheet1 (2)'!C$527</f>
        <v>-0.96608180264256716</v>
      </c>
      <c r="D185" s="48">
        <f>('Sheet1 (2)'!D185-'Sheet1 (2)'!D$526)/'Sheet1 (2)'!D$527</f>
        <v>-0.4704097020702403</v>
      </c>
      <c r="E185" s="48">
        <f>('Sheet1 (2)'!E185-'Sheet1 (2)'!E$526)/'Sheet1 (2)'!E$527</f>
        <v>1.2004001123415451</v>
      </c>
      <c r="F185" s="48">
        <f>('Sheet1 (2)'!F185-'Sheet1 (2)'!F$526)/'Sheet1 (2)'!F$527</f>
        <v>1.2684811135846812</v>
      </c>
      <c r="G185" s="48">
        <f>('Sheet1 (2)'!G185-'Sheet1 (2)'!G$526)/'Sheet1 (2)'!G$527</f>
        <v>1.0928195734674626</v>
      </c>
      <c r="H185" s="48">
        <f>('Sheet1 (2)'!H185-'Sheet1 (2)'!H$526)/'Sheet1 (2)'!H$527</f>
        <v>-1.1230428312249612</v>
      </c>
      <c r="I185" s="48">
        <f>('Sheet1 (2)'!I185-'Sheet1 (2)'!I$526)/'Sheet1 (2)'!I$527</f>
        <v>0.15189622854366855</v>
      </c>
      <c r="J185" s="48">
        <f>('Sheet1 (2)'!J185-'Sheet1 (2)'!J$526)/'Sheet1 (2)'!J$527</f>
        <v>0.15639348506745068</v>
      </c>
      <c r="K185" s="48">
        <f>('Sheet1 (2)'!K185-'Sheet1 (2)'!K$526)/'Sheet1 (2)'!K$527</f>
        <v>2.9642927165947266E-2</v>
      </c>
    </row>
    <row r="186" spans="1:11" ht="12.75" x14ac:dyDescent="0.2">
      <c r="A186" s="50">
        <v>12</v>
      </c>
      <c r="B186" s="48">
        <f>('Sheet1 (2)'!B186-'Sheet1 (2)'!B$526)/'Sheet1 (2)'!B$527</f>
        <v>-1.2242915745870349</v>
      </c>
      <c r="C186" s="48">
        <f>('Sheet1 (2)'!C186-'Sheet1 (2)'!C$526)/'Sheet1 (2)'!C$527</f>
        <v>0.50471942071221376</v>
      </c>
      <c r="D186" s="48">
        <f>('Sheet1 (2)'!D186-'Sheet1 (2)'!D$526)/'Sheet1 (2)'!D$527</f>
        <v>-0.4704097020702403</v>
      </c>
      <c r="E186" s="48">
        <f>('Sheet1 (2)'!E186-'Sheet1 (2)'!E$526)/'Sheet1 (2)'!E$527</f>
        <v>8.6055436412172337E-2</v>
      </c>
      <c r="F186" s="48">
        <f>('Sheet1 (2)'!F186-'Sheet1 (2)'!F$526)/'Sheet1 (2)'!F$527</f>
        <v>3.5300958634082259E-2</v>
      </c>
      <c r="G186" s="48">
        <f>('Sheet1 (2)'!G186-'Sheet1 (2)'!G$526)/'Sheet1 (2)'!G$527</f>
        <v>-0.50144115274505707</v>
      </c>
      <c r="H186" s="48">
        <f>('Sheet1 (2)'!H186-'Sheet1 (2)'!H$526)/'Sheet1 (2)'!H$527</f>
        <v>1.3943940594391337</v>
      </c>
      <c r="I186" s="48">
        <f>('Sheet1 (2)'!I186-'Sheet1 (2)'!I$526)/'Sheet1 (2)'!I$527</f>
        <v>-0.8315557084019316</v>
      </c>
      <c r="J186" s="48">
        <f>('Sheet1 (2)'!J186-'Sheet1 (2)'!J$526)/'Sheet1 (2)'!J$527</f>
        <v>-0.81767885046786937</v>
      </c>
      <c r="K186" s="48">
        <f>('Sheet1 (2)'!K186-'Sheet1 (2)'!K$526)/'Sheet1 (2)'!K$527</f>
        <v>-2.0275301206373406</v>
      </c>
    </row>
    <row r="187" spans="1:11" ht="12.75" x14ac:dyDescent="0.2">
      <c r="A187" s="49">
        <v>12</v>
      </c>
      <c r="B187" s="48">
        <f>('Sheet1 (2)'!B187-'Sheet1 (2)'!B$526)/'Sheet1 (2)'!B$527</f>
        <v>-1.2242915745870349</v>
      </c>
      <c r="C187" s="48">
        <f>('Sheet1 (2)'!C187-'Sheet1 (2)'!C$526)/'Sheet1 (2)'!C$527</f>
        <v>0.77908064117198195</v>
      </c>
      <c r="D187" s="48">
        <f>('Sheet1 (2)'!D187-'Sheet1 (2)'!D$526)/'Sheet1 (2)'!D$527</f>
        <v>-0.4704097020702403</v>
      </c>
      <c r="E187" s="48">
        <f>('Sheet1 (2)'!E187-'Sheet1 (2)'!E$526)/'Sheet1 (2)'!E$527</f>
        <v>-0.50443236093596944</v>
      </c>
      <c r="F187" s="48">
        <f>('Sheet1 (2)'!F187-'Sheet1 (2)'!F$526)/'Sheet1 (2)'!F$527</f>
        <v>3.5300958634082259E-2</v>
      </c>
      <c r="G187" s="48">
        <f>('Sheet1 (2)'!G187-'Sheet1 (2)'!G$526)/'Sheet1 (2)'!G$527</f>
        <v>-0.35352829700317334</v>
      </c>
      <c r="H187" s="48">
        <f>('Sheet1 (2)'!H187-'Sheet1 (2)'!H$526)/'Sheet1 (2)'!H$527</f>
        <v>-0.30347649789319658</v>
      </c>
      <c r="I187" s="48">
        <f>('Sheet1 (2)'!I187-'Sheet1 (2)'!I$526)/'Sheet1 (2)'!I$527</f>
        <v>-2.6375824562889102E-2</v>
      </c>
      <c r="J187" s="48">
        <f>('Sheet1 (2)'!J187-'Sheet1 (2)'!J$526)/'Sheet1 (2)'!J$527</f>
        <v>0.31501348522654637</v>
      </c>
      <c r="K187" s="48">
        <f>('Sheet1 (2)'!K187-'Sheet1 (2)'!K$526)/'Sheet1 (2)'!K$527</f>
        <v>-1.2117103393269735</v>
      </c>
    </row>
    <row r="188" spans="1:11" ht="12.75" x14ac:dyDescent="0.2">
      <c r="A188" s="50">
        <v>12</v>
      </c>
      <c r="B188" s="48">
        <f>('Sheet1 (2)'!B188-'Sheet1 (2)'!B$526)/'Sheet1 (2)'!B$527</f>
        <v>-1.2242915745870349</v>
      </c>
      <c r="C188" s="48">
        <f>('Sheet1 (2)'!C188-'Sheet1 (2)'!C$526)/'Sheet1 (2)'!C$527</f>
        <v>-1.1272759200957909</v>
      </c>
      <c r="D188" s="48">
        <f>('Sheet1 (2)'!D188-'Sheet1 (2)'!D$526)/'Sheet1 (2)'!D$527</f>
        <v>1.4257032508898051</v>
      </c>
      <c r="E188" s="48">
        <f>('Sheet1 (2)'!E188-'Sheet1 (2)'!E$526)/'Sheet1 (2)'!E$527</f>
        <v>-0.28615866152712333</v>
      </c>
      <c r="F188" s="48">
        <f>('Sheet1 (2)'!F188-'Sheet1 (2)'!F$526)/'Sheet1 (2)'!F$527</f>
        <v>-1.1978791963165167</v>
      </c>
      <c r="G188" s="48">
        <f>('Sheet1 (2)'!G188-'Sheet1 (2)'!G$526)/'Sheet1 (2)'!G$527</f>
        <v>0.37084493165707877</v>
      </c>
      <c r="H188" s="48">
        <f>('Sheet1 (2)'!H188-'Sheet1 (2)'!H$526)/'Sheet1 (2)'!H$527</f>
        <v>-1.3355357886444528</v>
      </c>
      <c r="I188" s="48">
        <f>('Sheet1 (2)'!I188-'Sheet1 (2)'!I$526)/'Sheet1 (2)'!I$527</f>
        <v>0.43003796585128212</v>
      </c>
      <c r="J188" s="48">
        <f>('Sheet1 (2)'!J188-'Sheet1 (2)'!J$526)/'Sheet1 (2)'!J$527</f>
        <v>-0.45231109723724039</v>
      </c>
      <c r="K188" s="48">
        <f>('Sheet1 (2)'!K188-'Sheet1 (2)'!K$526)/'Sheet1 (2)'!K$527</f>
        <v>-0.25781593947539028</v>
      </c>
    </row>
    <row r="189" spans="1:11" ht="12.75" x14ac:dyDescent="0.2">
      <c r="A189" s="51">
        <v>12</v>
      </c>
      <c r="B189" s="48">
        <f>('Sheet1 (2)'!B189-'Sheet1 (2)'!B$526)/'Sheet1 (2)'!B$527</f>
        <v>-1.2242915745870349</v>
      </c>
      <c r="C189" s="48">
        <f>('Sheet1 (2)'!C189-'Sheet1 (2)'!C$526)/'Sheet1 (2)'!C$527</f>
        <v>-0.90552035440520484</v>
      </c>
      <c r="D189" s="48">
        <f>('Sheet1 (2)'!D189-'Sheet1 (2)'!D$526)/'Sheet1 (2)'!D$527</f>
        <v>-0.4704097020702403</v>
      </c>
      <c r="E189" s="48">
        <f>('Sheet1 (2)'!E189-'Sheet1 (2)'!E$526)/'Sheet1 (2)'!E$527</f>
        <v>-0.67675370257453227</v>
      </c>
      <c r="F189" s="48">
        <f>('Sheet1 (2)'!F189-'Sheet1 (2)'!F$526)/'Sheet1 (2)'!F$527</f>
        <v>-1.1978791963165167</v>
      </c>
      <c r="G189" s="48">
        <f>('Sheet1 (2)'!G189-'Sheet1 (2)'!G$526)/'Sheet1 (2)'!G$527</f>
        <v>-0.17683239906286902</v>
      </c>
      <c r="H189" s="48">
        <f>('Sheet1 (2)'!H189-'Sheet1 (2)'!H$526)/'Sheet1 (2)'!H$527</f>
        <v>-0.33768268128267626</v>
      </c>
      <c r="I189" s="48">
        <f>('Sheet1 (2)'!I189-'Sheet1 (2)'!I$526)/'Sheet1 (2)'!I$527</f>
        <v>-2.2362648179588391</v>
      </c>
      <c r="J189" s="48">
        <f>('Sheet1 (2)'!J189-'Sheet1 (2)'!J$526)/'Sheet1 (2)'!J$527</f>
        <v>-9.3628614861489563E-3</v>
      </c>
      <c r="K189" s="48">
        <f>('Sheet1 (2)'!K189-'Sheet1 (2)'!K$526)/'Sheet1 (2)'!K$527</f>
        <v>-0.37174484582949996</v>
      </c>
    </row>
    <row r="190" spans="1:11" ht="12.75" x14ac:dyDescent="0.2">
      <c r="A190" s="48">
        <v>12</v>
      </c>
      <c r="B190" s="48">
        <f>('Sheet1 (2)'!B190-'Sheet1 (2)'!B$526)/'Sheet1 (2)'!B$527</f>
        <v>1.1794716518179513E-2</v>
      </c>
      <c r="C190" s="48">
        <f>('Sheet1 (2)'!C190-'Sheet1 (2)'!C$526)/'Sheet1 (2)'!C$527</f>
        <v>-5.6689143447500701E-2</v>
      </c>
      <c r="D190" s="48">
        <f>('Sheet1 (2)'!D190-'Sheet1 (2)'!D$526)/'Sheet1 (2)'!D$527</f>
        <v>-0.4704097020702403</v>
      </c>
      <c r="E190" s="48">
        <f>('Sheet1 (2)'!E190-'Sheet1 (2)'!E$526)/'Sheet1 (2)'!E$527</f>
        <v>-0.66296799524344718</v>
      </c>
      <c r="F190" s="48">
        <f>('Sheet1 (2)'!F190-'Sheet1 (2)'!F$526)/'Sheet1 (2)'!F$527</f>
        <v>1.2684811135846812</v>
      </c>
      <c r="G190" s="48">
        <f>('Sheet1 (2)'!G190-'Sheet1 (2)'!G$526)/'Sheet1 (2)'!G$527</f>
        <v>-0.50144115274505707</v>
      </c>
      <c r="H190" s="48">
        <f>('Sheet1 (2)'!H190-'Sheet1 (2)'!H$526)/'Sheet1 (2)'!H$527</f>
        <v>0.67948268622819252</v>
      </c>
      <c r="I190" s="48">
        <f>('Sheet1 (2)'!I190-'Sheet1 (2)'!I$526)/'Sheet1 (2)'!I$527</f>
        <v>0.61075183314954751</v>
      </c>
      <c r="J190" s="48">
        <f>('Sheet1 (2)'!J190-'Sheet1 (2)'!J$526)/'Sheet1 (2)'!J$527</f>
        <v>-9.0459832379045146E-2</v>
      </c>
      <c r="K190" s="48">
        <f>('Sheet1 (2)'!K190-'Sheet1 (2)'!K$526)/'Sheet1 (2)'!K$527</f>
        <v>0.49948929582869617</v>
      </c>
    </row>
    <row r="191" spans="1:11" ht="12.75" x14ac:dyDescent="0.2">
      <c r="A191" s="49">
        <v>12</v>
      </c>
      <c r="B191" s="48">
        <f>('Sheet1 (2)'!B191-'Sheet1 (2)'!B$526)/'Sheet1 (2)'!B$527</f>
        <v>1.1794716518179513E-2</v>
      </c>
      <c r="C191" s="48">
        <f>('Sheet1 (2)'!C191-'Sheet1 (2)'!C$526)/'Sheet1 (2)'!C$527</f>
        <v>0.79752436941507776</v>
      </c>
      <c r="D191" s="48">
        <f>('Sheet1 (2)'!D191-'Sheet1 (2)'!D$526)/'Sheet1 (2)'!D$527</f>
        <v>1.4257032508898051</v>
      </c>
      <c r="E191" s="48">
        <f>('Sheet1 (2)'!E191-'Sheet1 (2)'!E$526)/'Sheet1 (2)'!E$527</f>
        <v>0.72709082730762586</v>
      </c>
      <c r="F191" s="48">
        <f>('Sheet1 (2)'!F191-'Sheet1 (2)'!F$526)/'Sheet1 (2)'!F$527</f>
        <v>1.2684811135846812</v>
      </c>
      <c r="G191" s="48">
        <f>('Sheet1 (2)'!G191-'Sheet1 (2)'!G$526)/'Sheet1 (2)'!G$527</f>
        <v>-0.50144115274505707</v>
      </c>
      <c r="H191" s="48">
        <f>('Sheet1 (2)'!H191-'Sheet1 (2)'!H$526)/'Sheet1 (2)'!H$527</f>
        <v>5.8940262507668179E-2</v>
      </c>
      <c r="I191" s="48">
        <f>('Sheet1 (2)'!I191-'Sheet1 (2)'!I$526)/'Sheet1 (2)'!I$527</f>
        <v>0.65205789929313474</v>
      </c>
      <c r="J191" s="48">
        <f>('Sheet1 (2)'!J191-'Sheet1 (2)'!J$526)/'Sheet1 (2)'!J$527</f>
        <v>-0.83945425120312078</v>
      </c>
      <c r="K191" s="48">
        <f>('Sheet1 (2)'!K191-'Sheet1 (2)'!K$526)/'Sheet1 (2)'!K$527</f>
        <v>-0.45930705385076881</v>
      </c>
    </row>
    <row r="192" spans="1:11" ht="12.75" x14ac:dyDescent="0.2">
      <c r="A192" s="50">
        <v>12</v>
      </c>
      <c r="B192" s="48">
        <f>('Sheet1 (2)'!B192-'Sheet1 (2)'!B$526)/'Sheet1 (2)'!B$527</f>
        <v>1.1794716518179513E-2</v>
      </c>
      <c r="C192" s="48">
        <f>('Sheet1 (2)'!C192-'Sheet1 (2)'!C$526)/'Sheet1 (2)'!C$527</f>
        <v>0.49994000739541078</v>
      </c>
      <c r="D192" s="48">
        <f>('Sheet1 (2)'!D192-'Sheet1 (2)'!D$526)/'Sheet1 (2)'!D$527</f>
        <v>-0.4704097020702403</v>
      </c>
      <c r="E192" s="48">
        <f>('Sheet1 (2)'!E192-'Sheet1 (2)'!E$526)/'Sheet1 (2)'!E$527</f>
        <v>-0.54578948292922458</v>
      </c>
      <c r="F192" s="48">
        <f>('Sheet1 (2)'!F192-'Sheet1 (2)'!F$526)/'Sheet1 (2)'!F$527</f>
        <v>3.5300958634082259E-2</v>
      </c>
      <c r="G192" s="48">
        <f>('Sheet1 (2)'!G192-'Sheet1 (2)'!G$526)/'Sheet1 (2)'!G$527</f>
        <v>-0.50144115274505707</v>
      </c>
      <c r="H192" s="48">
        <f>('Sheet1 (2)'!H192-'Sheet1 (2)'!H$526)/'Sheet1 (2)'!H$527</f>
        <v>-0.2278422906393191</v>
      </c>
      <c r="I192" s="48">
        <f>('Sheet1 (2)'!I192-'Sheet1 (2)'!I$526)/'Sheet1 (2)'!I$527</f>
        <v>-0.45416652791632589</v>
      </c>
      <c r="J192" s="48">
        <f>('Sheet1 (2)'!J192-'Sheet1 (2)'!J$526)/'Sheet1 (2)'!J$527</f>
        <v>-0.83945425120312078</v>
      </c>
      <c r="K192" s="48">
        <f>('Sheet1 (2)'!K192-'Sheet1 (2)'!K$526)/'Sheet1 (2)'!K$527</f>
        <v>-0.95421202854647846</v>
      </c>
    </row>
    <row r="193" spans="1:11" ht="12.75" x14ac:dyDescent="0.2">
      <c r="A193" s="49">
        <v>12</v>
      </c>
      <c r="B193" s="48">
        <f>('Sheet1 (2)'!B193-'Sheet1 (2)'!B$526)/'Sheet1 (2)'!B$527</f>
        <v>1.1794716518179513E-2</v>
      </c>
      <c r="C193" s="48">
        <f>('Sheet1 (2)'!C193-'Sheet1 (2)'!C$526)/'Sheet1 (2)'!C$527</f>
        <v>1.1569704599910806</v>
      </c>
      <c r="D193" s="48">
        <f>('Sheet1 (2)'!D193-'Sheet1 (2)'!D$526)/'Sheet1 (2)'!D$527</f>
        <v>-0.4704097020702403</v>
      </c>
      <c r="E193" s="48">
        <f>('Sheet1 (2)'!E193-'Sheet1 (2)'!E$526)/'Sheet1 (2)'!E$527</f>
        <v>-0.41023002750688853</v>
      </c>
      <c r="F193" s="48">
        <f>('Sheet1 (2)'!F193-'Sheet1 (2)'!F$526)/'Sheet1 (2)'!F$527</f>
        <v>3.5300958634082259E-2</v>
      </c>
      <c r="G193" s="48">
        <f>('Sheet1 (2)'!G193-'Sheet1 (2)'!G$526)/'Sheet1 (2)'!G$527</f>
        <v>-0.50144115274505707</v>
      </c>
      <c r="H193" s="48">
        <f>('Sheet1 (2)'!H193-'Sheet1 (2)'!H$526)/'Sheet1 (2)'!H$527</f>
        <v>0.95126888410270161</v>
      </c>
      <c r="I193" s="48">
        <f>('Sheet1 (2)'!I193-'Sheet1 (2)'!I$526)/'Sheet1 (2)'!I$527</f>
        <v>0.6478278304798466</v>
      </c>
      <c r="J193" s="48">
        <f>('Sheet1 (2)'!J193-'Sheet1 (2)'!J$526)/'Sheet1 (2)'!J$527</f>
        <v>-0.83945425120312078</v>
      </c>
      <c r="K193" s="48">
        <f>('Sheet1 (2)'!K193-'Sheet1 (2)'!K$526)/'Sheet1 (2)'!K$527</f>
        <v>-0.95941553881831276</v>
      </c>
    </row>
    <row r="194" spans="1:11" ht="12.75" x14ac:dyDescent="0.2">
      <c r="A194" s="50">
        <v>12</v>
      </c>
      <c r="B194" s="48">
        <f>('Sheet1 (2)'!B194-'Sheet1 (2)'!B$526)/'Sheet1 (2)'!B$527</f>
        <v>1.1794716518179513E-2</v>
      </c>
      <c r="C194" s="48">
        <f>('Sheet1 (2)'!C194-'Sheet1 (2)'!C$526)/'Sheet1 (2)'!C$527</f>
        <v>1.4529934572597334</v>
      </c>
      <c r="D194" s="48">
        <f>('Sheet1 (2)'!D194-'Sheet1 (2)'!D$526)/'Sheet1 (2)'!D$527</f>
        <v>-0.4704097020702403</v>
      </c>
      <c r="E194" s="48">
        <f>('Sheet1 (2)'!E194-'Sheet1 (2)'!E$526)/'Sheet1 (2)'!E$527</f>
        <v>-0.53430139348665362</v>
      </c>
      <c r="F194" s="48">
        <f>('Sheet1 (2)'!F194-'Sheet1 (2)'!F$526)/'Sheet1 (2)'!F$527</f>
        <v>-1.1978791963165167</v>
      </c>
      <c r="G194" s="48">
        <f>('Sheet1 (2)'!G194-'Sheet1 (2)'!G$526)/'Sheet1 (2)'!G$527</f>
        <v>-0.50144115274505707</v>
      </c>
      <c r="H194" s="48">
        <f>('Sheet1 (2)'!H194-'Sheet1 (2)'!H$526)/'Sheet1 (2)'!H$527</f>
        <v>0.74812284961593301</v>
      </c>
      <c r="I194" s="48">
        <f>('Sheet1 (2)'!I194-'Sheet1 (2)'!I$526)/'Sheet1 (2)'!I$527</f>
        <v>-7.5478832286902442E-2</v>
      </c>
      <c r="J194" s="48">
        <f>('Sheet1 (2)'!J194-'Sheet1 (2)'!J$526)/'Sheet1 (2)'!J$527</f>
        <v>-0.83945425120312078</v>
      </c>
      <c r="K194" s="48">
        <f>('Sheet1 (2)'!K194-'Sheet1 (2)'!K$526)/'Sheet1 (2)'!K$527</f>
        <v>-0.44069680635649067</v>
      </c>
    </row>
    <row r="195" spans="1:11" ht="12.75" x14ac:dyDescent="0.2">
      <c r="A195" s="51">
        <v>12</v>
      </c>
      <c r="B195" s="48">
        <f>('Sheet1 (2)'!B195-'Sheet1 (2)'!B$526)/'Sheet1 (2)'!B$527</f>
        <v>1.1794716518179513E-2</v>
      </c>
      <c r="C195" s="48">
        <f>('Sheet1 (2)'!C195-'Sheet1 (2)'!C$526)/'Sheet1 (2)'!C$527</f>
        <v>1.8095964123680433</v>
      </c>
      <c r="D195" s="48">
        <f>('Sheet1 (2)'!D195-'Sheet1 (2)'!D$526)/'Sheet1 (2)'!D$527</f>
        <v>-0.4704097020702403</v>
      </c>
      <c r="E195" s="48">
        <f>('Sheet1 (2)'!E195-'Sheet1 (2)'!E$526)/'Sheet1 (2)'!E$527</f>
        <v>-0.95246784919623262</v>
      </c>
      <c r="F195" s="48">
        <f>('Sheet1 (2)'!F195-'Sheet1 (2)'!F$526)/'Sheet1 (2)'!F$527</f>
        <v>-1.1978791963165167</v>
      </c>
      <c r="G195" s="48">
        <f>('Sheet1 (2)'!G195-'Sheet1 (2)'!G$526)/'Sheet1 (2)'!G$527</f>
        <v>-0.50144115274505707</v>
      </c>
      <c r="H195" s="48">
        <f>('Sheet1 (2)'!H195-'Sheet1 (2)'!H$526)/'Sheet1 (2)'!H$527</f>
        <v>1.5611033383738404</v>
      </c>
      <c r="I195" s="48">
        <f>('Sheet1 (2)'!I195-'Sheet1 (2)'!I$526)/'Sheet1 (2)'!I$527</f>
        <v>0.2476094941410244</v>
      </c>
      <c r="J195" s="48">
        <f>('Sheet1 (2)'!J195-'Sheet1 (2)'!J$526)/'Sheet1 (2)'!J$527</f>
        <v>-0.10930736694800537</v>
      </c>
      <c r="K195" s="48">
        <f>('Sheet1 (2)'!K195-'Sheet1 (2)'!K$526)/'Sheet1 (2)'!K$527</f>
        <v>-1.1240385287824259</v>
      </c>
    </row>
    <row r="196" spans="1:11" ht="12.75" x14ac:dyDescent="0.2">
      <c r="A196" s="48">
        <v>12</v>
      </c>
      <c r="B196" s="48">
        <f>('Sheet1 (2)'!B196-'Sheet1 (2)'!B$526)/'Sheet1 (2)'!B$527</f>
        <v>1.2478810076233939</v>
      </c>
      <c r="C196" s="48">
        <f>('Sheet1 (2)'!C196-'Sheet1 (2)'!C$526)/'Sheet1 (2)'!C$527</f>
        <v>-5.0101173269973702E-2</v>
      </c>
      <c r="D196" s="48">
        <f>('Sheet1 (2)'!D196-'Sheet1 (2)'!D$526)/'Sheet1 (2)'!D$527</f>
        <v>-0.4704097020702403</v>
      </c>
      <c r="E196" s="48">
        <f>('Sheet1 (2)'!E196-'Sheet1 (2)'!E$526)/'Sheet1 (2)'!E$527</f>
        <v>-0.4469919137231152</v>
      </c>
      <c r="F196" s="48">
        <f>('Sheet1 (2)'!F196-'Sheet1 (2)'!F$526)/'Sheet1 (2)'!F$527</f>
        <v>1.2684811135846812</v>
      </c>
      <c r="G196" s="48">
        <f>('Sheet1 (2)'!G196-'Sheet1 (2)'!G$526)/'Sheet1 (2)'!G$527</f>
        <v>-0.50144115274505707</v>
      </c>
      <c r="H196" s="48">
        <f>('Sheet1 (2)'!H196-'Sheet1 (2)'!H$526)/'Sheet1 (2)'!H$527</f>
        <v>1.2499679517946665</v>
      </c>
      <c r="I196" s="48">
        <f>('Sheet1 (2)'!I196-'Sheet1 (2)'!I$526)/'Sheet1 (2)'!I$527</f>
        <v>0.65457479132050744</v>
      </c>
      <c r="J196" s="48">
        <f>('Sheet1 (2)'!J196-'Sheet1 (2)'!J$526)/'Sheet1 (2)'!J$527</f>
        <v>-0.83945425120312078</v>
      </c>
      <c r="K196" s="48">
        <f>('Sheet1 (2)'!K196-'Sheet1 (2)'!K$526)/'Sheet1 (2)'!K$527</f>
        <v>-0.98538925883330186</v>
      </c>
    </row>
    <row r="197" spans="1:11" ht="12.75" x14ac:dyDescent="0.2">
      <c r="A197" s="49">
        <v>12</v>
      </c>
      <c r="B197" s="48">
        <f>('Sheet1 (2)'!B197-'Sheet1 (2)'!B$526)/'Sheet1 (2)'!B$527</f>
        <v>1.2478810076233939</v>
      </c>
      <c r="C197" s="48">
        <f>('Sheet1 (2)'!C197-'Sheet1 (2)'!C$526)/'Sheet1 (2)'!C$527</f>
        <v>-0.73645257002041364</v>
      </c>
      <c r="D197" s="48">
        <f>('Sheet1 (2)'!D197-'Sheet1 (2)'!D$526)/'Sheet1 (2)'!D$527</f>
        <v>-0.4704097020702403</v>
      </c>
      <c r="E197" s="48">
        <f>('Sheet1 (2)'!E197-'Sheet1 (2)'!E$526)/'Sheet1 (2)'!E$527</f>
        <v>-0.2769681899730666</v>
      </c>
      <c r="F197" s="48">
        <f>('Sheet1 (2)'!F197-'Sheet1 (2)'!F$526)/'Sheet1 (2)'!F$527</f>
        <v>1.2684811135846812</v>
      </c>
      <c r="G197" s="48">
        <f>('Sheet1 (2)'!G197-'Sheet1 (2)'!G$526)/'Sheet1 (2)'!G$527</f>
        <v>3.2600168227818771</v>
      </c>
      <c r="H197" s="48">
        <f>('Sheet1 (2)'!H197-'Sheet1 (2)'!H$526)/'Sheet1 (2)'!H$527</f>
        <v>-1.2679296282080073</v>
      </c>
      <c r="I197" s="48">
        <f>('Sheet1 (2)'!I197-'Sheet1 (2)'!I$526)/'Sheet1 (2)'!I$527</f>
        <v>0.6005089602057786</v>
      </c>
      <c r="J197" s="48">
        <f>('Sheet1 (2)'!J197-'Sheet1 (2)'!J$526)/'Sheet1 (2)'!J$527</f>
        <v>-0.62331450462349058</v>
      </c>
      <c r="K197" s="48">
        <f>('Sheet1 (2)'!K197-'Sheet1 (2)'!K$526)/'Sheet1 (2)'!K$527</f>
        <v>-0.3897693270215361</v>
      </c>
    </row>
    <row r="198" spans="1:11" ht="12.75" x14ac:dyDescent="0.2">
      <c r="A198" s="50">
        <v>12</v>
      </c>
      <c r="B198" s="48">
        <f>('Sheet1 (2)'!B198-'Sheet1 (2)'!B$526)/'Sheet1 (2)'!B$527</f>
        <v>1.2478810076233939</v>
      </c>
      <c r="C198" s="48">
        <f>('Sheet1 (2)'!C198-'Sheet1 (2)'!C$526)/'Sheet1 (2)'!C$527</f>
        <v>1.8795087556413608E-2</v>
      </c>
      <c r="D198" s="48">
        <f>('Sheet1 (2)'!D198-'Sheet1 (2)'!D$526)/'Sheet1 (2)'!D$527</f>
        <v>1.4257032508898051</v>
      </c>
      <c r="E198" s="48">
        <f>('Sheet1 (2)'!E198-'Sheet1 (2)'!E$526)/'Sheet1 (2)'!E$527</f>
        <v>1.9424517645261385E-2</v>
      </c>
      <c r="F198" s="48">
        <f>('Sheet1 (2)'!F198-'Sheet1 (2)'!F$526)/'Sheet1 (2)'!F$527</f>
        <v>3.5300958634082259E-2</v>
      </c>
      <c r="G198" s="48">
        <f>('Sheet1 (2)'!G198-'Sheet1 (2)'!G$526)/'Sheet1 (2)'!G$527</f>
        <v>-0.50144115274505707</v>
      </c>
      <c r="H198" s="48">
        <f>('Sheet1 (2)'!H198-'Sheet1 (2)'!H$526)/'Sheet1 (2)'!H$527</f>
        <v>1.3591769188899947</v>
      </c>
      <c r="I198" s="48">
        <f>('Sheet1 (2)'!I198-'Sheet1 (2)'!I$526)/'Sheet1 (2)'!I$527</f>
        <v>-1.4704474403192669</v>
      </c>
      <c r="J198" s="48">
        <f>('Sheet1 (2)'!J198-'Sheet1 (2)'!J$526)/'Sheet1 (2)'!J$527</f>
        <v>0.89136789232801728</v>
      </c>
      <c r="K198" s="48">
        <f>('Sheet1 (2)'!K198-'Sheet1 (2)'!K$526)/'Sheet1 (2)'!K$527</f>
        <v>0.35228730799054114</v>
      </c>
    </row>
    <row r="199" spans="1:11" ht="12.75" x14ac:dyDescent="0.2">
      <c r="A199" s="49">
        <v>12</v>
      </c>
      <c r="B199" s="48">
        <f>('Sheet1 (2)'!B199-'Sheet1 (2)'!B$526)/'Sheet1 (2)'!B$527</f>
        <v>1.2478810076233939</v>
      </c>
      <c r="C199" s="48">
        <f>('Sheet1 (2)'!C199-'Sheet1 (2)'!C$526)/'Sheet1 (2)'!C$527</f>
        <v>3.8218528903516166E-2</v>
      </c>
      <c r="D199" s="48">
        <f>('Sheet1 (2)'!D199-'Sheet1 (2)'!D$526)/'Sheet1 (2)'!D$527</f>
        <v>-0.4704097020702403</v>
      </c>
      <c r="E199" s="48">
        <f>('Sheet1 (2)'!E199-'Sheet1 (2)'!E$526)/'Sheet1 (2)'!E$527</f>
        <v>-0.21493250698318389</v>
      </c>
      <c r="F199" s="48">
        <f>('Sheet1 (2)'!F199-'Sheet1 (2)'!F$526)/'Sheet1 (2)'!F$527</f>
        <v>3.5300958634082259E-2</v>
      </c>
      <c r="G199" s="48">
        <f>('Sheet1 (2)'!G199-'Sheet1 (2)'!G$526)/'Sheet1 (2)'!G$527</f>
        <v>0.34831006014164856</v>
      </c>
      <c r="H199" s="48">
        <f>('Sheet1 (2)'!H199-'Sheet1 (2)'!H$526)/'Sheet1 (2)'!H$527</f>
        <v>-8.0989141211758528E-2</v>
      </c>
      <c r="I199" s="48">
        <f>('Sheet1 (2)'!I199-'Sheet1 (2)'!I$526)/'Sheet1 (2)'!I$527</f>
        <v>-0.54388446505598032</v>
      </c>
      <c r="J199" s="48">
        <f>('Sheet1 (2)'!J199-'Sheet1 (2)'!J$526)/'Sheet1 (2)'!J$527</f>
        <v>-0.78929492901091602</v>
      </c>
      <c r="K199" s="48">
        <f>('Sheet1 (2)'!K199-'Sheet1 (2)'!K$526)/'Sheet1 (2)'!K$527</f>
        <v>-1.0025143148161546</v>
      </c>
    </row>
    <row r="200" spans="1:11" ht="12.75" x14ac:dyDescent="0.2">
      <c r="A200" s="50">
        <v>12</v>
      </c>
      <c r="B200" s="48">
        <f>('Sheet1 (2)'!B200-'Sheet1 (2)'!B$526)/'Sheet1 (2)'!B$527</f>
        <v>1.2478810076233939</v>
      </c>
      <c r="C200" s="48">
        <f>('Sheet1 (2)'!C200-'Sheet1 (2)'!C$526)/'Sheet1 (2)'!C$527</f>
        <v>-0.34347399970392145</v>
      </c>
      <c r="D200" s="48">
        <f>('Sheet1 (2)'!D200-'Sheet1 (2)'!D$526)/'Sheet1 (2)'!D$527</f>
        <v>-0.4704097020702403</v>
      </c>
      <c r="E200" s="48">
        <f>('Sheet1 (2)'!E200-'Sheet1 (2)'!E$526)/'Sheet1 (2)'!E$527</f>
        <v>-0.89502740198337849</v>
      </c>
      <c r="F200" s="48">
        <f>('Sheet1 (2)'!F200-'Sheet1 (2)'!F$526)/'Sheet1 (2)'!F$527</f>
        <v>-1.1978791963165167</v>
      </c>
      <c r="G200" s="48">
        <f>('Sheet1 (2)'!G200-'Sheet1 (2)'!G$526)/'Sheet1 (2)'!G$527</f>
        <v>0.4036848429719434</v>
      </c>
      <c r="H200" s="48">
        <f>('Sheet1 (2)'!H200-'Sheet1 (2)'!H$526)/'Sheet1 (2)'!H$527</f>
        <v>-0.44168329946685009</v>
      </c>
      <c r="I200" s="48">
        <f>('Sheet1 (2)'!I200-'Sheet1 (2)'!I$526)/'Sheet1 (2)'!I$527</f>
        <v>0.38032782189797032</v>
      </c>
      <c r="J200" s="48">
        <f>('Sheet1 (2)'!J200-'Sheet1 (2)'!J$526)/'Sheet1 (2)'!J$527</f>
        <v>1.5757126011286884E-2</v>
      </c>
      <c r="K200" s="48">
        <f>('Sheet1 (2)'!K200-'Sheet1 (2)'!K$526)/'Sheet1 (2)'!K$527</f>
        <v>-0.91828699865559416</v>
      </c>
    </row>
    <row r="201" spans="1:11" ht="12.75" x14ac:dyDescent="0.2">
      <c r="A201" s="51">
        <v>12</v>
      </c>
      <c r="B201" s="48">
        <f>('Sheet1 (2)'!B201-'Sheet1 (2)'!B$526)/'Sheet1 (2)'!B$527</f>
        <v>1.2478810076233939</v>
      </c>
      <c r="C201" s="48">
        <f>('Sheet1 (2)'!C201-'Sheet1 (2)'!C$526)/'Sheet1 (2)'!C$527</f>
        <v>-1.1292266830595679</v>
      </c>
      <c r="D201" s="48">
        <f>('Sheet1 (2)'!D201-'Sheet1 (2)'!D$526)/'Sheet1 (2)'!D$527</f>
        <v>-0.4704097020702403</v>
      </c>
      <c r="E201" s="48">
        <f>('Sheet1 (2)'!E201-'Sheet1 (2)'!E$526)/'Sheet1 (2)'!E$527</f>
        <v>-0.5480871008177387</v>
      </c>
      <c r="F201" s="48">
        <f>('Sheet1 (2)'!F201-'Sheet1 (2)'!F$526)/'Sheet1 (2)'!F$527</f>
        <v>-1.1978791963165167</v>
      </c>
      <c r="G201" s="48">
        <f>('Sheet1 (2)'!G201-'Sheet1 (2)'!G$526)/'Sheet1 (2)'!G$527</f>
        <v>0.39663714333899669</v>
      </c>
      <c r="H201" s="48">
        <f>('Sheet1 (2)'!H201-'Sheet1 (2)'!H$526)/'Sheet1 (2)'!H$527</f>
        <v>-1.0482064075580417</v>
      </c>
      <c r="I201" s="48">
        <f>('Sheet1 (2)'!I201-'Sheet1 (2)'!I$526)/'Sheet1 (2)'!I$527</f>
        <v>6.9601620984301484E-3</v>
      </c>
      <c r="J201" s="48">
        <f>('Sheet1 (2)'!J201-'Sheet1 (2)'!J$526)/'Sheet1 (2)'!J$527</f>
        <v>0.12260465281539373</v>
      </c>
      <c r="K201" s="48">
        <f>('Sheet1 (2)'!K201-'Sheet1 (2)'!K$526)/'Sheet1 (2)'!K$527</f>
        <v>-0.39282737273275947</v>
      </c>
    </row>
    <row r="202" spans="1:11" ht="12.75" x14ac:dyDescent="0.2">
      <c r="A202" s="48">
        <v>13</v>
      </c>
      <c r="B202" s="48">
        <f>('Sheet1 (2)'!B202-'Sheet1 (2)'!B$526)/'Sheet1 (2)'!B$527</f>
        <v>-1.2242915745870349</v>
      </c>
      <c r="C202" s="48">
        <f>('Sheet1 (2)'!C202-'Sheet1 (2)'!C$526)/'Sheet1 (2)'!C$527</f>
        <v>0.30281268687030416</v>
      </c>
      <c r="D202" s="48">
        <f>('Sheet1 (2)'!D202-'Sheet1 (2)'!D$526)/'Sheet1 (2)'!D$527</f>
        <v>1.4257032508898051</v>
      </c>
      <c r="E202" s="48">
        <f>('Sheet1 (2)'!E202-'Sheet1 (2)'!E$526)/'Sheet1 (2)'!E$527</f>
        <v>4.0241724973254609</v>
      </c>
      <c r="F202" s="48">
        <f>('Sheet1 (2)'!F202-'Sheet1 (2)'!F$526)/'Sheet1 (2)'!F$527</f>
        <v>1.2684811135846812</v>
      </c>
      <c r="G202" s="48">
        <f>('Sheet1 (2)'!G202-'Sheet1 (2)'!G$526)/'Sheet1 (2)'!G$527</f>
        <v>-7.865866010246654E-2</v>
      </c>
      <c r="H202" s="48">
        <f>('Sheet1 (2)'!H202-'Sheet1 (2)'!H$526)/'Sheet1 (2)'!H$527</f>
        <v>1.4107242841513896</v>
      </c>
      <c r="I202" s="48">
        <f>('Sheet1 (2)'!I202-'Sheet1 (2)'!I$526)/'Sheet1 (2)'!I$527</f>
        <v>0.6342640195249285</v>
      </c>
      <c r="J202" s="48">
        <f>('Sheet1 (2)'!J202-'Sheet1 (2)'!J$526)/'Sheet1 (2)'!J$527</f>
        <v>-0.2405749342815641</v>
      </c>
      <c r="K202" s="48">
        <f>('Sheet1 (2)'!K202-'Sheet1 (2)'!K$526)/'Sheet1 (2)'!K$527</f>
        <v>-0.89987204519605213</v>
      </c>
    </row>
    <row r="203" spans="1:11" ht="12.75" x14ac:dyDescent="0.2">
      <c r="A203" s="49">
        <v>13</v>
      </c>
      <c r="B203" s="48">
        <f>('Sheet1 (2)'!B203-'Sheet1 (2)'!B$526)/'Sheet1 (2)'!B$527</f>
        <v>-1.2242915745870349</v>
      </c>
      <c r="C203" s="48">
        <f>('Sheet1 (2)'!C203-'Sheet1 (2)'!C$526)/'Sheet1 (2)'!C$527</f>
        <v>-1.0545076941927838</v>
      </c>
      <c r="D203" s="48">
        <f>('Sheet1 (2)'!D203-'Sheet1 (2)'!D$526)/'Sheet1 (2)'!D$527</f>
        <v>-0.4704097020702403</v>
      </c>
      <c r="E203" s="48">
        <f>('Sheet1 (2)'!E203-'Sheet1 (2)'!E$526)/'Sheet1 (2)'!E$527</f>
        <v>0.56855519300014823</v>
      </c>
      <c r="F203" s="48">
        <f>('Sheet1 (2)'!F203-'Sheet1 (2)'!F$526)/'Sheet1 (2)'!F$527</f>
        <v>1.2684811135846812</v>
      </c>
      <c r="G203" s="48">
        <f>('Sheet1 (2)'!G203-'Sheet1 (2)'!G$526)/'Sheet1 (2)'!G$527</f>
        <v>2.235556845310021</v>
      </c>
      <c r="H203" s="48">
        <f>('Sheet1 (2)'!H203-'Sheet1 (2)'!H$526)/'Sheet1 (2)'!H$527</f>
        <v>-0.67323424741912996</v>
      </c>
      <c r="I203" s="48">
        <f>('Sheet1 (2)'!I203-'Sheet1 (2)'!I$526)/'Sheet1 (2)'!I$527</f>
        <v>-0.76065298130067371</v>
      </c>
      <c r="J203" s="48">
        <f>('Sheet1 (2)'!J203-'Sheet1 (2)'!J$526)/'Sheet1 (2)'!J$527</f>
        <v>6.042329253661826E-2</v>
      </c>
      <c r="K203" s="48">
        <f>('Sheet1 (2)'!K203-'Sheet1 (2)'!K$526)/'Sheet1 (2)'!K$527</f>
        <v>-0.17085923974771353</v>
      </c>
    </row>
    <row r="204" spans="1:11" ht="12.75" x14ac:dyDescent="0.2">
      <c r="A204" s="50">
        <v>13</v>
      </c>
      <c r="B204" s="48">
        <f>('Sheet1 (2)'!B204-'Sheet1 (2)'!B$526)/'Sheet1 (2)'!B$527</f>
        <v>-1.2242915745870349</v>
      </c>
      <c r="C204" s="48">
        <f>('Sheet1 (2)'!C204-'Sheet1 (2)'!C$526)/'Sheet1 (2)'!C$527</f>
        <v>1.4880186259611783</v>
      </c>
      <c r="D204" s="48">
        <f>('Sheet1 (2)'!D204-'Sheet1 (2)'!D$526)/'Sheet1 (2)'!D$527</f>
        <v>-0.4704097020702403</v>
      </c>
      <c r="E204" s="48">
        <f>('Sheet1 (2)'!E204-'Sheet1 (2)'!E$526)/'Sheet1 (2)'!E$527</f>
        <v>-0.58025375125693712</v>
      </c>
      <c r="F204" s="48">
        <f>('Sheet1 (2)'!F204-'Sheet1 (2)'!F$526)/'Sheet1 (2)'!F$527</f>
        <v>3.5300958634082259E-2</v>
      </c>
      <c r="G204" s="48">
        <f>('Sheet1 (2)'!G204-'Sheet1 (2)'!G$526)/'Sheet1 (2)'!G$527</f>
        <v>-0.49500284067435774</v>
      </c>
      <c r="H204" s="48">
        <f>('Sheet1 (2)'!H204-'Sheet1 (2)'!H$526)/'Sheet1 (2)'!H$527</f>
        <v>4.7488913548973386</v>
      </c>
      <c r="I204" s="48">
        <f>('Sheet1 (2)'!I204-'Sheet1 (2)'!I$526)/'Sheet1 (2)'!I$527</f>
        <v>-0.41909178393228153</v>
      </c>
      <c r="J204" s="48">
        <f>('Sheet1 (2)'!J204-'Sheet1 (2)'!J$526)/'Sheet1 (2)'!J$527</f>
        <v>0.19315817313695854</v>
      </c>
      <c r="K204" s="48">
        <f>('Sheet1 (2)'!K204-'Sheet1 (2)'!K$526)/'Sheet1 (2)'!K$527</f>
        <v>-0.70996740652906187</v>
      </c>
    </row>
    <row r="205" spans="1:11" ht="12.75" x14ac:dyDescent="0.2">
      <c r="A205" s="49">
        <v>13</v>
      </c>
      <c r="B205" s="48">
        <f>('Sheet1 (2)'!B205-'Sheet1 (2)'!B$526)/'Sheet1 (2)'!B$527</f>
        <v>-1.2242915745870349</v>
      </c>
      <c r="C205" s="48">
        <f>('Sheet1 (2)'!C205-'Sheet1 (2)'!C$526)/'Sheet1 (2)'!C$527</f>
        <v>-0.4363285027978574</v>
      </c>
      <c r="D205" s="48">
        <f>('Sheet1 (2)'!D205-'Sheet1 (2)'!D$526)/'Sheet1 (2)'!D$527</f>
        <v>-0.4704097020702403</v>
      </c>
      <c r="E205" s="48">
        <f>('Sheet1 (2)'!E205-'Sheet1 (2)'!E$526)/'Sheet1 (2)'!E$527</f>
        <v>-0.59863469436505046</v>
      </c>
      <c r="F205" s="48">
        <f>('Sheet1 (2)'!F205-'Sheet1 (2)'!F$526)/'Sheet1 (2)'!F$527</f>
        <v>3.5300958634082259E-2</v>
      </c>
      <c r="G205" s="48">
        <f>('Sheet1 (2)'!G205-'Sheet1 (2)'!G$526)/'Sheet1 (2)'!G$527</f>
        <v>0.26328724765245437</v>
      </c>
      <c r="H205" s="48">
        <f>('Sheet1 (2)'!H205-'Sheet1 (2)'!H$526)/'Sheet1 (2)'!H$527</f>
        <v>-1.4173505781549613</v>
      </c>
      <c r="I205" s="48">
        <f>('Sheet1 (2)'!I205-'Sheet1 (2)'!I$526)/'Sheet1 (2)'!I$527</f>
        <v>0.6520797625009489</v>
      </c>
      <c r="J205" s="48">
        <f>('Sheet1 (2)'!J205-'Sheet1 (2)'!J$526)/'Sheet1 (2)'!J$527</f>
        <v>-8.7158720315840439E-3</v>
      </c>
      <c r="K205" s="48">
        <f>('Sheet1 (2)'!K205-'Sheet1 (2)'!K$526)/'Sheet1 (2)'!K$527</f>
        <v>-1.1604244376397783</v>
      </c>
    </row>
    <row r="206" spans="1:11" ht="12.75" x14ac:dyDescent="0.2">
      <c r="A206" s="50">
        <v>13</v>
      </c>
      <c r="B206" s="48">
        <f>('Sheet1 (2)'!B206-'Sheet1 (2)'!B$526)/'Sheet1 (2)'!B$527</f>
        <v>-1.2242915745870349</v>
      </c>
      <c r="C206" s="48">
        <f>('Sheet1 (2)'!C206-'Sheet1 (2)'!C$526)/'Sheet1 (2)'!C$527</f>
        <v>-1.1437297754775324</v>
      </c>
      <c r="D206" s="48">
        <f>('Sheet1 (2)'!D206-'Sheet1 (2)'!D$526)/'Sheet1 (2)'!D$527</f>
        <v>-0.4704097020702403</v>
      </c>
      <c r="E206" s="48">
        <f>('Sheet1 (2)'!E206-'Sheet1 (2)'!E$526)/'Sheet1 (2)'!E$527</f>
        <v>-0.60552754803059294</v>
      </c>
      <c r="F206" s="48">
        <f>('Sheet1 (2)'!F206-'Sheet1 (2)'!F$526)/'Sheet1 (2)'!F$527</f>
        <v>-1.1978791963165167</v>
      </c>
      <c r="G206" s="48">
        <f>('Sheet1 (2)'!G206-'Sheet1 (2)'!G$526)/'Sheet1 (2)'!G$527</f>
        <v>0.17958919073336282</v>
      </c>
      <c r="H206" s="48">
        <f>('Sheet1 (2)'!H206-'Sheet1 (2)'!H$526)/'Sheet1 (2)'!H$527</f>
        <v>-0.9032394614064414</v>
      </c>
      <c r="I206" s="48">
        <f>('Sheet1 (2)'!I206-'Sheet1 (2)'!I$526)/'Sheet1 (2)'!I$527</f>
        <v>-1.3942253408854017</v>
      </c>
      <c r="J206" s="48">
        <f>('Sheet1 (2)'!J206-'Sheet1 (2)'!J$526)/'Sheet1 (2)'!J$527</f>
        <v>-0.14415967463690632</v>
      </c>
      <c r="K206" s="48">
        <f>('Sheet1 (2)'!K206-'Sheet1 (2)'!K$526)/'Sheet1 (2)'!K$527</f>
        <v>-0.33034437107674175</v>
      </c>
    </row>
    <row r="207" spans="1:11" ht="12.75" x14ac:dyDescent="0.2">
      <c r="A207" s="51">
        <v>13</v>
      </c>
      <c r="B207" s="48">
        <f>('Sheet1 (2)'!B207-'Sheet1 (2)'!B$526)/'Sheet1 (2)'!B$527</f>
        <v>-1.2242915745870349</v>
      </c>
      <c r="C207" s="48">
        <f>('Sheet1 (2)'!C207-'Sheet1 (2)'!C$526)/'Sheet1 (2)'!C$527</f>
        <v>-1.2088491108551109</v>
      </c>
      <c r="D207" s="48">
        <f>('Sheet1 (2)'!D207-'Sheet1 (2)'!D$526)/'Sheet1 (2)'!D$527</f>
        <v>-0.4704097020702403</v>
      </c>
      <c r="E207" s="48">
        <f>('Sheet1 (2)'!E207-'Sheet1 (2)'!E$526)/'Sheet1 (2)'!E$527</f>
        <v>-0.95246784919623262</v>
      </c>
      <c r="F207" s="48">
        <f>('Sheet1 (2)'!F207-'Sheet1 (2)'!F$526)/'Sheet1 (2)'!F$527</f>
        <v>-1.1978791963165167</v>
      </c>
      <c r="G207" s="48">
        <f>('Sheet1 (2)'!G207-'Sheet1 (2)'!G$526)/'Sheet1 (2)'!G$527</f>
        <v>-0.50144115274505707</v>
      </c>
      <c r="H207" s="48">
        <f>('Sheet1 (2)'!H207-'Sheet1 (2)'!H$526)/'Sheet1 (2)'!H$527</f>
        <v>-1.3085309070211799</v>
      </c>
      <c r="I207" s="48">
        <f>('Sheet1 (2)'!I207-'Sheet1 (2)'!I$526)/'Sheet1 (2)'!I$527</f>
        <v>0.6648848277649636</v>
      </c>
      <c r="J207" s="48">
        <f>('Sheet1 (2)'!J207-'Sheet1 (2)'!J$526)/'Sheet1 (2)'!J$527</f>
        <v>-0.11978320599835304</v>
      </c>
      <c r="K207" s="48">
        <f>('Sheet1 (2)'!K207-'Sheet1 (2)'!K$526)/'Sheet1 (2)'!K$527</f>
        <v>-1.2005906034513321</v>
      </c>
    </row>
    <row r="208" spans="1:11" ht="12.75" x14ac:dyDescent="0.2">
      <c r="A208" s="48">
        <v>13</v>
      </c>
      <c r="B208" s="48">
        <f>('Sheet1 (2)'!B208-'Sheet1 (2)'!B$526)/'Sheet1 (2)'!B$527</f>
        <v>1.1794716518179513E-2</v>
      </c>
      <c r="C208" s="48">
        <f>('Sheet1 (2)'!C208-'Sheet1 (2)'!C$526)/'Sheet1 (2)'!C$527</f>
        <v>0.56460172061660463</v>
      </c>
      <c r="D208" s="48">
        <f>('Sheet1 (2)'!D208-'Sheet1 (2)'!D$526)/'Sheet1 (2)'!D$527</f>
        <v>-0.4704097020702403</v>
      </c>
      <c r="E208" s="48">
        <f>('Sheet1 (2)'!E208-'Sheet1 (2)'!E$526)/'Sheet1 (2)'!E$527</f>
        <v>0.48813856690215235</v>
      </c>
      <c r="F208" s="48">
        <f>('Sheet1 (2)'!F208-'Sheet1 (2)'!F$526)/'Sheet1 (2)'!F$527</f>
        <v>1.2684811135846812</v>
      </c>
      <c r="G208" s="48">
        <f>('Sheet1 (2)'!G208-'Sheet1 (2)'!G$526)/'Sheet1 (2)'!G$527</f>
        <v>-0.50144115274505707</v>
      </c>
      <c r="H208" s="48">
        <f>('Sheet1 (2)'!H208-'Sheet1 (2)'!H$526)/'Sheet1 (2)'!H$527</f>
        <v>1.1468416230108482</v>
      </c>
      <c r="I208" s="48">
        <f>('Sheet1 (2)'!I208-'Sheet1 (2)'!I$526)/'Sheet1 (2)'!I$527</f>
        <v>0.69353837920391792</v>
      </c>
      <c r="J208" s="48">
        <f>('Sheet1 (2)'!J208-'Sheet1 (2)'!J$526)/'Sheet1 (2)'!J$527</f>
        <v>-6.1775494117246831E-2</v>
      </c>
      <c r="K208" s="48">
        <f>('Sheet1 (2)'!K208-'Sheet1 (2)'!K$526)/'Sheet1 (2)'!K$527</f>
        <v>0.23624302728349528</v>
      </c>
    </row>
    <row r="209" spans="1:11" ht="12.75" x14ac:dyDescent="0.2">
      <c r="A209" s="49">
        <v>13</v>
      </c>
      <c r="B209" s="48">
        <f>('Sheet1 (2)'!B209-'Sheet1 (2)'!B$526)/'Sheet1 (2)'!B$527</f>
        <v>1.1794716518179513E-2</v>
      </c>
      <c r="C209" s="48">
        <f>('Sheet1 (2)'!C209-'Sheet1 (2)'!C$526)/'Sheet1 (2)'!C$527</f>
        <v>1.7147423084349902</v>
      </c>
      <c r="D209" s="48">
        <f>('Sheet1 (2)'!D209-'Sheet1 (2)'!D$526)/'Sheet1 (2)'!D$527</f>
        <v>-0.4704097020702403</v>
      </c>
      <c r="E209" s="48">
        <f>('Sheet1 (2)'!E209-'Sheet1 (2)'!E$526)/'Sheet1 (2)'!E$527</f>
        <v>-0.49064665360488441</v>
      </c>
      <c r="F209" s="48">
        <f>('Sheet1 (2)'!F209-'Sheet1 (2)'!F$526)/'Sheet1 (2)'!F$527</f>
        <v>1.2684811135846812</v>
      </c>
      <c r="G209" s="48">
        <f>('Sheet1 (2)'!G209-'Sheet1 (2)'!G$526)/'Sheet1 (2)'!G$527</f>
        <v>-0.50144115274505707</v>
      </c>
      <c r="H209" s="48">
        <f>('Sheet1 (2)'!H209-'Sheet1 (2)'!H$526)/'Sheet1 (2)'!H$527</f>
        <v>1.2994680370003882</v>
      </c>
      <c r="I209" s="48">
        <f>('Sheet1 (2)'!I209-'Sheet1 (2)'!I$526)/'Sheet1 (2)'!I$527</f>
        <v>-0.15825762631249202</v>
      </c>
      <c r="J209" s="48">
        <f>('Sheet1 (2)'!J209-'Sheet1 (2)'!J$526)/'Sheet1 (2)'!J$527</f>
        <v>-0.83945425120312078</v>
      </c>
      <c r="K209" s="48">
        <f>('Sheet1 (2)'!K209-'Sheet1 (2)'!K$526)/'Sheet1 (2)'!K$527</f>
        <v>-0.43633152798260089</v>
      </c>
    </row>
    <row r="210" spans="1:11" ht="12.75" x14ac:dyDescent="0.2">
      <c r="A210" s="50">
        <v>13</v>
      </c>
      <c r="B210" s="48">
        <f>('Sheet1 (2)'!B210-'Sheet1 (2)'!B$526)/'Sheet1 (2)'!B$527</f>
        <v>1.1794716518179513E-2</v>
      </c>
      <c r="C210" s="48">
        <f>('Sheet1 (2)'!C210-'Sheet1 (2)'!C$526)/'Sheet1 (2)'!C$527</f>
        <v>2.1340439248230156</v>
      </c>
      <c r="D210" s="48">
        <f>('Sheet1 (2)'!D210-'Sheet1 (2)'!D$526)/'Sheet1 (2)'!D$527</f>
        <v>-0.4704097020702403</v>
      </c>
      <c r="E210" s="48">
        <f>('Sheet1 (2)'!E210-'Sheet1 (2)'!E$526)/'Sheet1 (2)'!E$527</f>
        <v>-0.47686094627379938</v>
      </c>
      <c r="F210" s="48">
        <f>('Sheet1 (2)'!F210-'Sheet1 (2)'!F$526)/'Sheet1 (2)'!F$527</f>
        <v>3.5300958634082259E-2</v>
      </c>
      <c r="G210" s="48">
        <f>('Sheet1 (2)'!G210-'Sheet1 (2)'!G$526)/'Sheet1 (2)'!G$527</f>
        <v>-0.50144115274505707</v>
      </c>
      <c r="H210" s="48">
        <f>('Sheet1 (2)'!H210-'Sheet1 (2)'!H$526)/'Sheet1 (2)'!H$527</f>
        <v>1.6520841895994394</v>
      </c>
      <c r="I210" s="48">
        <f>('Sheet1 (2)'!I210-'Sheet1 (2)'!I$526)/'Sheet1 (2)'!I$527</f>
        <v>-6.8088779668307495E-2</v>
      </c>
      <c r="J210" s="48">
        <f>('Sheet1 (2)'!J210-'Sheet1 (2)'!J$526)/'Sheet1 (2)'!J$527</f>
        <v>0.23130988443638847</v>
      </c>
      <c r="K210" s="48">
        <f>('Sheet1 (2)'!K210-'Sheet1 (2)'!K$526)/'Sheet1 (2)'!K$527</f>
        <v>0.16308153132405187</v>
      </c>
    </row>
    <row r="211" spans="1:11" ht="12.75" x14ac:dyDescent="0.2">
      <c r="A211" s="49">
        <v>13</v>
      </c>
      <c r="B211" s="48">
        <f>('Sheet1 (2)'!B211-'Sheet1 (2)'!B$526)/'Sheet1 (2)'!B$527</f>
        <v>1.1794716518179513E-2</v>
      </c>
      <c r="C211" s="48">
        <f>('Sheet1 (2)'!C211-'Sheet1 (2)'!C$526)/'Sheet1 (2)'!C$527</f>
        <v>2.2075418494983765</v>
      </c>
      <c r="D211" s="48">
        <f>('Sheet1 (2)'!D211-'Sheet1 (2)'!D$526)/'Sheet1 (2)'!D$527</f>
        <v>1.4257032508898051</v>
      </c>
      <c r="E211" s="48">
        <f>('Sheet1 (2)'!E211-'Sheet1 (2)'!E$526)/'Sheet1 (2)'!E$527</f>
        <v>-0.28156342575009485</v>
      </c>
      <c r="F211" s="48">
        <f>('Sheet1 (2)'!F211-'Sheet1 (2)'!F$526)/'Sheet1 (2)'!F$527</f>
        <v>3.5300958634082259E-2</v>
      </c>
      <c r="G211" s="48">
        <f>('Sheet1 (2)'!G211-'Sheet1 (2)'!G$526)/'Sheet1 (2)'!G$527</f>
        <v>-0.50144115274505707</v>
      </c>
      <c r="H211" s="48">
        <f>('Sheet1 (2)'!H211-'Sheet1 (2)'!H$526)/'Sheet1 (2)'!H$527</f>
        <v>1.5017833447818212</v>
      </c>
      <c r="I211" s="48">
        <f>('Sheet1 (2)'!I211-'Sheet1 (2)'!I$526)/'Sheet1 (2)'!I$527</f>
        <v>0.49622016501383592</v>
      </c>
      <c r="J211" s="48">
        <f>('Sheet1 (2)'!J211-'Sheet1 (2)'!J$526)/'Sheet1 (2)'!J$527</f>
        <v>2.0251722034675028</v>
      </c>
      <c r="K211" s="48">
        <f>('Sheet1 (2)'!K211-'Sheet1 (2)'!K$526)/'Sheet1 (2)'!K$527</f>
        <v>-0.40303090521672275</v>
      </c>
    </row>
    <row r="212" spans="1:11" ht="12.75" x14ac:dyDescent="0.2">
      <c r="A212" s="50">
        <v>13</v>
      </c>
      <c r="B212" s="48">
        <f>('Sheet1 (2)'!B212-'Sheet1 (2)'!B$526)/'Sheet1 (2)'!B$527</f>
        <v>1.1794716518179513E-2</v>
      </c>
      <c r="C212" s="48">
        <f>('Sheet1 (2)'!C212-'Sheet1 (2)'!C$526)/'Sheet1 (2)'!C$527</f>
        <v>2.1859679508503276</v>
      </c>
      <c r="D212" s="48">
        <f>('Sheet1 (2)'!D212-'Sheet1 (2)'!D$526)/'Sheet1 (2)'!D$527</f>
        <v>-0.4704097020702403</v>
      </c>
      <c r="E212" s="48">
        <f>('Sheet1 (2)'!E212-'Sheet1 (2)'!E$526)/'Sheet1 (2)'!E$527</f>
        <v>-0.66526561313196142</v>
      </c>
      <c r="F212" s="48">
        <f>('Sheet1 (2)'!F212-'Sheet1 (2)'!F$526)/'Sheet1 (2)'!F$527</f>
        <v>-1.1978791963165167</v>
      </c>
      <c r="G212" s="48">
        <f>('Sheet1 (2)'!G212-'Sheet1 (2)'!G$526)/'Sheet1 (2)'!G$527</f>
        <v>-0.50144115274505707</v>
      </c>
      <c r="H212" s="48">
        <f>('Sheet1 (2)'!H212-'Sheet1 (2)'!H$526)/'Sheet1 (2)'!H$527</f>
        <v>1.5724898577829634</v>
      </c>
      <c r="I212" s="48">
        <f>('Sheet1 (2)'!I212-'Sheet1 (2)'!I$526)/'Sheet1 (2)'!I$527</f>
        <v>-0.22732003794086245</v>
      </c>
      <c r="J212" s="48">
        <f>('Sheet1 (2)'!J212-'Sheet1 (2)'!J$526)/'Sheet1 (2)'!J$527</f>
        <v>0.31115273043964942</v>
      </c>
      <c r="K212" s="48">
        <f>('Sheet1 (2)'!K212-'Sheet1 (2)'!K$526)/'Sheet1 (2)'!K$527</f>
        <v>-0.39104046159599576</v>
      </c>
    </row>
    <row r="213" spans="1:11" ht="12.75" x14ac:dyDescent="0.2">
      <c r="A213" s="51">
        <v>13</v>
      </c>
      <c r="B213" s="48">
        <f>('Sheet1 (2)'!B213-'Sheet1 (2)'!B$526)/'Sheet1 (2)'!B$527</f>
        <v>1.1794716518179513E-2</v>
      </c>
      <c r="C213" s="48">
        <f>('Sheet1 (2)'!C213-'Sheet1 (2)'!C$526)/'Sheet1 (2)'!C$527</f>
        <v>1.784113250887851</v>
      </c>
      <c r="D213" s="48">
        <f>('Sheet1 (2)'!D213-'Sheet1 (2)'!D$526)/'Sheet1 (2)'!D$527</f>
        <v>3.3218162038498509</v>
      </c>
      <c r="E213" s="48">
        <f>('Sheet1 (2)'!E213-'Sheet1 (2)'!E$526)/'Sheet1 (2)'!E$527</f>
        <v>9.5245907966229032E-2</v>
      </c>
      <c r="F213" s="48">
        <f>('Sheet1 (2)'!F213-'Sheet1 (2)'!F$526)/'Sheet1 (2)'!F$527</f>
        <v>-1.1978791963165167</v>
      </c>
      <c r="G213" s="48">
        <f>('Sheet1 (2)'!G213-'Sheet1 (2)'!G$526)/'Sheet1 (2)'!G$527</f>
        <v>1.2207830692745498</v>
      </c>
      <c r="H213" s="48">
        <f>('Sheet1 (2)'!H213-'Sheet1 (2)'!H$526)/'Sheet1 (2)'!H$527</f>
        <v>1.7836791691173921</v>
      </c>
      <c r="I213" s="48">
        <f>('Sheet1 (2)'!I213-'Sheet1 (2)'!I$526)/'Sheet1 (2)'!I$527</f>
        <v>-0.23118471327184464</v>
      </c>
      <c r="J213" s="48">
        <f>('Sheet1 (2)'!J213-'Sheet1 (2)'!J$526)/'Sheet1 (2)'!J$527</f>
        <v>-0.83945425120312078</v>
      </c>
      <c r="K213" s="48">
        <f>('Sheet1 (2)'!K213-'Sheet1 (2)'!K$526)/'Sheet1 (2)'!K$527</f>
        <v>-0.52093785891429245</v>
      </c>
    </row>
    <row r="214" spans="1:11" ht="12.75" x14ac:dyDescent="0.2">
      <c r="A214" s="48">
        <v>13</v>
      </c>
      <c r="B214" s="48">
        <f>('Sheet1 (2)'!B214-'Sheet1 (2)'!B$526)/'Sheet1 (2)'!B$527</f>
        <v>1.2478810076233939</v>
      </c>
      <c r="C214" s="48">
        <f>('Sheet1 (2)'!C214-'Sheet1 (2)'!C$526)/'Sheet1 (2)'!C$527</f>
        <v>0.16564088272047042</v>
      </c>
      <c r="D214" s="48">
        <f>('Sheet1 (2)'!D214-'Sheet1 (2)'!D$526)/'Sheet1 (2)'!D$527</f>
        <v>-0.4704097020702403</v>
      </c>
      <c r="E214" s="48">
        <f>('Sheet1 (2)'!E214-'Sheet1 (2)'!E$526)/'Sheet1 (2)'!E$527</f>
        <v>-0.52970615770962526</v>
      </c>
      <c r="F214" s="48">
        <f>('Sheet1 (2)'!F214-'Sheet1 (2)'!F$526)/'Sheet1 (2)'!F$527</f>
        <v>1.2684811135846812</v>
      </c>
      <c r="G214" s="48">
        <f>('Sheet1 (2)'!G214-'Sheet1 (2)'!G$526)/'Sheet1 (2)'!G$527</f>
        <v>-0.50144115274505707</v>
      </c>
      <c r="H214" s="48">
        <f>('Sheet1 (2)'!H214-'Sheet1 (2)'!H$526)/'Sheet1 (2)'!H$527</f>
        <v>0.8603928607102298</v>
      </c>
      <c r="I214" s="48">
        <f>('Sheet1 (2)'!I214-'Sheet1 (2)'!I$526)/'Sheet1 (2)'!I$527</f>
        <v>-0.90044788004959053</v>
      </c>
      <c r="J214" s="48">
        <f>('Sheet1 (2)'!J214-'Sheet1 (2)'!J$526)/'Sheet1 (2)'!J$527</f>
        <v>-0.83945425120312078</v>
      </c>
      <c r="K214" s="48">
        <f>('Sheet1 (2)'!K214-'Sheet1 (2)'!K$526)/'Sheet1 (2)'!K$527</f>
        <v>-1.146894216615326</v>
      </c>
    </row>
    <row r="215" spans="1:11" ht="12.75" x14ac:dyDescent="0.2">
      <c r="A215" s="49">
        <v>13</v>
      </c>
      <c r="B215" s="48">
        <f>('Sheet1 (2)'!B215-'Sheet1 (2)'!B$526)/'Sheet1 (2)'!B$527</f>
        <v>1.2478810076233939</v>
      </c>
      <c r="C215" s="48">
        <f>('Sheet1 (2)'!C215-'Sheet1 (2)'!C$526)/'Sheet1 (2)'!C$527</f>
        <v>-0.79952882419467131</v>
      </c>
      <c r="D215" s="48">
        <f>('Sheet1 (2)'!D215-'Sheet1 (2)'!D$526)/'Sheet1 (2)'!D$527</f>
        <v>-0.4704097020702403</v>
      </c>
      <c r="E215" s="48">
        <f>('Sheet1 (2)'!E215-'Sheet1 (2)'!E$526)/'Sheet1 (2)'!E$527</f>
        <v>-7.9373051560847882E-2</v>
      </c>
      <c r="F215" s="48">
        <f>('Sheet1 (2)'!F215-'Sheet1 (2)'!F$526)/'Sheet1 (2)'!F$527</f>
        <v>1.2684811135846812</v>
      </c>
      <c r="G215" s="48">
        <f>('Sheet1 (2)'!G215-'Sheet1 (2)'!G$526)/'Sheet1 (2)'!G$527</f>
        <v>0.9694328084877466</v>
      </c>
      <c r="H215" s="48">
        <f>('Sheet1 (2)'!H215-'Sheet1 (2)'!H$526)/'Sheet1 (2)'!H$527</f>
        <v>-0.21752680859022949</v>
      </c>
      <c r="I215" s="48">
        <f>('Sheet1 (2)'!I215-'Sheet1 (2)'!I$526)/'Sheet1 (2)'!I$527</f>
        <v>-0.88586725932005983</v>
      </c>
      <c r="J215" s="48">
        <f>('Sheet1 (2)'!J215-'Sheet1 (2)'!J$526)/'Sheet1 (2)'!J$527</f>
        <v>-0.37204515863163612</v>
      </c>
      <c r="K215" s="48">
        <f>('Sheet1 (2)'!K215-'Sheet1 (2)'!K$526)/'Sheet1 (2)'!K$527</f>
        <v>-0.34844674640323237</v>
      </c>
    </row>
    <row r="216" spans="1:11" ht="12.75" x14ac:dyDescent="0.2">
      <c r="A216" s="50">
        <v>13</v>
      </c>
      <c r="B216" s="48">
        <f>('Sheet1 (2)'!B216-'Sheet1 (2)'!B$526)/'Sheet1 (2)'!B$527</f>
        <v>1.2478810076233939</v>
      </c>
      <c r="C216" s="48">
        <f>('Sheet1 (2)'!C216-'Sheet1 (2)'!C$526)/'Sheet1 (2)'!C$527</f>
        <v>0.24558999344229895</v>
      </c>
      <c r="D216" s="48">
        <f>('Sheet1 (2)'!D216-'Sheet1 (2)'!D$526)/'Sheet1 (2)'!D$527</f>
        <v>-0.4704097020702403</v>
      </c>
      <c r="E216" s="48">
        <f>('Sheet1 (2)'!E216-'Sheet1 (2)'!E$526)/'Sheet1 (2)'!E$527</f>
        <v>-4.0313547456106998E-2</v>
      </c>
      <c r="F216" s="48">
        <f>('Sheet1 (2)'!F216-'Sheet1 (2)'!F$526)/'Sheet1 (2)'!F$527</f>
        <v>3.5300958634082259E-2</v>
      </c>
      <c r="G216" s="48">
        <f>('Sheet1 (2)'!G216-'Sheet1 (2)'!G$526)/'Sheet1 (2)'!G$527</f>
        <v>0.44779419086772126</v>
      </c>
      <c r="H216" s="48">
        <f>('Sheet1 (2)'!H216-'Sheet1 (2)'!H$526)/'Sheet1 (2)'!H$527</f>
        <v>0.56225837780208976</v>
      </c>
      <c r="I216" s="48">
        <f>('Sheet1 (2)'!I216-'Sheet1 (2)'!I$526)/'Sheet1 (2)'!I$527</f>
        <v>-0.28548875869234419</v>
      </c>
      <c r="J216" s="48">
        <f>('Sheet1 (2)'!J216-'Sheet1 (2)'!J$526)/'Sheet1 (2)'!J$527</f>
        <v>-0.34157223379068796</v>
      </c>
      <c r="K216" s="48">
        <f>('Sheet1 (2)'!K216-'Sheet1 (2)'!K$526)/'Sheet1 (2)'!K$527</f>
        <v>-1.3965724321667559</v>
      </c>
    </row>
    <row r="217" spans="1:11" ht="12.75" x14ac:dyDescent="0.2">
      <c r="A217" s="49">
        <v>13</v>
      </c>
      <c r="B217" s="48">
        <f>('Sheet1 (2)'!B217-'Sheet1 (2)'!B$526)/'Sheet1 (2)'!B$527</f>
        <v>1.2478810076233939</v>
      </c>
      <c r="C217" s="48">
        <f>('Sheet1 (2)'!C217-'Sheet1 (2)'!C$526)/'Sheet1 (2)'!C$527</f>
        <v>-0.35975116721103267</v>
      </c>
      <c r="D217" s="48">
        <f>('Sheet1 (2)'!D217-'Sheet1 (2)'!D$526)/'Sheet1 (2)'!D$527</f>
        <v>-0.4704097020702403</v>
      </c>
      <c r="E217" s="48">
        <f>('Sheet1 (2)'!E217-'Sheet1 (2)'!E$526)/'Sheet1 (2)'!E$527</f>
        <v>-0.69972988145967396</v>
      </c>
      <c r="F217" s="48">
        <f>('Sheet1 (2)'!F217-'Sheet1 (2)'!F$526)/'Sheet1 (2)'!F$527</f>
        <v>3.5300958634082259E-2</v>
      </c>
      <c r="G217" s="48">
        <f>('Sheet1 (2)'!G217-'Sheet1 (2)'!G$526)/'Sheet1 (2)'!G$527</f>
        <v>0.75489974321303166</v>
      </c>
      <c r="H217" s="48">
        <f>('Sheet1 (2)'!H217-'Sheet1 (2)'!H$526)/'Sheet1 (2)'!H$527</f>
        <v>-0.16037642848004405</v>
      </c>
      <c r="I217" s="48">
        <f>('Sheet1 (2)'!I217-'Sheet1 (2)'!I$526)/'Sheet1 (2)'!I$527</f>
        <v>0.75716857073112376</v>
      </c>
      <c r="J217" s="48">
        <f>('Sheet1 (2)'!J217-'Sheet1 (2)'!J$526)/'Sheet1 (2)'!J$527</f>
        <v>-0.23511010242152652</v>
      </c>
      <c r="K217" s="48">
        <f>('Sheet1 (2)'!K217-'Sheet1 (2)'!K$526)/'Sheet1 (2)'!K$527</f>
        <v>-1.1817063477928236</v>
      </c>
    </row>
    <row r="218" spans="1:11" ht="12.75" x14ac:dyDescent="0.2">
      <c r="A218" s="50">
        <v>13</v>
      </c>
      <c r="B218" s="48">
        <f>('Sheet1 (2)'!B218-'Sheet1 (2)'!B$526)/'Sheet1 (2)'!B$527</f>
        <v>1.2478810076233939</v>
      </c>
      <c r="C218" s="48">
        <f>('Sheet1 (2)'!C218-'Sheet1 (2)'!C$526)/'Sheet1 (2)'!C$527</f>
        <v>-0.69289874924954686</v>
      </c>
      <c r="D218" s="48">
        <f>('Sheet1 (2)'!D218-'Sheet1 (2)'!D$526)/'Sheet1 (2)'!D$527</f>
        <v>-0.4704097020702403</v>
      </c>
      <c r="E218" s="48">
        <f>('Sheet1 (2)'!E218-'Sheet1 (2)'!E$526)/'Sheet1 (2)'!E$527</f>
        <v>-0.5871466049224795</v>
      </c>
      <c r="F218" s="48">
        <f>('Sheet1 (2)'!F218-'Sheet1 (2)'!F$526)/'Sheet1 (2)'!F$527</f>
        <v>-1.1978791963165167</v>
      </c>
      <c r="G218" s="48">
        <f>('Sheet1 (2)'!G218-'Sheet1 (2)'!G$526)/'Sheet1 (2)'!G$527</f>
        <v>0.38681390176566177</v>
      </c>
      <c r="H218" s="48">
        <f>('Sheet1 (2)'!H218-'Sheet1 (2)'!H$526)/'Sheet1 (2)'!H$527</f>
        <v>0.12283545517710222</v>
      </c>
      <c r="I218" s="48">
        <f>('Sheet1 (2)'!I218-'Sheet1 (2)'!I$526)/'Sheet1 (2)'!I$527</f>
        <v>-0.91474260625501269</v>
      </c>
      <c r="J218" s="48">
        <f>('Sheet1 (2)'!J218-'Sheet1 (2)'!J$526)/'Sheet1 (2)'!J$527</f>
        <v>0.14108944610664881</v>
      </c>
      <c r="K218" s="48">
        <f>('Sheet1 (2)'!K218-'Sheet1 (2)'!K$526)/'Sheet1 (2)'!K$527</f>
        <v>-0.99922957228000642</v>
      </c>
    </row>
    <row r="219" spans="1:11" ht="12.75" x14ac:dyDescent="0.2">
      <c r="A219" s="51">
        <v>13</v>
      </c>
      <c r="B219" s="48">
        <f>('Sheet1 (2)'!B219-'Sheet1 (2)'!B$526)/'Sheet1 (2)'!B$527</f>
        <v>1.2478810076233939</v>
      </c>
      <c r="C219" s="48">
        <f>('Sheet1 (2)'!C219-'Sheet1 (2)'!C$526)/'Sheet1 (2)'!C$527</f>
        <v>-0.50215479252552941</v>
      </c>
      <c r="D219" s="48">
        <f>('Sheet1 (2)'!D219-'Sheet1 (2)'!D$526)/'Sheet1 (2)'!D$527</f>
        <v>-0.4704097020702403</v>
      </c>
      <c r="E219" s="48">
        <f>('Sheet1 (2)'!E219-'Sheet1 (2)'!E$526)/'Sheet1 (2)'!E$527</f>
        <v>-0.77095603600361329</v>
      </c>
      <c r="F219" s="48">
        <f>('Sheet1 (2)'!F219-'Sheet1 (2)'!F$526)/'Sheet1 (2)'!F$527</f>
        <v>-1.1978791963165167</v>
      </c>
      <c r="G219" s="48">
        <f>('Sheet1 (2)'!G219-'Sheet1 (2)'!G$526)/'Sheet1 (2)'!G$527</f>
        <v>1.1501695689589104</v>
      </c>
      <c r="H219" s="48">
        <f>('Sheet1 (2)'!H219-'Sheet1 (2)'!H$526)/'Sheet1 (2)'!H$527</f>
        <v>0.84356524878889672</v>
      </c>
      <c r="I219" s="48">
        <f>('Sheet1 (2)'!I219-'Sheet1 (2)'!I$526)/'Sheet1 (2)'!I$527</f>
        <v>8.3315177407538368E-2</v>
      </c>
      <c r="J219" s="48">
        <f>('Sheet1 (2)'!J219-'Sheet1 (2)'!J$526)/'Sheet1 (2)'!J$527</f>
        <v>0.96848036530004245</v>
      </c>
      <c r="K219" s="48">
        <f>('Sheet1 (2)'!K219-'Sheet1 (2)'!K$526)/'Sheet1 (2)'!K$527</f>
        <v>-0.45352072475582605</v>
      </c>
    </row>
    <row r="220" spans="1:11" ht="12.75" x14ac:dyDescent="0.2">
      <c r="A220" s="48">
        <v>14</v>
      </c>
      <c r="B220" s="48">
        <f>('Sheet1 (2)'!B220-'Sheet1 (2)'!B$526)/'Sheet1 (2)'!B$527</f>
        <v>-1.2242915745870349</v>
      </c>
      <c r="C220" s="48">
        <f>('Sheet1 (2)'!C220-'Sheet1 (2)'!C$526)/'Sheet1 (2)'!C$527</f>
        <v>-0.24719214698724357</v>
      </c>
      <c r="D220" s="48">
        <f>('Sheet1 (2)'!D220-'Sheet1 (2)'!D$526)/'Sheet1 (2)'!D$527</f>
        <v>1.4257032508898051</v>
      </c>
      <c r="E220" s="48">
        <f>('Sheet1 (2)'!E220-'Sheet1 (2)'!E$526)/'Sheet1 (2)'!E$527</f>
        <v>1.3267690962098242</v>
      </c>
      <c r="F220" s="48">
        <f>('Sheet1 (2)'!F220-'Sheet1 (2)'!F$526)/'Sheet1 (2)'!F$527</f>
        <v>1.2684811135846812</v>
      </c>
      <c r="G220" s="48">
        <f>('Sheet1 (2)'!G220-'Sheet1 (2)'!G$526)/'Sheet1 (2)'!G$527</f>
        <v>-0.50144115274505707</v>
      </c>
      <c r="H220" s="48">
        <f>('Sheet1 (2)'!H220-'Sheet1 (2)'!H$526)/'Sheet1 (2)'!H$527</f>
        <v>-0.2561150745020771</v>
      </c>
      <c r="I220" s="48">
        <f>('Sheet1 (2)'!I220-'Sheet1 (2)'!I$526)/'Sheet1 (2)'!I$527</f>
        <v>0.63459394069115105</v>
      </c>
      <c r="J220" s="48">
        <f>('Sheet1 (2)'!J220-'Sheet1 (2)'!J$526)/'Sheet1 (2)'!J$527</f>
        <v>-0.58105085086851227</v>
      </c>
      <c r="K220" s="48">
        <f>('Sheet1 (2)'!K220-'Sheet1 (2)'!K$526)/'Sheet1 (2)'!K$527</f>
        <v>-1.046593859425079</v>
      </c>
    </row>
    <row r="221" spans="1:11" ht="12.75" x14ac:dyDescent="0.2">
      <c r="A221" s="49">
        <v>14</v>
      </c>
      <c r="B221" s="48">
        <f>('Sheet1 (2)'!B221-'Sheet1 (2)'!B$526)/'Sheet1 (2)'!B$527</f>
        <v>-1.2242915745870349</v>
      </c>
      <c r="C221" s="48">
        <f>('Sheet1 (2)'!C221-'Sheet1 (2)'!C$526)/'Sheet1 (2)'!C$527</f>
        <v>-1.7669873474415256</v>
      </c>
      <c r="D221" s="48">
        <f>('Sheet1 (2)'!D221-'Sheet1 (2)'!D$526)/'Sheet1 (2)'!D$527</f>
        <v>-0.4704097020702403</v>
      </c>
      <c r="E221" s="48">
        <f>('Sheet1 (2)'!E221-'Sheet1 (2)'!E$526)/'Sheet1 (2)'!E$527</f>
        <v>-0.16668253132438632</v>
      </c>
      <c r="F221" s="48">
        <f>('Sheet1 (2)'!F221-'Sheet1 (2)'!F$526)/'Sheet1 (2)'!F$527</f>
        <v>1.2684811135846812</v>
      </c>
      <c r="G221" s="48">
        <f>('Sheet1 (2)'!G221-'Sheet1 (2)'!G$526)/'Sheet1 (2)'!G$527</f>
        <v>3.9436436871776994</v>
      </c>
      <c r="H221" s="48">
        <f>('Sheet1 (2)'!H221-'Sheet1 (2)'!H$526)/'Sheet1 (2)'!H$527</f>
        <v>-1.2242025318212322</v>
      </c>
      <c r="I221" s="48">
        <f>('Sheet1 (2)'!I221-'Sheet1 (2)'!I$526)/'Sheet1 (2)'!I$527</f>
        <v>-0.57503108515468293</v>
      </c>
      <c r="J221" s="48">
        <f>('Sheet1 (2)'!J221-'Sheet1 (2)'!J$526)/'Sheet1 (2)'!J$527</f>
        <v>-0.44524427584126197</v>
      </c>
      <c r="K221" s="48">
        <f>('Sheet1 (2)'!K221-'Sheet1 (2)'!K$526)/'Sheet1 (2)'!K$527</f>
        <v>0.45267858005328421</v>
      </c>
    </row>
    <row r="222" spans="1:11" ht="12.75" x14ac:dyDescent="0.2">
      <c r="A222" s="50">
        <v>14</v>
      </c>
      <c r="B222" s="48">
        <f>('Sheet1 (2)'!B222-'Sheet1 (2)'!B$526)/'Sheet1 (2)'!B$527</f>
        <v>-1.2242915745870349</v>
      </c>
      <c r="C222" s="48">
        <f>('Sheet1 (2)'!C222-'Sheet1 (2)'!C$526)/'Sheet1 (2)'!C$527</f>
        <v>0.17609283346722651</v>
      </c>
      <c r="D222" s="48">
        <f>('Sheet1 (2)'!D222-'Sheet1 (2)'!D$526)/'Sheet1 (2)'!D$527</f>
        <v>-0.4704097020702403</v>
      </c>
      <c r="E222" s="48">
        <f>('Sheet1 (2)'!E222-'Sheet1 (2)'!E$526)/'Sheet1 (2)'!E$527</f>
        <v>0.19863871294936675</v>
      </c>
      <c r="F222" s="48">
        <f>('Sheet1 (2)'!F222-'Sheet1 (2)'!F$526)/'Sheet1 (2)'!F$527</f>
        <v>3.5300958634082259E-2</v>
      </c>
      <c r="G222" s="48">
        <f>('Sheet1 (2)'!G222-'Sheet1 (2)'!G$526)/'Sheet1 (2)'!G$527</f>
        <v>-0.50144115274505707</v>
      </c>
      <c r="H222" s="48">
        <f>('Sheet1 (2)'!H222-'Sheet1 (2)'!H$526)/'Sheet1 (2)'!H$527</f>
        <v>-0.10796506137076387</v>
      </c>
      <c r="I222" s="48">
        <f>('Sheet1 (2)'!I222-'Sheet1 (2)'!I$526)/'Sheet1 (2)'!I$527</f>
        <v>3.8694454274466585E-2</v>
      </c>
      <c r="J222" s="48">
        <f>('Sheet1 (2)'!J222-'Sheet1 (2)'!J$526)/'Sheet1 (2)'!J$527</f>
        <v>-0.59187950412726698</v>
      </c>
      <c r="K222" s="48">
        <f>('Sheet1 (2)'!K222-'Sheet1 (2)'!K$526)/'Sheet1 (2)'!K$527</f>
        <v>-0.57154830137013202</v>
      </c>
    </row>
    <row r="223" spans="1:11" ht="12.75" x14ac:dyDescent="0.2">
      <c r="A223" s="49">
        <v>14</v>
      </c>
      <c r="B223" s="48">
        <f>('Sheet1 (2)'!B223-'Sheet1 (2)'!B$526)/'Sheet1 (2)'!B$527</f>
        <v>-1.2242915745870349</v>
      </c>
      <c r="C223" s="48">
        <f>('Sheet1 (2)'!C223-'Sheet1 (2)'!C$526)/'Sheet1 (2)'!C$527</f>
        <v>-0.71922850481381762</v>
      </c>
      <c r="D223" s="48">
        <f>('Sheet1 (2)'!D223-'Sheet1 (2)'!D$526)/'Sheet1 (2)'!D$527</f>
        <v>-0.4704097020702403</v>
      </c>
      <c r="E223" s="48">
        <f>('Sheet1 (2)'!E223-'Sheet1 (2)'!E$526)/'Sheet1 (2)'!E$527</f>
        <v>-0.49064665360488441</v>
      </c>
      <c r="F223" s="48">
        <f>('Sheet1 (2)'!F223-'Sheet1 (2)'!F$526)/'Sheet1 (2)'!F$527</f>
        <v>3.5300958634082259E-2</v>
      </c>
      <c r="G223" s="48">
        <f>('Sheet1 (2)'!G223-'Sheet1 (2)'!G$526)/'Sheet1 (2)'!G$527</f>
        <v>0.54816268544734892</v>
      </c>
      <c r="H223" s="48">
        <f>('Sheet1 (2)'!H223-'Sheet1 (2)'!H$526)/'Sheet1 (2)'!H$527</f>
        <v>-0.87329802201094064</v>
      </c>
      <c r="I223" s="48">
        <f>('Sheet1 (2)'!I223-'Sheet1 (2)'!I$526)/'Sheet1 (2)'!I$527</f>
        <v>0.60521033682445069</v>
      </c>
      <c r="J223" s="48">
        <f>('Sheet1 (2)'!J223-'Sheet1 (2)'!J$526)/'Sheet1 (2)'!J$527</f>
        <v>0.4081195688541826</v>
      </c>
      <c r="K223" s="48">
        <f>('Sheet1 (2)'!K223-'Sheet1 (2)'!K$526)/'Sheet1 (2)'!K$527</f>
        <v>-0.98049638569534414</v>
      </c>
    </row>
    <row r="224" spans="1:11" ht="12.75" x14ac:dyDescent="0.2">
      <c r="A224" s="50">
        <v>14</v>
      </c>
      <c r="B224" s="48">
        <f>('Sheet1 (2)'!B224-'Sheet1 (2)'!B$526)/'Sheet1 (2)'!B$527</f>
        <v>-1.2242915745870349</v>
      </c>
      <c r="C224" s="48">
        <f>('Sheet1 (2)'!C224-'Sheet1 (2)'!C$526)/'Sheet1 (2)'!C$527</f>
        <v>-0.65932544337205123</v>
      </c>
      <c r="D224" s="48">
        <f>('Sheet1 (2)'!D224-'Sheet1 (2)'!D$526)/'Sheet1 (2)'!D$527</f>
        <v>1.4257032508898051</v>
      </c>
      <c r="E224" s="48">
        <f>('Sheet1 (2)'!E224-'Sheet1 (2)'!E$526)/'Sheet1 (2)'!E$527</f>
        <v>-0.70432511723670232</v>
      </c>
      <c r="F224" s="48">
        <f>('Sheet1 (2)'!F224-'Sheet1 (2)'!F$526)/'Sheet1 (2)'!F$527</f>
        <v>-1.1978791963165167</v>
      </c>
      <c r="G224" s="48">
        <f>('Sheet1 (2)'!G224-'Sheet1 (2)'!G$526)/'Sheet1 (2)'!G$527</f>
        <v>-0.50144115274505707</v>
      </c>
      <c r="H224" s="48">
        <f>('Sheet1 (2)'!H224-'Sheet1 (2)'!H$526)/'Sheet1 (2)'!H$527</f>
        <v>-0.68446658089790124</v>
      </c>
      <c r="I224" s="48">
        <f>('Sheet1 (2)'!I224-'Sheet1 (2)'!I$526)/'Sheet1 (2)'!I$527</f>
        <v>-0.57679410138668397</v>
      </c>
      <c r="J224" s="48">
        <f>('Sheet1 (2)'!J224-'Sheet1 (2)'!J$526)/'Sheet1 (2)'!J$527</f>
        <v>0.41334795653401452</v>
      </c>
      <c r="K224" s="48">
        <f>('Sheet1 (2)'!K224-'Sheet1 (2)'!K$526)/'Sheet1 (2)'!K$527</f>
        <v>-1.4297669870414056</v>
      </c>
    </row>
    <row r="225" spans="1:11" ht="12.75" x14ac:dyDescent="0.2">
      <c r="A225" s="51">
        <v>14</v>
      </c>
      <c r="B225" s="48">
        <f>('Sheet1 (2)'!B225-'Sheet1 (2)'!B$526)/'Sheet1 (2)'!B$527</f>
        <v>-1.2242915745870349</v>
      </c>
      <c r="C225" s="48">
        <f>('Sheet1 (2)'!C225-'Sheet1 (2)'!C$526)/'Sheet1 (2)'!C$527</f>
        <v>-0.37263544908880641</v>
      </c>
      <c r="D225" s="48">
        <f>('Sheet1 (2)'!D225-'Sheet1 (2)'!D$526)/'Sheet1 (2)'!D$527</f>
        <v>3.3218162038498509</v>
      </c>
      <c r="E225" s="48">
        <f>('Sheet1 (2)'!E225-'Sheet1 (2)'!E$526)/'Sheet1 (2)'!E$527</f>
        <v>2.1722135533775506E-2</v>
      </c>
      <c r="F225" s="48">
        <f>('Sheet1 (2)'!F225-'Sheet1 (2)'!F$526)/'Sheet1 (2)'!F$527</f>
        <v>-1.1978791963165167</v>
      </c>
      <c r="G225" s="48">
        <f>('Sheet1 (2)'!G225-'Sheet1 (2)'!G$526)/'Sheet1 (2)'!G$527</f>
        <v>-0.44556296279812313</v>
      </c>
      <c r="H225" s="48">
        <f>('Sheet1 (2)'!H225-'Sheet1 (2)'!H$526)/'Sheet1 (2)'!H$527</f>
        <v>-0.17540486176827835</v>
      </c>
      <c r="I225" s="48">
        <f>('Sheet1 (2)'!I225-'Sheet1 (2)'!I$526)/'Sheet1 (2)'!I$527</f>
        <v>-0.43496924005674409</v>
      </c>
      <c r="J225" s="48">
        <f>('Sheet1 (2)'!J225-'Sheet1 (2)'!J$526)/'Sheet1 (2)'!J$527</f>
        <v>-0.77597738859563492</v>
      </c>
      <c r="K225" s="48">
        <f>('Sheet1 (2)'!K225-'Sheet1 (2)'!K$526)/'Sheet1 (2)'!K$527</f>
        <v>-0.91217090723314653</v>
      </c>
    </row>
    <row r="226" spans="1:11" ht="12.75" x14ac:dyDescent="0.2">
      <c r="A226" s="48">
        <v>14</v>
      </c>
      <c r="B226" s="48">
        <f>('Sheet1 (2)'!B226-'Sheet1 (2)'!B$526)/'Sheet1 (2)'!B$527</f>
        <v>1.1794716518179513E-2</v>
      </c>
      <c r="C226" s="48">
        <f>('Sheet1 (2)'!C226-'Sheet1 (2)'!C$526)/'Sheet1 (2)'!C$527</f>
        <v>-5.696350341588631E-2</v>
      </c>
      <c r="D226" s="48">
        <f>('Sheet1 (2)'!D226-'Sheet1 (2)'!D$526)/'Sheet1 (2)'!D$527</f>
        <v>-0.4704097020702403</v>
      </c>
      <c r="E226" s="48">
        <f>('Sheet1 (2)'!E226-'Sheet1 (2)'!E$526)/'Sheet1 (2)'!E$527</f>
        <v>-0.34359910873997757</v>
      </c>
      <c r="F226" s="48">
        <f>('Sheet1 (2)'!F226-'Sheet1 (2)'!F$526)/'Sheet1 (2)'!F$527</f>
        <v>1.2684811135846812</v>
      </c>
      <c r="G226" s="48">
        <f>('Sheet1 (2)'!G226-'Sheet1 (2)'!G$526)/'Sheet1 (2)'!G$527</f>
        <v>0.77471703600983233</v>
      </c>
      <c r="H226" s="48">
        <f>('Sheet1 (2)'!H226-'Sheet1 (2)'!H$526)/'Sheet1 (2)'!H$527</f>
        <v>5.7666185241930325E-2</v>
      </c>
      <c r="I226" s="48">
        <f>('Sheet1 (2)'!I226-'Sheet1 (2)'!I$526)/'Sheet1 (2)'!I$527</f>
        <v>0.50462385480810057</v>
      </c>
      <c r="J226" s="48">
        <f>('Sheet1 (2)'!J226-'Sheet1 (2)'!J$526)/'Sheet1 (2)'!J$527</f>
        <v>-0.42794554602484453</v>
      </c>
      <c r="K226" s="48">
        <f>('Sheet1 (2)'!K226-'Sheet1 (2)'!K$526)/'Sheet1 (2)'!K$527</f>
        <v>0.63984231300496808</v>
      </c>
    </row>
    <row r="227" spans="1:11" ht="12.75" x14ac:dyDescent="0.2">
      <c r="A227" s="49">
        <v>14</v>
      </c>
      <c r="B227" s="48">
        <f>('Sheet1 (2)'!B227-'Sheet1 (2)'!B$526)/'Sheet1 (2)'!B$527</f>
        <v>1.1794716518179513E-2</v>
      </c>
      <c r="C227" s="48">
        <f>('Sheet1 (2)'!C227-'Sheet1 (2)'!C$526)/'Sheet1 (2)'!C$527</f>
        <v>0.44405230842856896</v>
      </c>
      <c r="D227" s="48">
        <f>('Sheet1 (2)'!D227-'Sheet1 (2)'!D$526)/'Sheet1 (2)'!D$527</f>
        <v>-0.4704097020702403</v>
      </c>
      <c r="E227" s="48">
        <f>('Sheet1 (2)'!E227-'Sheet1 (2)'!E$526)/'Sheet1 (2)'!E$527</f>
        <v>-0.13681349877370214</v>
      </c>
      <c r="F227" s="48">
        <f>('Sheet1 (2)'!F227-'Sheet1 (2)'!F$526)/'Sheet1 (2)'!F$527</f>
        <v>1.2684811135846812</v>
      </c>
      <c r="G227" s="48">
        <f>('Sheet1 (2)'!G227-'Sheet1 (2)'!G$526)/'Sheet1 (2)'!G$527</f>
        <v>-0.50144115274505707</v>
      </c>
      <c r="H227" s="48">
        <f>('Sheet1 (2)'!H227-'Sheet1 (2)'!H$526)/'Sheet1 (2)'!H$527</f>
        <v>-6.6370434625101171E-2</v>
      </c>
      <c r="I227" s="48">
        <f>('Sheet1 (2)'!I227-'Sheet1 (2)'!I$526)/'Sheet1 (2)'!I$527</f>
        <v>0.30143115123888531</v>
      </c>
      <c r="J227" s="48">
        <f>('Sheet1 (2)'!J227-'Sheet1 (2)'!J$526)/'Sheet1 (2)'!J$527</f>
        <v>-0.74256516845722575</v>
      </c>
      <c r="K227" s="48">
        <f>('Sheet1 (2)'!K227-'Sheet1 (2)'!K$526)/'Sheet1 (2)'!K$527</f>
        <v>-0.45356337046207951</v>
      </c>
    </row>
    <row r="228" spans="1:11" ht="12.75" x14ac:dyDescent="0.2">
      <c r="A228" s="50">
        <v>14</v>
      </c>
      <c r="B228" s="48">
        <f>('Sheet1 (2)'!B228-'Sheet1 (2)'!B$526)/'Sheet1 (2)'!B$527</f>
        <v>1.1794716518179513E-2</v>
      </c>
      <c r="C228" s="48">
        <f>('Sheet1 (2)'!C228-'Sheet1 (2)'!C$526)/'Sheet1 (2)'!C$527</f>
        <v>0.86309643160956628</v>
      </c>
      <c r="D228" s="48">
        <f>('Sheet1 (2)'!D228-'Sheet1 (2)'!D$526)/'Sheet1 (2)'!D$527</f>
        <v>-0.4704097020702403</v>
      </c>
      <c r="E228" s="48">
        <f>('Sheet1 (2)'!E228-'Sheet1 (2)'!E$526)/'Sheet1 (2)'!E$527</f>
        <v>-0.66986084890898978</v>
      </c>
      <c r="F228" s="48">
        <f>('Sheet1 (2)'!F228-'Sheet1 (2)'!F$526)/'Sheet1 (2)'!F$527</f>
        <v>3.5300958634082259E-2</v>
      </c>
      <c r="G228" s="48">
        <f>('Sheet1 (2)'!G228-'Sheet1 (2)'!G$526)/'Sheet1 (2)'!G$527</f>
        <v>-0.50144115274505707</v>
      </c>
      <c r="H228" s="48">
        <f>('Sheet1 (2)'!H228-'Sheet1 (2)'!H$526)/'Sheet1 (2)'!H$527</f>
        <v>0.4064212014938175</v>
      </c>
      <c r="I228" s="48">
        <f>('Sheet1 (2)'!I228-'Sheet1 (2)'!I$526)/'Sheet1 (2)'!I$527</f>
        <v>0.1894418623337483</v>
      </c>
      <c r="J228" s="48">
        <f>('Sheet1 (2)'!J228-'Sheet1 (2)'!J$526)/'Sheet1 (2)'!J$527</f>
        <v>-0.83945425120312078</v>
      </c>
      <c r="K228" s="48">
        <f>('Sheet1 (2)'!K228-'Sheet1 (2)'!K$526)/'Sheet1 (2)'!K$527</f>
        <v>-0.70995804841145016</v>
      </c>
    </row>
    <row r="229" spans="1:11" ht="12.75" x14ac:dyDescent="0.2">
      <c r="A229" s="49">
        <v>14</v>
      </c>
      <c r="B229" s="48">
        <f>('Sheet1 (2)'!B229-'Sheet1 (2)'!B$526)/'Sheet1 (2)'!B$527</f>
        <v>1.1794716518179513E-2</v>
      </c>
      <c r="C229" s="48">
        <f>('Sheet1 (2)'!C229-'Sheet1 (2)'!C$526)/'Sheet1 (2)'!C$527</f>
        <v>0.93817268912429763</v>
      </c>
      <c r="D229" s="48">
        <f>('Sheet1 (2)'!D229-'Sheet1 (2)'!D$526)/'Sheet1 (2)'!D$527</f>
        <v>-0.4704097020702403</v>
      </c>
      <c r="E229" s="48">
        <f>('Sheet1 (2)'!E229-'Sheet1 (2)'!E$526)/'Sheet1 (2)'!E$527</f>
        <v>-0.24709915742238242</v>
      </c>
      <c r="F229" s="48">
        <f>('Sheet1 (2)'!F229-'Sheet1 (2)'!F$526)/'Sheet1 (2)'!F$527</f>
        <v>3.5300958634082259E-2</v>
      </c>
      <c r="G229" s="48">
        <f>('Sheet1 (2)'!G229-'Sheet1 (2)'!G$526)/'Sheet1 (2)'!G$527</f>
        <v>-0.50144115274505707</v>
      </c>
      <c r="H229" s="48">
        <f>('Sheet1 (2)'!H229-'Sheet1 (2)'!H$526)/'Sheet1 (2)'!H$527</f>
        <v>0.2814701284689482</v>
      </c>
      <c r="I229" s="48">
        <f>('Sheet1 (2)'!I229-'Sheet1 (2)'!I$526)/'Sheet1 (2)'!I$527</f>
        <v>6.0557243244830479E-2</v>
      </c>
      <c r="J229" s="48">
        <f>('Sheet1 (2)'!J229-'Sheet1 (2)'!J$526)/'Sheet1 (2)'!J$527</f>
        <v>0.10702346251420115</v>
      </c>
      <c r="K229" s="48">
        <f>('Sheet1 (2)'!K229-'Sheet1 (2)'!K$526)/'Sheet1 (2)'!K$527</f>
        <v>-0.42536633935115514</v>
      </c>
    </row>
    <row r="230" spans="1:11" ht="12.75" x14ac:dyDescent="0.2">
      <c r="A230" s="50">
        <v>14</v>
      </c>
      <c r="B230" s="48">
        <f>('Sheet1 (2)'!B230-'Sheet1 (2)'!B$526)/'Sheet1 (2)'!B$527</f>
        <v>1.1794716518179513E-2</v>
      </c>
      <c r="C230" s="48">
        <f>('Sheet1 (2)'!C230-'Sheet1 (2)'!C$526)/'Sheet1 (2)'!C$527</f>
        <v>0.84313990484307555</v>
      </c>
      <c r="D230" s="48">
        <f>('Sheet1 (2)'!D230-'Sheet1 (2)'!D$526)/'Sheet1 (2)'!D$527</f>
        <v>1.4257032508898051</v>
      </c>
      <c r="E230" s="48">
        <f>('Sheet1 (2)'!E230-'Sheet1 (2)'!E$526)/'Sheet1 (2)'!E$527</f>
        <v>0.48124571323660958</v>
      </c>
      <c r="F230" s="48">
        <f>('Sheet1 (2)'!F230-'Sheet1 (2)'!F$526)/'Sheet1 (2)'!F$527</f>
        <v>-1.1978791963165167</v>
      </c>
      <c r="G230" s="48">
        <f>('Sheet1 (2)'!G230-'Sheet1 (2)'!G$526)/'Sheet1 (2)'!G$527</f>
        <v>-0.50144115274505707</v>
      </c>
      <c r="H230" s="48">
        <f>('Sheet1 (2)'!H230-'Sheet1 (2)'!H$526)/'Sheet1 (2)'!H$527</f>
        <v>2.6105455354548408E-2</v>
      </c>
      <c r="I230" s="48">
        <f>('Sheet1 (2)'!I230-'Sheet1 (2)'!I$526)/'Sheet1 (2)'!I$527</f>
        <v>0.38412155012702059</v>
      </c>
      <c r="J230" s="48">
        <f>('Sheet1 (2)'!J230-'Sheet1 (2)'!J$526)/'Sheet1 (2)'!J$527</f>
        <v>2.6929652013472012</v>
      </c>
      <c r="K230" s="48">
        <f>('Sheet1 (2)'!K230-'Sheet1 (2)'!K$526)/'Sheet1 (2)'!K$527</f>
        <v>-0.80637069432775488</v>
      </c>
    </row>
    <row r="231" spans="1:11" ht="12.75" x14ac:dyDescent="0.2">
      <c r="A231" s="51">
        <v>14</v>
      </c>
      <c r="B231" s="48">
        <f>('Sheet1 (2)'!B231-'Sheet1 (2)'!B$526)/'Sheet1 (2)'!B$527</f>
        <v>1.1794716518179513E-2</v>
      </c>
      <c r="C231" s="48">
        <f>('Sheet1 (2)'!C231-'Sheet1 (2)'!C$526)/'Sheet1 (2)'!C$527</f>
        <v>0.91687713079554412</v>
      </c>
      <c r="D231" s="48">
        <f>('Sheet1 (2)'!D231-'Sheet1 (2)'!D$526)/'Sheet1 (2)'!D$527</f>
        <v>-0.4704097020702403</v>
      </c>
      <c r="E231" s="48">
        <f>('Sheet1 (2)'!E231-'Sheet1 (2)'!E$526)/'Sheet1 (2)'!E$527</f>
        <v>-0.69053940990561724</v>
      </c>
      <c r="F231" s="48">
        <f>('Sheet1 (2)'!F231-'Sheet1 (2)'!F$526)/'Sheet1 (2)'!F$527</f>
        <v>-1.1978791963165167</v>
      </c>
      <c r="G231" s="48">
        <f>('Sheet1 (2)'!G231-'Sheet1 (2)'!G$526)/'Sheet1 (2)'!G$527</f>
        <v>-0.50144115274505707</v>
      </c>
      <c r="H231" s="48">
        <f>('Sheet1 (2)'!H231-'Sheet1 (2)'!H$526)/'Sheet1 (2)'!H$527</f>
        <v>0.17814659838392743</v>
      </c>
      <c r="I231" s="48">
        <f>('Sheet1 (2)'!I231-'Sheet1 (2)'!I$526)/'Sheet1 (2)'!I$527</f>
        <v>0.13826792000814053</v>
      </c>
      <c r="J231" s="48">
        <f>('Sheet1 (2)'!J231-'Sheet1 (2)'!J$526)/'Sheet1 (2)'!J$527</f>
        <v>-0.81117276916470138</v>
      </c>
      <c r="K231" s="48">
        <f>('Sheet1 (2)'!K231-'Sheet1 (2)'!K$526)/'Sheet1 (2)'!K$527</f>
        <v>-0.24167124638658419</v>
      </c>
    </row>
    <row r="232" spans="1:11" ht="12.75" x14ac:dyDescent="0.2">
      <c r="A232" s="48">
        <v>14</v>
      </c>
      <c r="B232" s="48">
        <f>('Sheet1 (2)'!B232-'Sheet1 (2)'!B$526)/'Sheet1 (2)'!B$527</f>
        <v>1.2478810076233939</v>
      </c>
      <c r="C232" s="48">
        <f>('Sheet1 (2)'!C232-'Sheet1 (2)'!C$526)/'Sheet1 (2)'!C$527</f>
        <v>-0.21852792395581766</v>
      </c>
      <c r="D232" s="48">
        <f>('Sheet1 (2)'!D232-'Sheet1 (2)'!D$526)/'Sheet1 (2)'!D$527</f>
        <v>-0.4704097020702403</v>
      </c>
      <c r="E232" s="48">
        <f>('Sheet1 (2)'!E232-'Sheet1 (2)'!E$526)/'Sheet1 (2)'!E$527</f>
        <v>-0.46537285683122853</v>
      </c>
      <c r="F232" s="48">
        <f>('Sheet1 (2)'!F232-'Sheet1 (2)'!F$526)/'Sheet1 (2)'!F$527</f>
        <v>1.2684811135846812</v>
      </c>
      <c r="G232" s="48">
        <f>('Sheet1 (2)'!G232-'Sheet1 (2)'!G$526)/'Sheet1 (2)'!G$527</f>
        <v>-0.50144115274505707</v>
      </c>
      <c r="H232" s="48">
        <f>('Sheet1 (2)'!H232-'Sheet1 (2)'!H$526)/'Sheet1 (2)'!H$527</f>
        <v>-0.15329177351649378</v>
      </c>
      <c r="I232" s="48">
        <f>('Sheet1 (2)'!I232-'Sheet1 (2)'!I$526)/'Sheet1 (2)'!I$527</f>
        <v>0.64159991369152525</v>
      </c>
      <c r="J232" s="48">
        <f>('Sheet1 (2)'!J232-'Sheet1 (2)'!J$526)/'Sheet1 (2)'!J$527</f>
        <v>-0.79088623670631109</v>
      </c>
      <c r="K232" s="48">
        <f>('Sheet1 (2)'!K232-'Sheet1 (2)'!K$526)/'Sheet1 (2)'!K$527</f>
        <v>-0.94000169299159375</v>
      </c>
    </row>
    <row r="233" spans="1:11" ht="12.75" x14ac:dyDescent="0.2">
      <c r="A233" s="49">
        <v>14</v>
      </c>
      <c r="B233" s="48">
        <f>('Sheet1 (2)'!B233-'Sheet1 (2)'!B$526)/'Sheet1 (2)'!B$527</f>
        <v>1.2478810076233939</v>
      </c>
      <c r="C233" s="48">
        <f>('Sheet1 (2)'!C233-'Sheet1 (2)'!C$526)/'Sheet1 (2)'!C$527</f>
        <v>-0.81401713215457649</v>
      </c>
      <c r="D233" s="48">
        <f>('Sheet1 (2)'!D233-'Sheet1 (2)'!D$526)/'Sheet1 (2)'!D$527</f>
        <v>-0.4704097020702403</v>
      </c>
      <c r="E233" s="48">
        <f>('Sheet1 (2)'!E233-'Sheet1 (2)'!E$526)/'Sheet1 (2)'!E$527</f>
        <v>0.94076929093944373</v>
      </c>
      <c r="F233" s="48">
        <f>('Sheet1 (2)'!F233-'Sheet1 (2)'!F$526)/'Sheet1 (2)'!F$527</f>
        <v>1.2684811135846812</v>
      </c>
      <c r="G233" s="48">
        <f>('Sheet1 (2)'!G233-'Sheet1 (2)'!G$526)/'Sheet1 (2)'!G$527</f>
        <v>0.60030974029448758</v>
      </c>
      <c r="H233" s="48">
        <f>('Sheet1 (2)'!H233-'Sheet1 (2)'!H$526)/'Sheet1 (2)'!H$527</f>
        <v>-0.65429142922098649</v>
      </c>
      <c r="I233" s="48">
        <f>('Sheet1 (2)'!I233-'Sheet1 (2)'!I$526)/'Sheet1 (2)'!I$527</f>
        <v>-3.4774282452882641</v>
      </c>
      <c r="J233" s="48">
        <f>('Sheet1 (2)'!J233-'Sheet1 (2)'!J$526)/'Sheet1 (2)'!J$527</f>
        <v>-0.45010208545097624</v>
      </c>
      <c r="K233" s="48">
        <f>('Sheet1 (2)'!K233-'Sheet1 (2)'!K$526)/'Sheet1 (2)'!K$527</f>
        <v>-0.1351446200880177</v>
      </c>
    </row>
    <row r="234" spans="1:11" ht="12.75" x14ac:dyDescent="0.2">
      <c r="A234" s="50">
        <v>14</v>
      </c>
      <c r="B234" s="48">
        <f>('Sheet1 (2)'!B234-'Sheet1 (2)'!B$526)/'Sheet1 (2)'!B$527</f>
        <v>1.2478810076233939</v>
      </c>
      <c r="C234" s="48">
        <f>('Sheet1 (2)'!C234-'Sheet1 (2)'!C$526)/'Sheet1 (2)'!C$527</f>
        <v>-0.45878515511710505</v>
      </c>
      <c r="D234" s="48">
        <f>('Sheet1 (2)'!D234-'Sheet1 (2)'!D$526)/'Sheet1 (2)'!D$527</f>
        <v>-0.4704097020702403</v>
      </c>
      <c r="E234" s="48">
        <f>('Sheet1 (2)'!E234-'Sheet1 (2)'!E$526)/'Sheet1 (2)'!E$527</f>
        <v>0.46516238801701054</v>
      </c>
      <c r="F234" s="48">
        <f>('Sheet1 (2)'!F234-'Sheet1 (2)'!F$526)/'Sheet1 (2)'!F$527</f>
        <v>3.5300958634082259E-2</v>
      </c>
      <c r="G234" s="48">
        <f>('Sheet1 (2)'!G234-'Sheet1 (2)'!G$526)/'Sheet1 (2)'!G$527</f>
        <v>0.21280470921575079</v>
      </c>
      <c r="H234" s="48">
        <f>('Sheet1 (2)'!H234-'Sheet1 (2)'!H$526)/'Sheet1 (2)'!H$527</f>
        <v>-0.33388199423939996</v>
      </c>
      <c r="I234" s="48">
        <f>('Sheet1 (2)'!I234-'Sheet1 (2)'!I$526)/'Sheet1 (2)'!I$527</f>
        <v>-8.0614500406245709E-2</v>
      </c>
      <c r="J234" s="48">
        <f>('Sheet1 (2)'!J234-'Sheet1 (2)'!J$526)/'Sheet1 (2)'!J$527</f>
        <v>-5.2281974473409936E-4</v>
      </c>
      <c r="K234" s="48">
        <f>('Sheet1 (2)'!K234-'Sheet1 (2)'!K$526)/'Sheet1 (2)'!K$527</f>
        <v>-1.5893918335946577</v>
      </c>
    </row>
    <row r="235" spans="1:11" ht="12.75" x14ac:dyDescent="0.2">
      <c r="A235" s="49">
        <v>14</v>
      </c>
      <c r="B235" s="48">
        <f>('Sheet1 (2)'!B235-'Sheet1 (2)'!B$526)/'Sheet1 (2)'!B$527</f>
        <v>1.2478810076233939</v>
      </c>
      <c r="C235" s="48">
        <f>('Sheet1 (2)'!C235-'Sheet1 (2)'!C$526)/'Sheet1 (2)'!C$527</f>
        <v>-1.3033919825379221</v>
      </c>
      <c r="D235" s="48">
        <f>('Sheet1 (2)'!D235-'Sheet1 (2)'!D$526)/'Sheet1 (2)'!D$527</f>
        <v>-0.4704097020702403</v>
      </c>
      <c r="E235" s="48">
        <f>('Sheet1 (2)'!E235-'Sheet1 (2)'!E$526)/'Sheet1 (2)'!E$527</f>
        <v>-7.2480197895305312E-2</v>
      </c>
      <c r="F235" s="48">
        <f>('Sheet1 (2)'!F235-'Sheet1 (2)'!F$526)/'Sheet1 (2)'!F$527</f>
        <v>3.5300958634082259E-2</v>
      </c>
      <c r="G235" s="48">
        <f>('Sheet1 (2)'!G235-'Sheet1 (2)'!G$526)/'Sheet1 (2)'!G$527</f>
        <v>3.2686043559480726</v>
      </c>
      <c r="H235" s="48">
        <f>('Sheet1 (2)'!H235-'Sheet1 (2)'!H$526)/'Sheet1 (2)'!H$527</f>
        <v>-1.2605585987907459</v>
      </c>
      <c r="I235" s="48">
        <f>('Sheet1 (2)'!I235-'Sheet1 (2)'!I$526)/'Sheet1 (2)'!I$527</f>
        <v>-0.32349591307381881</v>
      </c>
      <c r="J235" s="48">
        <f>('Sheet1 (2)'!J235-'Sheet1 (2)'!J$526)/'Sheet1 (2)'!J$527</f>
        <v>0.19155620484167446</v>
      </c>
      <c r="K235" s="48">
        <f>('Sheet1 (2)'!K235-'Sheet1 (2)'!K$526)/'Sheet1 (2)'!K$527</f>
        <v>-1.3040838780964239</v>
      </c>
    </row>
    <row r="236" spans="1:11" ht="12.75" x14ac:dyDescent="0.2">
      <c r="A236" s="50">
        <v>14</v>
      </c>
      <c r="B236" s="48">
        <f>('Sheet1 (2)'!B236-'Sheet1 (2)'!B$526)/'Sheet1 (2)'!B$527</f>
        <v>1.2478810076233939</v>
      </c>
      <c r="C236" s="48">
        <f>('Sheet1 (2)'!C236-'Sheet1 (2)'!C$526)/'Sheet1 (2)'!C$527</f>
        <v>-0.77142232421007595</v>
      </c>
      <c r="D236" s="48">
        <f>('Sheet1 (2)'!D236-'Sheet1 (2)'!D$526)/'Sheet1 (2)'!D$527</f>
        <v>-0.4704097020702403</v>
      </c>
      <c r="E236" s="48">
        <f>('Sheet1 (2)'!E236-'Sheet1 (2)'!E$526)/'Sheet1 (2)'!E$527</f>
        <v>-0.84907504421309499</v>
      </c>
      <c r="F236" s="48">
        <f>('Sheet1 (2)'!F236-'Sheet1 (2)'!F$526)/'Sheet1 (2)'!F$527</f>
        <v>-1.1978791963165167</v>
      </c>
      <c r="G236" s="48">
        <f>('Sheet1 (2)'!G236-'Sheet1 (2)'!G$526)/'Sheet1 (2)'!G$527</f>
        <v>0.67439942299042199</v>
      </c>
      <c r="H236" s="48">
        <f>('Sheet1 (2)'!H236-'Sheet1 (2)'!H$526)/'Sheet1 (2)'!H$527</f>
        <v>-0.26362687010612651</v>
      </c>
      <c r="I236" s="48">
        <f>('Sheet1 (2)'!I236-'Sheet1 (2)'!I$526)/'Sheet1 (2)'!I$527</f>
        <v>0.36387300373261811</v>
      </c>
      <c r="J236" s="48">
        <f>('Sheet1 (2)'!J236-'Sheet1 (2)'!J$526)/'Sheet1 (2)'!J$527</f>
        <v>-0.80284891148684689</v>
      </c>
      <c r="K236" s="48">
        <f>('Sheet1 (2)'!K236-'Sheet1 (2)'!K$526)/'Sheet1 (2)'!K$527</f>
        <v>-1.7574866958321052</v>
      </c>
    </row>
    <row r="237" spans="1:11" ht="12.75" x14ac:dyDescent="0.2">
      <c r="A237" s="51">
        <v>14</v>
      </c>
      <c r="B237" s="48">
        <f>('Sheet1 (2)'!B237-'Sheet1 (2)'!B$526)/'Sheet1 (2)'!B$527</f>
        <v>1.2478810076233939</v>
      </c>
      <c r="C237" s="48">
        <f>('Sheet1 (2)'!C237-'Sheet1 (2)'!C$526)/'Sheet1 (2)'!C$527</f>
        <v>-0.9527247289830667</v>
      </c>
      <c r="D237" s="48">
        <f>('Sheet1 (2)'!D237-'Sheet1 (2)'!D$526)/'Sheet1 (2)'!D$527</f>
        <v>-0.4704097020702403</v>
      </c>
      <c r="E237" s="48">
        <f>('Sheet1 (2)'!E237-'Sheet1 (2)'!E$526)/'Sheet1 (2)'!E$527</f>
        <v>-0.66756323102047554</v>
      </c>
      <c r="F237" s="48">
        <f>('Sheet1 (2)'!F237-'Sheet1 (2)'!F$526)/'Sheet1 (2)'!F$527</f>
        <v>-1.1978791963165167</v>
      </c>
      <c r="G237" s="48">
        <f>('Sheet1 (2)'!G237-'Sheet1 (2)'!G$526)/'Sheet1 (2)'!G$527</f>
        <v>2.7217265541780811</v>
      </c>
      <c r="H237" s="48">
        <f>('Sheet1 (2)'!H237-'Sheet1 (2)'!H$526)/'Sheet1 (2)'!H$527</f>
        <v>-0.75495204970046426</v>
      </c>
      <c r="I237" s="48">
        <f>('Sheet1 (2)'!I237-'Sheet1 (2)'!I$526)/'Sheet1 (2)'!I$527</f>
        <v>-0.63357935623182282</v>
      </c>
      <c r="J237" s="48">
        <f>('Sheet1 (2)'!J237-'Sheet1 (2)'!J$526)/'Sheet1 (2)'!J$527</f>
        <v>-0.83945425120312078</v>
      </c>
      <c r="K237" s="48">
        <f>('Sheet1 (2)'!K237-'Sheet1 (2)'!K$526)/'Sheet1 (2)'!K$527</f>
        <v>0.13517634163890779</v>
      </c>
    </row>
    <row r="238" spans="1:11" ht="12.75" x14ac:dyDescent="0.2">
      <c r="A238" s="48">
        <v>15</v>
      </c>
      <c r="B238" s="48">
        <f>('Sheet1 (2)'!B238-'Sheet1 (2)'!B$526)/'Sheet1 (2)'!B$527</f>
        <v>-1.2242915745870349</v>
      </c>
      <c r="C238" s="48">
        <f>('Sheet1 (2)'!C238-'Sheet1 (2)'!C$526)/'Sheet1 (2)'!C$527</f>
        <v>0.53952155349789732</v>
      </c>
      <c r="D238" s="48">
        <f>('Sheet1 (2)'!D238-'Sheet1 (2)'!D$526)/'Sheet1 (2)'!D$527</f>
        <v>-0.4704097020702403</v>
      </c>
      <c r="E238" s="48">
        <f>('Sheet1 (2)'!E238-'Sheet1 (2)'!E$526)/'Sheet1 (2)'!E$527</f>
        <v>-0.12762302721964544</v>
      </c>
      <c r="F238" s="48">
        <f>('Sheet1 (2)'!F238-'Sheet1 (2)'!F$526)/'Sheet1 (2)'!F$527</f>
        <v>1.2684811135846812</v>
      </c>
      <c r="G238" s="48">
        <f>('Sheet1 (2)'!G238-'Sheet1 (2)'!G$526)/'Sheet1 (2)'!G$527</f>
        <v>-0.36362467420843331</v>
      </c>
      <c r="H238" s="48">
        <f>('Sheet1 (2)'!H238-'Sheet1 (2)'!H$526)/'Sheet1 (2)'!H$527</f>
        <v>0.82705513897928673</v>
      </c>
      <c r="I238" s="48">
        <f>('Sheet1 (2)'!I238-'Sheet1 (2)'!I$526)/'Sheet1 (2)'!I$527</f>
        <v>0.65579569145016248</v>
      </c>
      <c r="J238" s="48">
        <f>('Sheet1 (2)'!J238-'Sheet1 (2)'!J$526)/'Sheet1 (2)'!J$527</f>
        <v>2.7262062520418495</v>
      </c>
      <c r="K238" s="48">
        <f>('Sheet1 (2)'!K238-'Sheet1 (2)'!K$526)/'Sheet1 (2)'!K$527</f>
        <v>0.26389861135384346</v>
      </c>
    </row>
    <row r="239" spans="1:11" ht="12.75" x14ac:dyDescent="0.2">
      <c r="A239" s="49">
        <v>15</v>
      </c>
      <c r="B239" s="48">
        <f>('Sheet1 (2)'!B239-'Sheet1 (2)'!B$526)/'Sheet1 (2)'!B$527</f>
        <v>-1.2242915745870349</v>
      </c>
      <c r="C239" s="48">
        <f>('Sheet1 (2)'!C239-'Sheet1 (2)'!C$526)/'Sheet1 (2)'!C$527</f>
        <v>0.32652787916408321</v>
      </c>
      <c r="D239" s="48">
        <f>('Sheet1 (2)'!D239-'Sheet1 (2)'!D$526)/'Sheet1 (2)'!D$527</f>
        <v>-0.4704097020702403</v>
      </c>
      <c r="E239" s="48">
        <f>('Sheet1 (2)'!E239-'Sheet1 (2)'!E$526)/'Sheet1 (2)'!E$527</f>
        <v>-0.43090858850351604</v>
      </c>
      <c r="F239" s="48">
        <f>('Sheet1 (2)'!F239-'Sheet1 (2)'!F$526)/'Sheet1 (2)'!F$527</f>
        <v>1.2684811135846812</v>
      </c>
      <c r="G239" s="48">
        <f>('Sheet1 (2)'!G239-'Sheet1 (2)'!G$526)/'Sheet1 (2)'!G$527</f>
        <v>0.16804348381588127</v>
      </c>
      <c r="H239" s="48">
        <f>('Sheet1 (2)'!H239-'Sheet1 (2)'!H$526)/'Sheet1 (2)'!H$527</f>
        <v>0.66258904510664018</v>
      </c>
      <c r="I239" s="48">
        <f>('Sheet1 (2)'!I239-'Sheet1 (2)'!I$526)/'Sheet1 (2)'!I$527</f>
        <v>-1.090328385026633</v>
      </c>
      <c r="J239" s="48">
        <f>('Sheet1 (2)'!J239-'Sheet1 (2)'!J$526)/'Sheet1 (2)'!J$527</f>
        <v>-0.80051784553875771</v>
      </c>
      <c r="K239" s="48">
        <f>('Sheet1 (2)'!K239-'Sheet1 (2)'!K$526)/'Sheet1 (2)'!K$527</f>
        <v>0.3305558801622771</v>
      </c>
    </row>
    <row r="240" spans="1:11" ht="12.75" x14ac:dyDescent="0.2">
      <c r="A240" s="50">
        <v>15</v>
      </c>
      <c r="B240" s="48">
        <f>('Sheet1 (2)'!B240-'Sheet1 (2)'!B$526)/'Sheet1 (2)'!B$527</f>
        <v>-1.2242915745870349</v>
      </c>
      <c r="C240" s="48">
        <f>('Sheet1 (2)'!C240-'Sheet1 (2)'!C$526)/'Sheet1 (2)'!C$527</f>
        <v>0.23617759697440024</v>
      </c>
      <c r="D240" s="48">
        <f>('Sheet1 (2)'!D240-'Sheet1 (2)'!D$526)/'Sheet1 (2)'!D$527</f>
        <v>-0.4704097020702403</v>
      </c>
      <c r="E240" s="48">
        <f>('Sheet1 (2)'!E240-'Sheet1 (2)'!E$526)/'Sheet1 (2)'!E$527</f>
        <v>-0.11383731988856052</v>
      </c>
      <c r="F240" s="48">
        <f>('Sheet1 (2)'!F240-'Sheet1 (2)'!F$526)/'Sheet1 (2)'!F$527</f>
        <v>3.5300958634082259E-2</v>
      </c>
      <c r="G240" s="48">
        <f>('Sheet1 (2)'!G240-'Sheet1 (2)'!G$526)/'Sheet1 (2)'!G$527</f>
        <v>-7.914111759613654E-2</v>
      </c>
      <c r="H240" s="48">
        <f>('Sheet1 (2)'!H240-'Sheet1 (2)'!H$526)/'Sheet1 (2)'!H$527</f>
        <v>-0.57145305792118162</v>
      </c>
      <c r="I240" s="48">
        <f>('Sheet1 (2)'!I240-'Sheet1 (2)'!I$526)/'Sheet1 (2)'!I$527</f>
        <v>0.11336069727837669</v>
      </c>
      <c r="J240" s="48">
        <f>('Sheet1 (2)'!J240-'Sheet1 (2)'!J$526)/'Sheet1 (2)'!J$527</f>
        <v>-0.38226891571097316</v>
      </c>
      <c r="K240" s="48">
        <f>('Sheet1 (2)'!K240-'Sheet1 (2)'!K$526)/'Sheet1 (2)'!K$527</f>
        <v>-0.74281816447723403</v>
      </c>
    </row>
    <row r="241" spans="1:11" ht="12.75" x14ac:dyDescent="0.2">
      <c r="A241" s="49">
        <v>15</v>
      </c>
      <c r="B241" s="48">
        <f>('Sheet1 (2)'!B241-'Sheet1 (2)'!B$526)/'Sheet1 (2)'!B$527</f>
        <v>-1.2242915745870349</v>
      </c>
      <c r="C241" s="48">
        <f>('Sheet1 (2)'!C241-'Sheet1 (2)'!C$526)/'Sheet1 (2)'!C$527</f>
        <v>-1.3819258248003972</v>
      </c>
      <c r="D241" s="48">
        <f>('Sheet1 (2)'!D241-'Sheet1 (2)'!D$526)/'Sheet1 (2)'!D$527</f>
        <v>-0.4704097020702403</v>
      </c>
      <c r="E241" s="48">
        <f>('Sheet1 (2)'!E241-'Sheet1 (2)'!E$526)/'Sheet1 (2)'!E$527</f>
        <v>-0.62390849113870628</v>
      </c>
      <c r="F241" s="48">
        <f>('Sheet1 (2)'!F241-'Sheet1 (2)'!F$526)/'Sheet1 (2)'!F$527</f>
        <v>3.5300958634082259E-2</v>
      </c>
      <c r="G241" s="48">
        <f>('Sheet1 (2)'!G241-'Sheet1 (2)'!G$526)/'Sheet1 (2)'!G$527</f>
        <v>-0.11201477302689081</v>
      </c>
      <c r="H241" s="48">
        <f>('Sheet1 (2)'!H241-'Sheet1 (2)'!H$526)/'Sheet1 (2)'!H$527</f>
        <v>-1.0943568846192664</v>
      </c>
      <c r="I241" s="48">
        <f>('Sheet1 (2)'!I241-'Sheet1 (2)'!I$526)/'Sheet1 (2)'!I$527</f>
        <v>-1.2797501290231306</v>
      </c>
      <c r="J241" s="48">
        <f>('Sheet1 (2)'!J241-'Sheet1 (2)'!J$526)/'Sheet1 (2)'!J$527</f>
        <v>0.77661775336049299</v>
      </c>
      <c r="K241" s="48">
        <f>('Sheet1 (2)'!K241-'Sheet1 (2)'!K$526)/'Sheet1 (2)'!K$527</f>
        <v>-1.0630584627557713E-2</v>
      </c>
    </row>
    <row r="242" spans="1:11" ht="12.75" x14ac:dyDescent="0.2">
      <c r="A242" s="50">
        <v>15</v>
      </c>
      <c r="B242" s="48">
        <f>('Sheet1 (2)'!B242-'Sheet1 (2)'!B$526)/'Sheet1 (2)'!B$527</f>
        <v>-1.2242915745870349</v>
      </c>
      <c r="C242" s="48">
        <f>('Sheet1 (2)'!C242-'Sheet1 (2)'!C$526)/'Sheet1 (2)'!C$527</f>
        <v>-1.5154058418466277E-2</v>
      </c>
      <c r="D242" s="48">
        <f>('Sheet1 (2)'!D242-'Sheet1 (2)'!D$526)/'Sheet1 (2)'!D$527</f>
        <v>1.4257032508898051</v>
      </c>
      <c r="E242" s="48">
        <f>('Sheet1 (2)'!E242-'Sheet1 (2)'!E$526)/'Sheet1 (2)'!E$527</f>
        <v>1.7173641372572335</v>
      </c>
      <c r="F242" s="48">
        <f>('Sheet1 (2)'!F242-'Sheet1 (2)'!F$526)/'Sheet1 (2)'!F$527</f>
        <v>-1.1978791963165167</v>
      </c>
      <c r="G242" s="48">
        <f>('Sheet1 (2)'!G242-'Sheet1 (2)'!G$526)/'Sheet1 (2)'!G$527</f>
        <v>0.27614723532855406</v>
      </c>
      <c r="H242" s="48">
        <f>('Sheet1 (2)'!H242-'Sheet1 (2)'!H$526)/'Sheet1 (2)'!H$527</f>
        <v>-0.49468400081451425</v>
      </c>
      <c r="I242" s="48">
        <f>('Sheet1 (2)'!I242-'Sheet1 (2)'!I$526)/'Sheet1 (2)'!I$527</f>
        <v>0.67449186358488167</v>
      </c>
      <c r="J242" s="48">
        <f>('Sheet1 (2)'!J242-'Sheet1 (2)'!J$526)/'Sheet1 (2)'!J$527</f>
        <v>3.2577902546151352</v>
      </c>
      <c r="K242" s="48">
        <f>('Sheet1 (2)'!K242-'Sheet1 (2)'!K$526)/'Sheet1 (2)'!K$527</f>
        <v>6.9801012057814213E-3</v>
      </c>
    </row>
    <row r="243" spans="1:11" ht="12.75" x14ac:dyDescent="0.2">
      <c r="A243" s="51">
        <v>15</v>
      </c>
      <c r="B243" s="48">
        <f>('Sheet1 (2)'!B243-'Sheet1 (2)'!B$526)/'Sheet1 (2)'!B$527</f>
        <v>-1.2242915745870349</v>
      </c>
      <c r="C243" s="48">
        <f>('Sheet1 (2)'!C243-'Sheet1 (2)'!C$526)/'Sheet1 (2)'!C$527</f>
        <v>-1.2678508907268695</v>
      </c>
      <c r="D243" s="48">
        <f>('Sheet1 (2)'!D243-'Sheet1 (2)'!D$526)/'Sheet1 (2)'!D$527</f>
        <v>-0.4704097020702403</v>
      </c>
      <c r="E243" s="48">
        <f>('Sheet1 (2)'!E243-'Sheet1 (2)'!E$526)/'Sheet1 (2)'!E$527</f>
        <v>-0.74338462134144312</v>
      </c>
      <c r="F243" s="48">
        <f>('Sheet1 (2)'!F243-'Sheet1 (2)'!F$526)/'Sheet1 (2)'!F$527</f>
        <v>-1.1978791963165167</v>
      </c>
      <c r="G243" s="48">
        <f>('Sheet1 (2)'!G243-'Sheet1 (2)'!G$526)/'Sheet1 (2)'!G$527</f>
        <v>6.6261589116815095E-2</v>
      </c>
      <c r="H243" s="48">
        <f>('Sheet1 (2)'!H243-'Sheet1 (2)'!H$526)/'Sheet1 (2)'!H$527</f>
        <v>-0.64521692062153824</v>
      </c>
      <c r="I243" s="48">
        <f>('Sheet1 (2)'!I243-'Sheet1 (2)'!I$526)/'Sheet1 (2)'!I$527</f>
        <v>-0.27483087678197626</v>
      </c>
      <c r="J243" s="48">
        <f>('Sheet1 (2)'!J243-'Sheet1 (2)'!J$526)/'Sheet1 (2)'!J$527</f>
        <v>0.70286951538941245</v>
      </c>
      <c r="K243" s="48">
        <f>('Sheet1 (2)'!K243-'Sheet1 (2)'!K$526)/'Sheet1 (2)'!K$527</f>
        <v>0.52498662967428478</v>
      </c>
    </row>
    <row r="244" spans="1:11" ht="12.75" x14ac:dyDescent="0.2">
      <c r="A244" s="48">
        <v>15</v>
      </c>
      <c r="B244" s="48">
        <f>('Sheet1 (2)'!B244-'Sheet1 (2)'!B$526)/'Sheet1 (2)'!B$527</f>
        <v>1.1794716518179513E-2</v>
      </c>
      <c r="C244" s="48">
        <f>('Sheet1 (2)'!C244-'Sheet1 (2)'!C$526)/'Sheet1 (2)'!C$527</f>
        <v>-0.78173021723832881</v>
      </c>
      <c r="D244" s="48">
        <f>('Sheet1 (2)'!D244-'Sheet1 (2)'!D$526)/'Sheet1 (2)'!D$527</f>
        <v>-0.4704097020702403</v>
      </c>
      <c r="E244" s="48">
        <f>('Sheet1 (2)'!E244-'Sheet1 (2)'!E$526)/'Sheet1 (2)'!E$527</f>
        <v>-0.33670625507443497</v>
      </c>
      <c r="F244" s="48">
        <f>('Sheet1 (2)'!F244-'Sheet1 (2)'!F$526)/'Sheet1 (2)'!F$527</f>
        <v>1.2684811135846812</v>
      </c>
      <c r="G244" s="48">
        <f>('Sheet1 (2)'!G244-'Sheet1 (2)'!G$526)/'Sheet1 (2)'!G$527</f>
        <v>-0.50140975037582503</v>
      </c>
      <c r="H244" s="48">
        <f>('Sheet1 (2)'!H244-'Sheet1 (2)'!H$526)/'Sheet1 (2)'!H$527</f>
        <v>-0.318005773954668</v>
      </c>
      <c r="I244" s="48">
        <f>('Sheet1 (2)'!I244-'Sheet1 (2)'!I$526)/'Sheet1 (2)'!I$527</f>
        <v>0.60015655307635951</v>
      </c>
      <c r="J244" s="48">
        <f>('Sheet1 (2)'!J244-'Sheet1 (2)'!J$526)/'Sheet1 (2)'!J$527</f>
        <v>-0.45471927719401922</v>
      </c>
      <c r="K244" s="48">
        <f>('Sheet1 (2)'!K244-'Sheet1 (2)'!K$526)/'Sheet1 (2)'!K$527</f>
        <v>1.2896293728220614</v>
      </c>
    </row>
    <row r="245" spans="1:11" ht="12.75" x14ac:dyDescent="0.2">
      <c r="A245" s="49">
        <v>15</v>
      </c>
      <c r="B245" s="48">
        <f>('Sheet1 (2)'!B245-'Sheet1 (2)'!B$526)/'Sheet1 (2)'!B$527</f>
        <v>1.1794716518179513E-2</v>
      </c>
      <c r="C245" s="48">
        <f>('Sheet1 (2)'!C245-'Sheet1 (2)'!C$526)/'Sheet1 (2)'!C$527</f>
        <v>1.1104814901814402</v>
      </c>
      <c r="D245" s="48">
        <f>('Sheet1 (2)'!D245-'Sheet1 (2)'!D$526)/'Sheet1 (2)'!D$527</f>
        <v>-0.4704097020702403</v>
      </c>
      <c r="E245" s="48">
        <f>('Sheet1 (2)'!E245-'Sheet1 (2)'!E$526)/'Sheet1 (2)'!E$527</f>
        <v>8.8353054300686462E-2</v>
      </c>
      <c r="F245" s="48">
        <f>('Sheet1 (2)'!F245-'Sheet1 (2)'!F$526)/'Sheet1 (2)'!F$527</f>
        <v>1.2684811135846812</v>
      </c>
      <c r="G245" s="48">
        <f>('Sheet1 (2)'!G245-'Sheet1 (2)'!G$526)/'Sheet1 (2)'!G$527</f>
        <v>-0.50144115274505707</v>
      </c>
      <c r="H245" s="48">
        <f>('Sheet1 (2)'!H245-'Sheet1 (2)'!H$526)/'Sheet1 (2)'!H$527</f>
        <v>0.7703256906252145</v>
      </c>
      <c r="I245" s="48">
        <f>('Sheet1 (2)'!I245-'Sheet1 (2)'!I$526)/'Sheet1 (2)'!I$527</f>
        <v>0.14198685456149829</v>
      </c>
      <c r="J245" s="48">
        <f>('Sheet1 (2)'!J245-'Sheet1 (2)'!J$526)/'Sheet1 (2)'!J$527</f>
        <v>-0.83945425120312078</v>
      </c>
      <c r="K245" s="48">
        <f>('Sheet1 (2)'!K245-'Sheet1 (2)'!K$526)/'Sheet1 (2)'!K$527</f>
        <v>0.3499443931406151</v>
      </c>
    </row>
    <row r="246" spans="1:11" ht="12.75" x14ac:dyDescent="0.2">
      <c r="A246" s="50">
        <v>15</v>
      </c>
      <c r="B246" s="48">
        <f>('Sheet1 (2)'!B246-'Sheet1 (2)'!B$526)/'Sheet1 (2)'!B$527</f>
        <v>1.1794716518179513E-2</v>
      </c>
      <c r="C246" s="48">
        <f>('Sheet1 (2)'!C246-'Sheet1 (2)'!C$526)/'Sheet1 (2)'!C$527</f>
        <v>1.6060360009894843</v>
      </c>
      <c r="D246" s="48">
        <f>('Sheet1 (2)'!D246-'Sheet1 (2)'!D$526)/'Sheet1 (2)'!D$527</f>
        <v>-0.4704097020702403</v>
      </c>
      <c r="E246" s="48">
        <f>('Sheet1 (2)'!E246-'Sheet1 (2)'!E$526)/'Sheet1 (2)'!E$527</f>
        <v>-0.53430139348665362</v>
      </c>
      <c r="F246" s="48">
        <f>('Sheet1 (2)'!F246-'Sheet1 (2)'!F$526)/'Sheet1 (2)'!F$527</f>
        <v>3.5300958634082259E-2</v>
      </c>
      <c r="G246" s="48">
        <f>('Sheet1 (2)'!G246-'Sheet1 (2)'!G$526)/'Sheet1 (2)'!G$527</f>
        <v>-0.50144115274505707</v>
      </c>
      <c r="H246" s="48">
        <f>('Sheet1 (2)'!H246-'Sheet1 (2)'!H$526)/'Sheet1 (2)'!H$527</f>
        <v>1.0669328135480711</v>
      </c>
      <c r="I246" s="48">
        <f>('Sheet1 (2)'!I246-'Sheet1 (2)'!I$526)/'Sheet1 (2)'!I$527</f>
        <v>0.39254153491376848</v>
      </c>
      <c r="J246" s="48">
        <f>('Sheet1 (2)'!J246-'Sheet1 (2)'!J$526)/'Sheet1 (2)'!J$527</f>
        <v>-0.83945425120312078</v>
      </c>
      <c r="K246" s="48">
        <f>('Sheet1 (2)'!K246-'Sheet1 (2)'!K$526)/'Sheet1 (2)'!K$527</f>
        <v>-0.3655632105080413</v>
      </c>
    </row>
    <row r="247" spans="1:11" ht="12.75" x14ac:dyDescent="0.2">
      <c r="A247" s="49">
        <v>15</v>
      </c>
      <c r="B247" s="48">
        <f>('Sheet1 (2)'!B247-'Sheet1 (2)'!B$526)/'Sheet1 (2)'!B$527</f>
        <v>1.1794716518179513E-2</v>
      </c>
      <c r="C247" s="48">
        <f>('Sheet1 (2)'!C247-'Sheet1 (2)'!C$526)/'Sheet1 (2)'!C$527</f>
        <v>1.3719479841381887</v>
      </c>
      <c r="D247" s="48">
        <f>('Sheet1 (2)'!D247-'Sheet1 (2)'!D$526)/'Sheet1 (2)'!D$527</f>
        <v>1.4257032508898051</v>
      </c>
      <c r="E247" s="48">
        <f>('Sheet1 (2)'!E247-'Sheet1 (2)'!E$526)/'Sheet1 (2)'!E$527</f>
        <v>0.50651951001026574</v>
      </c>
      <c r="F247" s="48">
        <f>('Sheet1 (2)'!F247-'Sheet1 (2)'!F$526)/'Sheet1 (2)'!F$527</f>
        <v>3.5300958634082259E-2</v>
      </c>
      <c r="G247" s="48">
        <f>('Sheet1 (2)'!G247-'Sheet1 (2)'!G$526)/'Sheet1 (2)'!G$527</f>
        <v>-0.50144115274505707</v>
      </c>
      <c r="H247" s="48">
        <f>('Sheet1 (2)'!H247-'Sheet1 (2)'!H$526)/'Sheet1 (2)'!H$527</f>
        <v>0.62748653978591062</v>
      </c>
      <c r="I247" s="48">
        <f>('Sheet1 (2)'!I247-'Sheet1 (2)'!I$526)/'Sheet1 (2)'!I$527</f>
        <v>-0.13143069088948894</v>
      </c>
      <c r="J247" s="48">
        <f>('Sheet1 (2)'!J247-'Sheet1 (2)'!J$526)/'Sheet1 (2)'!J$527</f>
        <v>1.3567780876086735</v>
      </c>
      <c r="K247" s="48">
        <f>('Sheet1 (2)'!K247-'Sheet1 (2)'!K$526)/'Sheet1 (2)'!K$527</f>
        <v>-0.44058089541286338</v>
      </c>
    </row>
    <row r="248" spans="1:11" ht="12.75" x14ac:dyDescent="0.2">
      <c r="A248" s="50">
        <v>15</v>
      </c>
      <c r="B248" s="48">
        <f>('Sheet1 (2)'!B248-'Sheet1 (2)'!B$526)/'Sheet1 (2)'!B$527</f>
        <v>1.1794716518179513E-2</v>
      </c>
      <c r="C248" s="48">
        <f>('Sheet1 (2)'!C248-'Sheet1 (2)'!C$526)/'Sheet1 (2)'!C$527</f>
        <v>1.755804376819825</v>
      </c>
      <c r="D248" s="48">
        <f>('Sheet1 (2)'!D248-'Sheet1 (2)'!D$526)/'Sheet1 (2)'!D$527</f>
        <v>1.4257032508898051</v>
      </c>
      <c r="E248" s="48">
        <f>('Sheet1 (2)'!E248-'Sheet1 (2)'!E$526)/'Sheet1 (2)'!E$527</f>
        <v>3.5507842864860646E-2</v>
      </c>
      <c r="F248" s="48">
        <f>('Sheet1 (2)'!F248-'Sheet1 (2)'!F$526)/'Sheet1 (2)'!F$527</f>
        <v>-1.1978791963165167</v>
      </c>
      <c r="G248" s="48">
        <f>('Sheet1 (2)'!G248-'Sheet1 (2)'!G$526)/'Sheet1 (2)'!G$527</f>
        <v>-0.50144115274505707</v>
      </c>
      <c r="H248" s="48">
        <f>('Sheet1 (2)'!H248-'Sheet1 (2)'!H$526)/'Sheet1 (2)'!H$527</f>
        <v>0.45833408051217112</v>
      </c>
      <c r="I248" s="48">
        <f>('Sheet1 (2)'!I248-'Sheet1 (2)'!I$526)/'Sheet1 (2)'!I$527</f>
        <v>0.10843184250320236</v>
      </c>
      <c r="J248" s="48">
        <f>('Sheet1 (2)'!J248-'Sheet1 (2)'!J$526)/'Sheet1 (2)'!J$527</f>
        <v>-0.25764315517231756</v>
      </c>
      <c r="K248" s="48">
        <f>('Sheet1 (2)'!K248-'Sheet1 (2)'!K$526)/'Sheet1 (2)'!K$527</f>
        <v>-0.25783747343369484</v>
      </c>
    </row>
    <row r="249" spans="1:11" ht="12.75" x14ac:dyDescent="0.2">
      <c r="A249" s="51">
        <v>15</v>
      </c>
      <c r="B249" s="48">
        <f>('Sheet1 (2)'!B249-'Sheet1 (2)'!B$526)/'Sheet1 (2)'!B$527</f>
        <v>1.1794716518179513E-2</v>
      </c>
      <c r="C249" s="48">
        <f>('Sheet1 (2)'!C249-'Sheet1 (2)'!C$526)/'Sheet1 (2)'!C$527</f>
        <v>1.6864096221812557</v>
      </c>
      <c r="D249" s="48">
        <f>('Sheet1 (2)'!D249-'Sheet1 (2)'!D$526)/'Sheet1 (2)'!D$527</f>
        <v>-0.4704097020702403</v>
      </c>
      <c r="E249" s="48">
        <f>('Sheet1 (2)'!E249-'Sheet1 (2)'!E$526)/'Sheet1 (2)'!E$527</f>
        <v>-0.17357538498992889</v>
      </c>
      <c r="F249" s="48">
        <f>('Sheet1 (2)'!F249-'Sheet1 (2)'!F$526)/'Sheet1 (2)'!F$527</f>
        <v>-1.1978791963165167</v>
      </c>
      <c r="G249" s="48">
        <f>('Sheet1 (2)'!G249-'Sheet1 (2)'!G$526)/'Sheet1 (2)'!G$527</f>
        <v>0.36936748097134953</v>
      </c>
      <c r="H249" s="48">
        <f>('Sheet1 (2)'!H249-'Sheet1 (2)'!H$526)/'Sheet1 (2)'!H$527</f>
        <v>1.4968661274276083</v>
      </c>
      <c r="I249" s="48">
        <f>('Sheet1 (2)'!I249-'Sheet1 (2)'!I$526)/'Sheet1 (2)'!I$527</f>
        <v>0.51134859872979033</v>
      </c>
      <c r="J249" s="48">
        <f>('Sheet1 (2)'!J249-'Sheet1 (2)'!J$526)/'Sheet1 (2)'!J$527</f>
        <v>-0.53823075473115756</v>
      </c>
      <c r="K249" s="48">
        <f>('Sheet1 (2)'!K249-'Sheet1 (2)'!K$526)/'Sheet1 (2)'!K$527</f>
        <v>-0.66314862142080588</v>
      </c>
    </row>
    <row r="250" spans="1:11" ht="12.75" x14ac:dyDescent="0.2">
      <c r="A250" s="48">
        <v>15</v>
      </c>
      <c r="B250" s="48">
        <f>('Sheet1 (2)'!B250-'Sheet1 (2)'!B$526)/'Sheet1 (2)'!B$527</f>
        <v>1.2478810076233939</v>
      </c>
      <c r="C250" s="48">
        <f>('Sheet1 (2)'!C250-'Sheet1 (2)'!C$526)/'Sheet1 (2)'!C$527</f>
        <v>-0.17979426592191752</v>
      </c>
      <c r="D250" s="48">
        <f>('Sheet1 (2)'!D250-'Sheet1 (2)'!D$526)/'Sheet1 (2)'!D$527</f>
        <v>-0.4704097020702403</v>
      </c>
      <c r="E250" s="48">
        <f>('Sheet1 (2)'!E250-'Sheet1 (2)'!E$526)/'Sheet1 (2)'!E$527</f>
        <v>1.9424517645261385E-2</v>
      </c>
      <c r="F250" s="48">
        <f>('Sheet1 (2)'!F250-'Sheet1 (2)'!F$526)/'Sheet1 (2)'!F$527</f>
        <v>1.2684811135846812</v>
      </c>
      <c r="G250" s="48">
        <f>('Sheet1 (2)'!G250-'Sheet1 (2)'!G$526)/'Sheet1 (2)'!G$527</f>
        <v>0.59951021134453142</v>
      </c>
      <c r="H250" s="48">
        <f>('Sheet1 (2)'!H250-'Sheet1 (2)'!H$526)/'Sheet1 (2)'!H$527</f>
        <v>0.25353837448909894</v>
      </c>
      <c r="I250" s="48">
        <f>('Sheet1 (2)'!I250-'Sheet1 (2)'!I$526)/'Sheet1 (2)'!I$527</f>
        <v>0.72761851271927569</v>
      </c>
      <c r="J250" s="48">
        <f>('Sheet1 (2)'!J250-'Sheet1 (2)'!J$526)/'Sheet1 (2)'!J$527</f>
        <v>-0.64956330671805751</v>
      </c>
      <c r="K250" s="48">
        <f>('Sheet1 (2)'!K250-'Sheet1 (2)'!K$526)/'Sheet1 (2)'!K$527</f>
        <v>-0.28679356946913603</v>
      </c>
    </row>
    <row r="251" spans="1:11" ht="12.75" x14ac:dyDescent="0.2">
      <c r="A251" s="49">
        <v>15</v>
      </c>
      <c r="B251" s="48">
        <f>('Sheet1 (2)'!B251-'Sheet1 (2)'!B$526)/'Sheet1 (2)'!B$527</f>
        <v>1.2478810076233939</v>
      </c>
      <c r="C251" s="48">
        <f>('Sheet1 (2)'!C251-'Sheet1 (2)'!C$526)/'Sheet1 (2)'!C$527</f>
        <v>-2.6420113579585378E-2</v>
      </c>
      <c r="D251" s="48">
        <f>('Sheet1 (2)'!D251-'Sheet1 (2)'!D$526)/'Sheet1 (2)'!D$527</f>
        <v>-0.4704097020702403</v>
      </c>
      <c r="E251" s="48">
        <f>('Sheet1 (2)'!E251-'Sheet1 (2)'!E$526)/'Sheet1 (2)'!E$527</f>
        <v>3.7805460753374764E-2</v>
      </c>
      <c r="F251" s="48">
        <f>('Sheet1 (2)'!F251-'Sheet1 (2)'!F$526)/'Sheet1 (2)'!F$527</f>
        <v>1.2684811135846812</v>
      </c>
      <c r="G251" s="48">
        <f>('Sheet1 (2)'!G251-'Sheet1 (2)'!G$526)/'Sheet1 (2)'!G$527</f>
        <v>-7.4652599258475782E-2</v>
      </c>
      <c r="H251" s="48">
        <f>('Sheet1 (2)'!H251-'Sheet1 (2)'!H$526)/'Sheet1 (2)'!H$527</f>
        <v>0.85900855150311572</v>
      </c>
      <c r="I251" s="48">
        <f>('Sheet1 (2)'!I251-'Sheet1 (2)'!I$526)/'Sheet1 (2)'!I$527</f>
        <v>-0.82228431715834482</v>
      </c>
      <c r="J251" s="48">
        <f>('Sheet1 (2)'!J251-'Sheet1 (2)'!J$526)/'Sheet1 (2)'!J$527</f>
        <v>0.17691229991963456</v>
      </c>
      <c r="K251" s="48">
        <f>('Sheet1 (2)'!K251-'Sheet1 (2)'!K$526)/'Sheet1 (2)'!K$527</f>
        <v>1.0077663002811452</v>
      </c>
    </row>
    <row r="252" spans="1:11" ht="12.75" x14ac:dyDescent="0.2">
      <c r="A252" s="50">
        <v>15</v>
      </c>
      <c r="B252" s="48">
        <f>('Sheet1 (2)'!B252-'Sheet1 (2)'!B$526)/'Sheet1 (2)'!B$527</f>
        <v>1.2478810076233939</v>
      </c>
      <c r="C252" s="48">
        <f>('Sheet1 (2)'!C252-'Sheet1 (2)'!C$526)/'Sheet1 (2)'!C$527</f>
        <v>-0.36628103374187287</v>
      </c>
      <c r="D252" s="48">
        <f>('Sheet1 (2)'!D252-'Sheet1 (2)'!D$526)/'Sheet1 (2)'!D$527</f>
        <v>1.4257032508898051</v>
      </c>
      <c r="E252" s="48">
        <f>('Sheet1 (2)'!E252-'Sheet1 (2)'!E$526)/'Sheet1 (2)'!E$527</f>
        <v>2.448006625804739</v>
      </c>
      <c r="F252" s="48">
        <f>('Sheet1 (2)'!F252-'Sheet1 (2)'!F$526)/'Sheet1 (2)'!F$527</f>
        <v>3.5300958634082259E-2</v>
      </c>
      <c r="G252" s="48">
        <f>('Sheet1 (2)'!G252-'Sheet1 (2)'!G$526)/'Sheet1 (2)'!G$527</f>
        <v>1.1660244441254457</v>
      </c>
      <c r="H252" s="48">
        <f>('Sheet1 (2)'!H252-'Sheet1 (2)'!H$526)/'Sheet1 (2)'!H$527</f>
        <v>-6.599575074918787E-2</v>
      </c>
      <c r="I252" s="48">
        <f>('Sheet1 (2)'!I252-'Sheet1 (2)'!I$526)/'Sheet1 (2)'!I$527</f>
        <v>0.16317123588150739</v>
      </c>
      <c r="J252" s="48">
        <f>('Sheet1 (2)'!J252-'Sheet1 (2)'!J$526)/'Sheet1 (2)'!J$527</f>
        <v>-0.22799346588984246</v>
      </c>
      <c r="K252" s="48">
        <f>('Sheet1 (2)'!K252-'Sheet1 (2)'!K$526)/'Sheet1 (2)'!K$527</f>
        <v>-0.42267564632899485</v>
      </c>
    </row>
    <row r="253" spans="1:11" ht="12.75" x14ac:dyDescent="0.2">
      <c r="A253" s="49">
        <v>15</v>
      </c>
      <c r="B253" s="48">
        <f>('Sheet1 (2)'!B253-'Sheet1 (2)'!B$526)/'Sheet1 (2)'!B$527</f>
        <v>1.2478810076233939</v>
      </c>
      <c r="C253" s="48">
        <f>('Sheet1 (2)'!C253-'Sheet1 (2)'!C$526)/'Sheet1 (2)'!C$527</f>
        <v>-0.21684052258279302</v>
      </c>
      <c r="D253" s="48">
        <f>('Sheet1 (2)'!D253-'Sheet1 (2)'!D$526)/'Sheet1 (2)'!D$527</f>
        <v>-0.4704097020702403</v>
      </c>
      <c r="E253" s="48">
        <f>('Sheet1 (2)'!E253-'Sheet1 (2)'!E$526)/'Sheet1 (2)'!E$527</f>
        <v>-0.18276585654398558</v>
      </c>
      <c r="F253" s="48">
        <f>('Sheet1 (2)'!F253-'Sheet1 (2)'!F$526)/'Sheet1 (2)'!F$527</f>
        <v>3.5300958634082259E-2</v>
      </c>
      <c r="G253" s="48">
        <f>('Sheet1 (2)'!G253-'Sheet1 (2)'!G$526)/'Sheet1 (2)'!G$527</f>
        <v>1.1181806317600709</v>
      </c>
      <c r="H253" s="48">
        <f>('Sheet1 (2)'!H253-'Sheet1 (2)'!H$526)/'Sheet1 (2)'!H$527</f>
        <v>0.44901807463487303</v>
      </c>
      <c r="I253" s="48">
        <f>('Sheet1 (2)'!I253-'Sheet1 (2)'!I$526)/'Sheet1 (2)'!I$527</f>
        <v>-0.30438066884542908</v>
      </c>
      <c r="J253" s="48">
        <f>('Sheet1 (2)'!J253-'Sheet1 (2)'!J$526)/'Sheet1 (2)'!J$527</f>
        <v>2.0456629645493072</v>
      </c>
      <c r="K253" s="48">
        <f>('Sheet1 (2)'!K253-'Sheet1 (2)'!K$526)/'Sheet1 (2)'!K$527</f>
        <v>0.10018726192133731</v>
      </c>
    </row>
    <row r="254" spans="1:11" ht="12.75" x14ac:dyDescent="0.2">
      <c r="A254" s="50">
        <v>15</v>
      </c>
      <c r="B254" s="48">
        <f>('Sheet1 (2)'!B254-'Sheet1 (2)'!B$526)/'Sheet1 (2)'!B$527</f>
        <v>1.2478810076233939</v>
      </c>
      <c r="C254" s="48">
        <f>('Sheet1 (2)'!C254-'Sheet1 (2)'!C$526)/'Sheet1 (2)'!C$527</f>
        <v>-0.29118539460113946</v>
      </c>
      <c r="D254" s="48">
        <f>('Sheet1 (2)'!D254-'Sheet1 (2)'!D$526)/'Sheet1 (2)'!D$527</f>
        <v>1.4257032508898051</v>
      </c>
      <c r="E254" s="48">
        <f>('Sheet1 (2)'!E254-'Sheet1 (2)'!E$526)/'Sheet1 (2)'!E$527</f>
        <v>-0.15749205977032965</v>
      </c>
      <c r="F254" s="48">
        <f>('Sheet1 (2)'!F254-'Sheet1 (2)'!F$526)/'Sheet1 (2)'!F$527</f>
        <v>-1.1978791963165167</v>
      </c>
      <c r="G254" s="48">
        <f>('Sheet1 (2)'!G254-'Sheet1 (2)'!G$526)/'Sheet1 (2)'!G$527</f>
        <v>-0.33779356726803672</v>
      </c>
      <c r="H254" s="48">
        <f>('Sheet1 (2)'!H254-'Sheet1 (2)'!H$526)/'Sheet1 (2)'!H$527</f>
        <v>-0.40479590412684197</v>
      </c>
      <c r="I254" s="48">
        <f>('Sheet1 (2)'!I254-'Sheet1 (2)'!I$526)/'Sheet1 (2)'!I$527</f>
        <v>-0.57454527623742002</v>
      </c>
      <c r="J254" s="48">
        <f>('Sheet1 (2)'!J254-'Sheet1 (2)'!J$526)/'Sheet1 (2)'!J$527</f>
        <v>1.7624167623926432</v>
      </c>
      <c r="K254" s="48">
        <f>('Sheet1 (2)'!K254-'Sheet1 (2)'!K$526)/'Sheet1 (2)'!K$527</f>
        <v>-0.21578574805452214</v>
      </c>
    </row>
    <row r="255" spans="1:11" ht="12.75" x14ac:dyDescent="0.2">
      <c r="A255" s="51">
        <v>15</v>
      </c>
      <c r="B255" s="48">
        <f>('Sheet1 (2)'!B255-'Sheet1 (2)'!B$526)/'Sheet1 (2)'!B$527</f>
        <v>1.2478810076233939</v>
      </c>
      <c r="C255" s="48">
        <f>('Sheet1 (2)'!C255-'Sheet1 (2)'!C$526)/'Sheet1 (2)'!C$527</f>
        <v>-1.3253860325885558</v>
      </c>
      <c r="D255" s="48">
        <f>('Sheet1 (2)'!D255-'Sheet1 (2)'!D$526)/'Sheet1 (2)'!D$527</f>
        <v>1.4257032508898051</v>
      </c>
      <c r="E255" s="48">
        <f>('Sheet1 (2)'!E255-'Sheet1 (2)'!E$526)/'Sheet1 (2)'!E$527</f>
        <v>0.50651951001026574</v>
      </c>
      <c r="F255" s="48">
        <f>('Sheet1 (2)'!F255-'Sheet1 (2)'!F$526)/'Sheet1 (2)'!F$527</f>
        <v>-1.1978791963165167</v>
      </c>
      <c r="G255" s="48">
        <f>('Sheet1 (2)'!G255-'Sheet1 (2)'!G$526)/'Sheet1 (2)'!G$527</f>
        <v>1.0741425771964874</v>
      </c>
      <c r="H255" s="48">
        <f>('Sheet1 (2)'!H255-'Sheet1 (2)'!H$526)/'Sheet1 (2)'!H$527</f>
        <v>-0.23187155399788681</v>
      </c>
      <c r="I255" s="48">
        <f>('Sheet1 (2)'!I255-'Sheet1 (2)'!I$526)/'Sheet1 (2)'!I$527</f>
        <v>-0.96466550805482798</v>
      </c>
      <c r="J255" s="48">
        <f>('Sheet1 (2)'!J255-'Sheet1 (2)'!J$526)/'Sheet1 (2)'!J$527</f>
        <v>0.41833970052118946</v>
      </c>
      <c r="K255" s="48">
        <f>('Sheet1 (2)'!K255-'Sheet1 (2)'!K$526)/'Sheet1 (2)'!K$527</f>
        <v>1.4836332393738487E-2</v>
      </c>
    </row>
    <row r="256" spans="1:11" ht="12.75" x14ac:dyDescent="0.2">
      <c r="A256" s="48">
        <v>16</v>
      </c>
      <c r="B256" s="48">
        <f>('Sheet1 (2)'!B256-'Sheet1 (2)'!B$526)/'Sheet1 (2)'!B$527</f>
        <v>-1.2242915745870349</v>
      </c>
      <c r="C256" s="48">
        <f>('Sheet1 (2)'!C256-'Sheet1 (2)'!C$526)/'Sheet1 (2)'!C$527</f>
        <v>8.9774565828379657E-2</v>
      </c>
      <c r="D256" s="48">
        <f>('Sheet1 (2)'!D256-'Sheet1 (2)'!D$526)/'Sheet1 (2)'!D$527</f>
        <v>1.4257032508898051</v>
      </c>
      <c r="E256" s="48">
        <f>('Sheet1 (2)'!E256-'Sheet1 (2)'!E$526)/'Sheet1 (2)'!E$527</f>
        <v>1.5680189745038122</v>
      </c>
      <c r="F256" s="48">
        <f>('Sheet1 (2)'!F256-'Sheet1 (2)'!F$526)/'Sheet1 (2)'!F$527</f>
        <v>1.2684811135846812</v>
      </c>
      <c r="G256" s="48">
        <f>('Sheet1 (2)'!G256-'Sheet1 (2)'!G$526)/'Sheet1 (2)'!G$527</f>
        <v>-0.25887636977375172</v>
      </c>
      <c r="H256" s="48">
        <f>('Sheet1 (2)'!H256-'Sheet1 (2)'!H$526)/'Sheet1 (2)'!H$527</f>
        <v>0.3297409979834246</v>
      </c>
      <c r="I256" s="48">
        <f>('Sheet1 (2)'!I256-'Sheet1 (2)'!I$526)/'Sheet1 (2)'!I$527</f>
        <v>0.72298584852810732</v>
      </c>
      <c r="J256" s="48">
        <f>('Sheet1 (2)'!J256-'Sheet1 (2)'!J$526)/'Sheet1 (2)'!J$527</f>
        <v>0.15806182165208885</v>
      </c>
      <c r="K256" s="48">
        <f>('Sheet1 (2)'!K256-'Sheet1 (2)'!K$526)/'Sheet1 (2)'!K$527</f>
        <v>1.8284967060226087</v>
      </c>
    </row>
    <row r="257" spans="1:11" ht="12.75" x14ac:dyDescent="0.2">
      <c r="A257" s="49">
        <v>16</v>
      </c>
      <c r="B257" s="48">
        <f>('Sheet1 (2)'!B257-'Sheet1 (2)'!B$526)/'Sheet1 (2)'!B$527</f>
        <v>-1.2242915745870349</v>
      </c>
      <c r="C257" s="48">
        <f>('Sheet1 (2)'!C257-'Sheet1 (2)'!C$526)/'Sheet1 (2)'!C$527</f>
        <v>-0.59966615791480415</v>
      </c>
      <c r="D257" s="48">
        <f>('Sheet1 (2)'!D257-'Sheet1 (2)'!D$526)/'Sheet1 (2)'!D$527</f>
        <v>-0.4704097020702403</v>
      </c>
      <c r="E257" s="48">
        <f>('Sheet1 (2)'!E257-'Sheet1 (2)'!E$526)/'Sheet1 (2)'!E$527</f>
        <v>0.33190055048318862</v>
      </c>
      <c r="F257" s="48">
        <f>('Sheet1 (2)'!F257-'Sheet1 (2)'!F$526)/'Sheet1 (2)'!F$527</f>
        <v>1.2684811135846812</v>
      </c>
      <c r="G257" s="48">
        <f>('Sheet1 (2)'!G257-'Sheet1 (2)'!G$526)/'Sheet1 (2)'!G$527</f>
        <v>0.16491497518760945</v>
      </c>
      <c r="H257" s="48">
        <f>('Sheet1 (2)'!H257-'Sheet1 (2)'!H$526)/'Sheet1 (2)'!H$527</f>
        <v>0.16617856396722058</v>
      </c>
      <c r="I257" s="48">
        <f>('Sheet1 (2)'!I257-'Sheet1 (2)'!I$526)/'Sheet1 (2)'!I$527</f>
        <v>-0.57920506375523473</v>
      </c>
      <c r="J257" s="48">
        <f>('Sheet1 (2)'!J257-'Sheet1 (2)'!J$526)/'Sheet1 (2)'!J$527</f>
        <v>0.70930725200249667</v>
      </c>
      <c r="K257" s="48">
        <f>('Sheet1 (2)'!K257-'Sheet1 (2)'!K$526)/'Sheet1 (2)'!K$527</f>
        <v>0.65005358752912068</v>
      </c>
    </row>
    <row r="258" spans="1:11" ht="12.75" x14ac:dyDescent="0.2">
      <c r="A258" s="50">
        <v>16</v>
      </c>
      <c r="B258" s="48">
        <f>('Sheet1 (2)'!B258-'Sheet1 (2)'!B$526)/'Sheet1 (2)'!B$527</f>
        <v>-1.2242915745870349</v>
      </c>
      <c r="C258" s="48">
        <f>('Sheet1 (2)'!C258-'Sheet1 (2)'!C$526)/'Sheet1 (2)'!C$527</f>
        <v>0.16655389042694083</v>
      </c>
      <c r="D258" s="48">
        <f>('Sheet1 (2)'!D258-'Sheet1 (2)'!D$526)/'Sheet1 (2)'!D$527</f>
        <v>-0.4704097020702403</v>
      </c>
      <c r="E258" s="48">
        <f>('Sheet1 (2)'!E258-'Sheet1 (2)'!E$526)/'Sheet1 (2)'!E$527</f>
        <v>-8.8563523114904563E-2</v>
      </c>
      <c r="F258" s="48">
        <f>('Sheet1 (2)'!F258-'Sheet1 (2)'!F$526)/'Sheet1 (2)'!F$527</f>
        <v>3.5300958634082259E-2</v>
      </c>
      <c r="G258" s="48">
        <f>('Sheet1 (2)'!G258-'Sheet1 (2)'!G$526)/'Sheet1 (2)'!G$527</f>
        <v>0.71138276211146978</v>
      </c>
      <c r="H258" s="48">
        <f>('Sheet1 (2)'!H258-'Sheet1 (2)'!H$526)/'Sheet1 (2)'!H$527</f>
        <v>0.70114519898154548</v>
      </c>
      <c r="I258" s="48">
        <f>('Sheet1 (2)'!I258-'Sheet1 (2)'!I$526)/'Sheet1 (2)'!I$527</f>
        <v>0.9239696989763384</v>
      </c>
      <c r="J258" s="48">
        <f>('Sheet1 (2)'!J258-'Sheet1 (2)'!J$526)/'Sheet1 (2)'!J$527</f>
        <v>-0.3351340905195766</v>
      </c>
      <c r="K258" s="48">
        <f>('Sheet1 (2)'!K258-'Sheet1 (2)'!K$526)/'Sheet1 (2)'!K$527</f>
        <v>1.3059338223009558</v>
      </c>
    </row>
    <row r="259" spans="1:11" ht="12.75" x14ac:dyDescent="0.2">
      <c r="A259" s="49">
        <v>16</v>
      </c>
      <c r="B259" s="48">
        <f>('Sheet1 (2)'!B259-'Sheet1 (2)'!B$526)/'Sheet1 (2)'!B$527</f>
        <v>-1.2242915745870349</v>
      </c>
      <c r="C259" s="48">
        <f>('Sheet1 (2)'!C259-'Sheet1 (2)'!C$526)/'Sheet1 (2)'!C$527</f>
        <v>-0.46384136904766265</v>
      </c>
      <c r="D259" s="48">
        <f>('Sheet1 (2)'!D259-'Sheet1 (2)'!D$526)/'Sheet1 (2)'!D$527</f>
        <v>-0.4704097020702403</v>
      </c>
      <c r="E259" s="48">
        <f>('Sheet1 (2)'!E259-'Sheet1 (2)'!E$526)/'Sheet1 (2)'!E$527</f>
        <v>-0.27237295419603819</v>
      </c>
      <c r="F259" s="48">
        <f>('Sheet1 (2)'!F259-'Sheet1 (2)'!F$526)/'Sheet1 (2)'!F$527</f>
        <v>3.5300958634082259E-2</v>
      </c>
      <c r="G259" s="48">
        <f>('Sheet1 (2)'!G259-'Sheet1 (2)'!G$526)/'Sheet1 (2)'!G$527</f>
        <v>-0.43870888128696078</v>
      </c>
      <c r="H259" s="48">
        <f>('Sheet1 (2)'!H259-'Sheet1 (2)'!H$526)/'Sheet1 (2)'!H$527</f>
        <v>-1.2881113650019034</v>
      </c>
      <c r="I259" s="48">
        <f>('Sheet1 (2)'!I259-'Sheet1 (2)'!I$526)/'Sheet1 (2)'!I$527</f>
        <v>0.48755537323922143</v>
      </c>
      <c r="J259" s="48">
        <f>('Sheet1 (2)'!J259-'Sheet1 (2)'!J$526)/'Sheet1 (2)'!J$527</f>
        <v>-0.22618406474395272</v>
      </c>
      <c r="K259" s="48">
        <f>('Sheet1 (2)'!K259-'Sheet1 (2)'!K$526)/'Sheet1 (2)'!K$527</f>
        <v>0.62482975114621453</v>
      </c>
    </row>
    <row r="260" spans="1:11" ht="12.75" x14ac:dyDescent="0.2">
      <c r="A260" s="50">
        <v>16</v>
      </c>
      <c r="B260" s="48">
        <f>('Sheet1 (2)'!B260-'Sheet1 (2)'!B$526)/'Sheet1 (2)'!B$527</f>
        <v>-1.2242915745870349</v>
      </c>
      <c r="C260" s="48">
        <f>('Sheet1 (2)'!C260-'Sheet1 (2)'!C$526)/'Sheet1 (2)'!C$527</f>
        <v>-1.0994334382198774</v>
      </c>
      <c r="D260" s="48">
        <f>('Sheet1 (2)'!D260-'Sheet1 (2)'!D$526)/'Sheet1 (2)'!D$527</f>
        <v>1.4257032508898051</v>
      </c>
      <c r="E260" s="48">
        <f>('Sheet1 (2)'!E260-'Sheet1 (2)'!E$526)/'Sheet1 (2)'!E$527</f>
        <v>0.29973390004399031</v>
      </c>
      <c r="F260" s="48">
        <f>('Sheet1 (2)'!F260-'Sheet1 (2)'!F$526)/'Sheet1 (2)'!F$527</f>
        <v>-1.1978791963165167</v>
      </c>
      <c r="G260" s="48">
        <f>('Sheet1 (2)'!G260-'Sheet1 (2)'!G$526)/'Sheet1 (2)'!G$527</f>
        <v>3.7359356556147028E-2</v>
      </c>
      <c r="H260" s="48">
        <f>('Sheet1 (2)'!H260-'Sheet1 (2)'!H$526)/'Sheet1 (2)'!H$527</f>
        <v>-0.86851197166014948</v>
      </c>
      <c r="I260" s="48">
        <f>('Sheet1 (2)'!I260-'Sheet1 (2)'!I$526)/'Sheet1 (2)'!I$527</f>
        <v>-0.67278054068457283</v>
      </c>
      <c r="J260" s="48">
        <f>('Sheet1 (2)'!J260-'Sheet1 (2)'!J$526)/'Sheet1 (2)'!J$527</f>
        <v>-0.28206350747676062</v>
      </c>
      <c r="K260" s="48">
        <f>('Sheet1 (2)'!K260-'Sheet1 (2)'!K$526)/'Sheet1 (2)'!K$527</f>
        <v>0.4993154573943413</v>
      </c>
    </row>
    <row r="261" spans="1:11" ht="12.75" x14ac:dyDescent="0.2">
      <c r="A261" s="51">
        <v>16</v>
      </c>
      <c r="B261" s="48">
        <f>('Sheet1 (2)'!B261-'Sheet1 (2)'!B$526)/'Sheet1 (2)'!B$527</f>
        <v>-1.2242915745870349</v>
      </c>
      <c r="C261" s="48">
        <f>('Sheet1 (2)'!C261-'Sheet1 (2)'!C$526)/'Sheet1 (2)'!C$527</f>
        <v>-0.14978016228703689</v>
      </c>
      <c r="D261" s="48">
        <f>('Sheet1 (2)'!D261-'Sheet1 (2)'!D$526)/'Sheet1 (2)'!D$527</f>
        <v>-0.4704097020702403</v>
      </c>
      <c r="E261" s="48">
        <f>('Sheet1 (2)'!E261-'Sheet1 (2)'!E$526)/'Sheet1 (2)'!E$527</f>
        <v>-0.91111072720297759</v>
      </c>
      <c r="F261" s="48">
        <f>('Sheet1 (2)'!F261-'Sheet1 (2)'!F$526)/'Sheet1 (2)'!F$527</f>
        <v>-1.1978791963165167</v>
      </c>
      <c r="G261" s="48">
        <f>('Sheet1 (2)'!G261-'Sheet1 (2)'!G$526)/'Sheet1 (2)'!G$527</f>
        <v>-0.13550290257282924</v>
      </c>
      <c r="H261" s="48">
        <f>('Sheet1 (2)'!H261-'Sheet1 (2)'!H$526)/'Sheet1 (2)'!H$527</f>
        <v>-0.42842962157235126</v>
      </c>
      <c r="I261" s="48">
        <f>('Sheet1 (2)'!I261-'Sheet1 (2)'!I$526)/'Sheet1 (2)'!I$527</f>
        <v>0.69152278961853264</v>
      </c>
      <c r="J261" s="48">
        <f>('Sheet1 (2)'!J261-'Sheet1 (2)'!J$526)/'Sheet1 (2)'!J$527</f>
        <v>-8.1213321585870083E-3</v>
      </c>
      <c r="K261" s="48">
        <f>('Sheet1 (2)'!K261-'Sheet1 (2)'!K$526)/'Sheet1 (2)'!K$527</f>
        <v>0.88208868672535445</v>
      </c>
    </row>
    <row r="262" spans="1:11" ht="12.75" x14ac:dyDescent="0.2">
      <c r="A262" s="48">
        <v>16</v>
      </c>
      <c r="B262" s="48">
        <f>('Sheet1 (2)'!B262-'Sheet1 (2)'!B$526)/'Sheet1 (2)'!B$527</f>
        <v>1.1794716518179513E-2</v>
      </c>
      <c r="C262" s="48">
        <f>('Sheet1 (2)'!C262-'Sheet1 (2)'!C$526)/'Sheet1 (2)'!C$527</f>
        <v>0.78302656187175546</v>
      </c>
      <c r="D262" s="48">
        <f>('Sheet1 (2)'!D262-'Sheet1 (2)'!D$526)/'Sheet1 (2)'!D$527</f>
        <v>-0.4704097020702403</v>
      </c>
      <c r="E262" s="48">
        <f>('Sheet1 (2)'!E262-'Sheet1 (2)'!E$526)/'Sheet1 (2)'!E$527</f>
        <v>-0.60782516591910718</v>
      </c>
      <c r="F262" s="48">
        <f>('Sheet1 (2)'!F262-'Sheet1 (2)'!F$526)/'Sheet1 (2)'!F$527</f>
        <v>1.2684811135846812</v>
      </c>
      <c r="G262" s="48">
        <f>('Sheet1 (2)'!G262-'Sheet1 (2)'!G$526)/'Sheet1 (2)'!G$527</f>
        <v>-0.50144115274505707</v>
      </c>
      <c r="H262" s="48">
        <f>('Sheet1 (2)'!H262-'Sheet1 (2)'!H$526)/'Sheet1 (2)'!H$527</f>
        <v>2.4541775128179797</v>
      </c>
      <c r="I262" s="48">
        <f>('Sheet1 (2)'!I262-'Sheet1 (2)'!I$526)/'Sheet1 (2)'!I$527</f>
        <v>0.49391525565066008</v>
      </c>
      <c r="J262" s="48">
        <f>('Sheet1 (2)'!J262-'Sheet1 (2)'!J$526)/'Sheet1 (2)'!J$527</f>
        <v>-0.38134484046843076</v>
      </c>
      <c r="K262" s="48">
        <f>('Sheet1 (2)'!K262-'Sheet1 (2)'!K$526)/'Sheet1 (2)'!K$527</f>
        <v>1.8959829325071569</v>
      </c>
    </row>
    <row r="263" spans="1:11" ht="12.75" x14ac:dyDescent="0.2">
      <c r="A263" s="49">
        <v>16</v>
      </c>
      <c r="B263" s="48">
        <f>('Sheet1 (2)'!B263-'Sheet1 (2)'!B$526)/'Sheet1 (2)'!B$527</f>
        <v>1.1794716518179513E-2</v>
      </c>
      <c r="C263" s="48">
        <f>('Sheet1 (2)'!C263-'Sheet1 (2)'!C$526)/'Sheet1 (2)'!C$527</f>
        <v>1.6835250749441946</v>
      </c>
      <c r="D263" s="48">
        <f>('Sheet1 (2)'!D263-'Sheet1 (2)'!D$526)/'Sheet1 (2)'!D$527</f>
        <v>1.4257032508898051</v>
      </c>
      <c r="E263" s="48">
        <f>('Sheet1 (2)'!E263-'Sheet1 (2)'!E$526)/'Sheet1 (2)'!E$527</f>
        <v>1.0418644780340676</v>
      </c>
      <c r="F263" s="48">
        <f>('Sheet1 (2)'!F263-'Sheet1 (2)'!F$526)/'Sheet1 (2)'!F$527</f>
        <v>1.2684811135846812</v>
      </c>
      <c r="G263" s="48">
        <f>('Sheet1 (2)'!G263-'Sheet1 (2)'!G$526)/'Sheet1 (2)'!G$527</f>
        <v>-0.31814685156753747</v>
      </c>
      <c r="H263" s="48">
        <f>('Sheet1 (2)'!H263-'Sheet1 (2)'!H$526)/'Sheet1 (2)'!H$527</f>
        <v>0.25172396880904169</v>
      </c>
      <c r="I263" s="48">
        <f>('Sheet1 (2)'!I263-'Sheet1 (2)'!I$526)/'Sheet1 (2)'!I$527</f>
        <v>-0.17657302058497032</v>
      </c>
      <c r="J263" s="48">
        <f>('Sheet1 (2)'!J263-'Sheet1 (2)'!J$526)/'Sheet1 (2)'!J$527</f>
        <v>-0.83945425120312078</v>
      </c>
      <c r="K263" s="48">
        <f>('Sheet1 (2)'!K263-'Sheet1 (2)'!K$526)/'Sheet1 (2)'!K$527</f>
        <v>1.64124456856652</v>
      </c>
    </row>
    <row r="264" spans="1:11" ht="12.75" x14ac:dyDescent="0.2">
      <c r="A264" s="50">
        <v>16</v>
      </c>
      <c r="B264" s="48">
        <f>('Sheet1 (2)'!B264-'Sheet1 (2)'!B$526)/'Sheet1 (2)'!B$527</f>
        <v>1.1794716518179513E-2</v>
      </c>
      <c r="C264" s="48">
        <f>('Sheet1 (2)'!C264-'Sheet1 (2)'!C$526)/'Sheet1 (2)'!C$527</f>
        <v>0.98589001946064925</v>
      </c>
      <c r="D264" s="48">
        <f>('Sheet1 (2)'!D264-'Sheet1 (2)'!D$526)/'Sheet1 (2)'!D$527</f>
        <v>-0.4704097020702403</v>
      </c>
      <c r="E264" s="48">
        <f>('Sheet1 (2)'!E264-'Sheet1 (2)'!E$526)/'Sheet1 (2)'!E$527</f>
        <v>-0.48834903571637028</v>
      </c>
      <c r="F264" s="48">
        <f>('Sheet1 (2)'!F264-'Sheet1 (2)'!F$526)/'Sheet1 (2)'!F$527</f>
        <v>3.5300958634082259E-2</v>
      </c>
      <c r="G264" s="48">
        <f>('Sheet1 (2)'!G264-'Sheet1 (2)'!G$526)/'Sheet1 (2)'!G$527</f>
        <v>-0.50144115274505707</v>
      </c>
      <c r="H264" s="48">
        <f>('Sheet1 (2)'!H264-'Sheet1 (2)'!H$526)/'Sheet1 (2)'!H$527</f>
        <v>0.77583673334500758</v>
      </c>
      <c r="I264" s="48">
        <f>('Sheet1 (2)'!I264-'Sheet1 (2)'!I$526)/'Sheet1 (2)'!I$527</f>
        <v>0.60867130251219792</v>
      </c>
      <c r="J264" s="48">
        <f>('Sheet1 (2)'!J264-'Sheet1 (2)'!J$526)/'Sheet1 (2)'!J$527</f>
        <v>-0.83945425120312078</v>
      </c>
      <c r="K264" s="48">
        <f>('Sheet1 (2)'!K264-'Sheet1 (2)'!K$526)/'Sheet1 (2)'!K$527</f>
        <v>1.2116715151493085</v>
      </c>
    </row>
    <row r="265" spans="1:11" ht="12.75" x14ac:dyDescent="0.2">
      <c r="A265" s="49">
        <v>16</v>
      </c>
      <c r="B265" s="48">
        <f>('Sheet1 (2)'!B265-'Sheet1 (2)'!B$526)/'Sheet1 (2)'!B$527</f>
        <v>1.1794716518179513E-2</v>
      </c>
      <c r="C265" s="48">
        <f>('Sheet1 (2)'!C265-'Sheet1 (2)'!C$526)/'Sheet1 (2)'!C$527</f>
        <v>0.86959963017357611</v>
      </c>
      <c r="D265" s="48">
        <f>('Sheet1 (2)'!D265-'Sheet1 (2)'!D$526)/'Sheet1 (2)'!D$527</f>
        <v>1.4257032508898051</v>
      </c>
      <c r="E265" s="48">
        <f>('Sheet1 (2)'!E265-'Sheet1 (2)'!E$526)/'Sheet1 (2)'!E$527</f>
        <v>0.11592446896285653</v>
      </c>
      <c r="F265" s="48">
        <f>('Sheet1 (2)'!F265-'Sheet1 (2)'!F$526)/'Sheet1 (2)'!F$527</f>
        <v>3.5300958634082259E-2</v>
      </c>
      <c r="G265" s="48">
        <f>('Sheet1 (2)'!G265-'Sheet1 (2)'!G$526)/'Sheet1 (2)'!G$527</f>
        <v>-0.50144115274505707</v>
      </c>
      <c r="H265" s="48">
        <f>('Sheet1 (2)'!H265-'Sheet1 (2)'!H$526)/'Sheet1 (2)'!H$527</f>
        <v>0.48516438927499417</v>
      </c>
      <c r="I265" s="48">
        <f>('Sheet1 (2)'!I265-'Sheet1 (2)'!I$526)/'Sheet1 (2)'!I$527</f>
        <v>-0.24584324866085785</v>
      </c>
      <c r="J265" s="48">
        <f>('Sheet1 (2)'!J265-'Sheet1 (2)'!J$526)/'Sheet1 (2)'!J$527</f>
        <v>-0.18678333236987529</v>
      </c>
      <c r="K265" s="48">
        <f>('Sheet1 (2)'!K265-'Sheet1 (2)'!K$526)/'Sheet1 (2)'!K$527</f>
        <v>1.8526676106496016</v>
      </c>
    </row>
    <row r="266" spans="1:11" ht="12.75" x14ac:dyDescent="0.2">
      <c r="A266" s="50">
        <v>16</v>
      </c>
      <c r="B266" s="48">
        <f>('Sheet1 (2)'!B266-'Sheet1 (2)'!B$526)/'Sheet1 (2)'!B$527</f>
        <v>1.1794716518179513E-2</v>
      </c>
      <c r="C266" s="48">
        <f>('Sheet1 (2)'!C266-'Sheet1 (2)'!C$526)/'Sheet1 (2)'!C$527</f>
        <v>1.1820958488582349</v>
      </c>
      <c r="D266" s="48">
        <f>('Sheet1 (2)'!D266-'Sheet1 (2)'!D$526)/'Sheet1 (2)'!D$527</f>
        <v>3.3218162038498509</v>
      </c>
      <c r="E266" s="48">
        <f>('Sheet1 (2)'!E266-'Sheet1 (2)'!E$526)/'Sheet1 (2)'!E$527</f>
        <v>0.82129316073670688</v>
      </c>
      <c r="F266" s="48">
        <f>('Sheet1 (2)'!F266-'Sheet1 (2)'!F$526)/'Sheet1 (2)'!F$527</f>
        <v>-1.1978791963165167</v>
      </c>
      <c r="G266" s="48">
        <f>('Sheet1 (2)'!G266-'Sheet1 (2)'!G$526)/'Sheet1 (2)'!G$527</f>
        <v>-0.50144115274505707</v>
      </c>
      <c r="H266" s="48">
        <f>('Sheet1 (2)'!H266-'Sheet1 (2)'!H$526)/'Sheet1 (2)'!H$527</f>
        <v>0.6433840836729946</v>
      </c>
      <c r="I266" s="48">
        <f>('Sheet1 (2)'!I266-'Sheet1 (2)'!I$526)/'Sheet1 (2)'!I$527</f>
        <v>0.63383971837750941</v>
      </c>
      <c r="J266" s="48">
        <f>('Sheet1 (2)'!J266-'Sheet1 (2)'!J$526)/'Sheet1 (2)'!J$527</f>
        <v>-0.83945425120312078</v>
      </c>
      <c r="K266" s="48">
        <f>('Sheet1 (2)'!K266-'Sheet1 (2)'!K$526)/'Sheet1 (2)'!K$527</f>
        <v>0.97281682153667359</v>
      </c>
    </row>
    <row r="267" spans="1:11" ht="12.75" x14ac:dyDescent="0.2">
      <c r="A267" s="51">
        <v>16</v>
      </c>
      <c r="B267" s="48">
        <f>('Sheet1 (2)'!B267-'Sheet1 (2)'!B$526)/'Sheet1 (2)'!B$527</f>
        <v>1.1794716518179513E-2</v>
      </c>
      <c r="C267" s="48">
        <f>('Sheet1 (2)'!C267-'Sheet1 (2)'!C$526)/'Sheet1 (2)'!C$527</f>
        <v>0.58944868143418649</v>
      </c>
      <c r="D267" s="48">
        <f>('Sheet1 (2)'!D267-'Sheet1 (2)'!D$526)/'Sheet1 (2)'!D$527</f>
        <v>3.3218162038498509</v>
      </c>
      <c r="E267" s="48">
        <f>('Sheet1 (2)'!E267-'Sheet1 (2)'!E$526)/'Sheet1 (2)'!E$527</f>
        <v>1.7587212592504884</v>
      </c>
      <c r="F267" s="48">
        <f>('Sheet1 (2)'!F267-'Sheet1 (2)'!F$526)/'Sheet1 (2)'!F$527</f>
        <v>-1.1978791963165167</v>
      </c>
      <c r="G267" s="48">
        <f>('Sheet1 (2)'!G267-'Sheet1 (2)'!G$526)/'Sheet1 (2)'!G$527</f>
        <v>-0.50144115274505707</v>
      </c>
      <c r="H267" s="48">
        <f>('Sheet1 (2)'!H267-'Sheet1 (2)'!H$526)/'Sheet1 (2)'!H$527</f>
        <v>-0.33458368295663754</v>
      </c>
      <c r="I267" s="48">
        <f>('Sheet1 (2)'!I267-'Sheet1 (2)'!I$526)/'Sheet1 (2)'!I$527</f>
        <v>-0.26700876335447693</v>
      </c>
      <c r="J267" s="48">
        <f>('Sheet1 (2)'!J267-'Sheet1 (2)'!J$526)/'Sheet1 (2)'!J$527</f>
        <v>-0.17885531152886774</v>
      </c>
      <c r="K267" s="48">
        <f>('Sheet1 (2)'!K267-'Sheet1 (2)'!K$526)/'Sheet1 (2)'!K$527</f>
        <v>0.31241093077886384</v>
      </c>
    </row>
    <row r="268" spans="1:11" ht="12.75" x14ac:dyDescent="0.2">
      <c r="A268" s="48">
        <v>16</v>
      </c>
      <c r="B268" s="48">
        <f>('Sheet1 (2)'!B268-'Sheet1 (2)'!B$526)/'Sheet1 (2)'!B$527</f>
        <v>1.2478810076233939</v>
      </c>
      <c r="C268" s="48">
        <f>('Sheet1 (2)'!C268-'Sheet1 (2)'!C$526)/'Sheet1 (2)'!C$527</f>
        <v>-0.25651130968830593</v>
      </c>
      <c r="D268" s="48">
        <f>('Sheet1 (2)'!D268-'Sheet1 (2)'!D$526)/'Sheet1 (2)'!D$527</f>
        <v>-0.4704097020702403</v>
      </c>
      <c r="E268" s="48">
        <f>('Sheet1 (2)'!E268-'Sheet1 (2)'!E$526)/'Sheet1 (2)'!E$527</f>
        <v>-0.3344086371859209</v>
      </c>
      <c r="F268" s="48">
        <f>('Sheet1 (2)'!F268-'Sheet1 (2)'!F$526)/'Sheet1 (2)'!F$527</f>
        <v>1.2684811135846812</v>
      </c>
      <c r="G268" s="48">
        <f>('Sheet1 (2)'!G268-'Sheet1 (2)'!G$526)/'Sheet1 (2)'!G$527</f>
        <v>0.25807936855526636</v>
      </c>
      <c r="H268" s="48">
        <f>('Sheet1 (2)'!H268-'Sheet1 (2)'!H$526)/'Sheet1 (2)'!H$527</f>
        <v>-0.15739190862984523</v>
      </c>
      <c r="I268" s="48">
        <f>('Sheet1 (2)'!I268-'Sheet1 (2)'!I$526)/'Sheet1 (2)'!I$527</f>
        <v>0.70984730910069527</v>
      </c>
      <c r="J268" s="48">
        <f>('Sheet1 (2)'!J268-'Sheet1 (2)'!J$526)/'Sheet1 (2)'!J$527</f>
        <v>-0.42505259940895351</v>
      </c>
      <c r="K268" s="48">
        <f>('Sheet1 (2)'!K268-'Sheet1 (2)'!K$526)/'Sheet1 (2)'!K$527</f>
        <v>0.98804452662579056</v>
      </c>
    </row>
    <row r="269" spans="1:11" ht="12.75" x14ac:dyDescent="0.2">
      <c r="A269" s="49">
        <v>16</v>
      </c>
      <c r="B269" s="48">
        <f>('Sheet1 (2)'!B269-'Sheet1 (2)'!B$526)/'Sheet1 (2)'!B$527</f>
        <v>1.2478810076233939</v>
      </c>
      <c r="C269" s="48">
        <f>('Sheet1 (2)'!C269-'Sheet1 (2)'!C$526)/'Sheet1 (2)'!C$527</f>
        <v>-0.66204858064073313</v>
      </c>
      <c r="D269" s="48">
        <f>('Sheet1 (2)'!D269-'Sheet1 (2)'!D$526)/'Sheet1 (2)'!D$527</f>
        <v>-0.4704097020702403</v>
      </c>
      <c r="E269" s="48">
        <f>('Sheet1 (2)'!E269-'Sheet1 (2)'!E$526)/'Sheet1 (2)'!E$527</f>
        <v>-0.49753950727042695</v>
      </c>
      <c r="F269" s="48">
        <f>('Sheet1 (2)'!F269-'Sheet1 (2)'!F$526)/'Sheet1 (2)'!F$527</f>
        <v>1.2684811135846812</v>
      </c>
      <c r="G269" s="48">
        <f>('Sheet1 (2)'!G269-'Sheet1 (2)'!G$526)/'Sheet1 (2)'!G$527</f>
        <v>-5.9973247737281389E-2</v>
      </c>
      <c r="H269" s="48">
        <f>('Sheet1 (2)'!H269-'Sheet1 (2)'!H$526)/'Sheet1 (2)'!H$527</f>
        <v>-9.0430713267410076E-2</v>
      </c>
      <c r="I269" s="48">
        <f>('Sheet1 (2)'!I269-'Sheet1 (2)'!I$526)/'Sheet1 (2)'!I$527</f>
        <v>-0.52842477160824763</v>
      </c>
      <c r="J269" s="48">
        <f>('Sheet1 (2)'!J269-'Sheet1 (2)'!J$526)/'Sheet1 (2)'!J$527</f>
        <v>0.34178181184224443</v>
      </c>
      <c r="K269" s="48">
        <f>('Sheet1 (2)'!K269-'Sheet1 (2)'!K$526)/'Sheet1 (2)'!K$527</f>
        <v>1.2479661798969586</v>
      </c>
    </row>
    <row r="270" spans="1:11" ht="12.75" x14ac:dyDescent="0.2">
      <c r="A270" s="50">
        <v>16</v>
      </c>
      <c r="B270" s="48">
        <f>('Sheet1 (2)'!B270-'Sheet1 (2)'!B$526)/'Sheet1 (2)'!B$527</f>
        <v>1.2478810076233939</v>
      </c>
      <c r="C270" s="48">
        <f>('Sheet1 (2)'!C270-'Sheet1 (2)'!C$526)/'Sheet1 (2)'!C$527</f>
        <v>-0.12737305567069163</v>
      </c>
      <c r="D270" s="48">
        <f>('Sheet1 (2)'!D270-'Sheet1 (2)'!D$526)/'Sheet1 (2)'!D$527</f>
        <v>1.4257032508898051</v>
      </c>
      <c r="E270" s="48">
        <f>('Sheet1 (2)'!E270-'Sheet1 (2)'!E$526)/'Sheet1 (2)'!E$527</f>
        <v>0.72479320941911174</v>
      </c>
      <c r="F270" s="48">
        <f>('Sheet1 (2)'!F270-'Sheet1 (2)'!F$526)/'Sheet1 (2)'!F$527</f>
        <v>3.5300958634082259E-2</v>
      </c>
      <c r="G270" s="48">
        <f>('Sheet1 (2)'!G270-'Sheet1 (2)'!G$526)/'Sheet1 (2)'!G$527</f>
        <v>-0.23721282536355581</v>
      </c>
      <c r="H270" s="48">
        <f>('Sheet1 (2)'!H270-'Sheet1 (2)'!H$526)/'Sheet1 (2)'!H$527</f>
        <v>-0.31222498843280933</v>
      </c>
      <c r="I270" s="48">
        <f>('Sheet1 (2)'!I270-'Sheet1 (2)'!I$526)/'Sheet1 (2)'!I$527</f>
        <v>-2.74460791225517E-2</v>
      </c>
      <c r="J270" s="48">
        <f>('Sheet1 (2)'!J270-'Sheet1 (2)'!J$526)/'Sheet1 (2)'!J$527</f>
        <v>0.33132609283139608</v>
      </c>
      <c r="K270" s="48">
        <f>('Sheet1 (2)'!K270-'Sheet1 (2)'!K$526)/'Sheet1 (2)'!K$527</f>
        <v>0.72486736526318918</v>
      </c>
    </row>
    <row r="271" spans="1:11" ht="12.75" x14ac:dyDescent="0.2">
      <c r="A271" s="49">
        <v>16</v>
      </c>
      <c r="B271" s="48">
        <f>('Sheet1 (2)'!B271-'Sheet1 (2)'!B$526)/'Sheet1 (2)'!B$527</f>
        <v>1.2478810076233939</v>
      </c>
      <c r="C271" s="48">
        <f>('Sheet1 (2)'!C271-'Sheet1 (2)'!C$526)/'Sheet1 (2)'!C$527</f>
        <v>-0.88591282591084897</v>
      </c>
      <c r="D271" s="48">
        <f>('Sheet1 (2)'!D271-'Sheet1 (2)'!D$526)/'Sheet1 (2)'!D$527</f>
        <v>-0.4704097020702403</v>
      </c>
      <c r="E271" s="48">
        <f>('Sheet1 (2)'!E271-'Sheet1 (2)'!E$526)/'Sheet1 (2)'!E$527</f>
        <v>-0.51592045037854029</v>
      </c>
      <c r="F271" s="48">
        <f>('Sheet1 (2)'!F271-'Sheet1 (2)'!F$526)/'Sheet1 (2)'!F$527</f>
        <v>3.5300958634082259E-2</v>
      </c>
      <c r="G271" s="48">
        <f>('Sheet1 (2)'!G271-'Sheet1 (2)'!G$526)/'Sheet1 (2)'!G$527</f>
        <v>0.9148444292072283</v>
      </c>
      <c r="H271" s="48">
        <f>('Sheet1 (2)'!H271-'Sheet1 (2)'!H$526)/'Sheet1 (2)'!H$527</f>
        <v>-0.64773581993300988</v>
      </c>
      <c r="I271" s="48">
        <f>('Sheet1 (2)'!I271-'Sheet1 (2)'!I$526)/'Sheet1 (2)'!I$527</f>
        <v>-0.36721456735398156</v>
      </c>
      <c r="J271" s="48">
        <f>('Sheet1 (2)'!J271-'Sheet1 (2)'!J$526)/'Sheet1 (2)'!J$527</f>
        <v>0.88053393576704964</v>
      </c>
      <c r="K271" s="48">
        <f>('Sheet1 (2)'!K271-'Sheet1 (2)'!K$526)/'Sheet1 (2)'!K$527</f>
        <v>0.56039343473073477</v>
      </c>
    </row>
    <row r="272" spans="1:11" ht="12.75" x14ac:dyDescent="0.2">
      <c r="A272" s="50">
        <v>16</v>
      </c>
      <c r="B272" s="48">
        <f>('Sheet1 (2)'!B272-'Sheet1 (2)'!B$526)/'Sheet1 (2)'!B$527</f>
        <v>1.2478810076233939</v>
      </c>
      <c r="C272" s="48">
        <f>('Sheet1 (2)'!C272-'Sheet1 (2)'!C$526)/'Sheet1 (2)'!C$527</f>
        <v>-0.66988747265386928</v>
      </c>
      <c r="D272" s="48">
        <f>('Sheet1 (2)'!D272-'Sheet1 (2)'!D$526)/'Sheet1 (2)'!D$527</f>
        <v>-0.4704097020702403</v>
      </c>
      <c r="E272" s="48">
        <f>('Sheet1 (2)'!E272-'Sheet1 (2)'!E$526)/'Sheet1 (2)'!E$527</f>
        <v>0.76385271352385264</v>
      </c>
      <c r="F272" s="48">
        <f>('Sheet1 (2)'!F272-'Sheet1 (2)'!F$526)/'Sheet1 (2)'!F$527</f>
        <v>-1.1978791963165167</v>
      </c>
      <c r="G272" s="48">
        <f>('Sheet1 (2)'!G272-'Sheet1 (2)'!G$526)/'Sheet1 (2)'!G$527</f>
        <v>0.39128089161795743</v>
      </c>
      <c r="H272" s="48">
        <f>('Sheet1 (2)'!H272-'Sheet1 (2)'!H$526)/'Sheet1 (2)'!H$527</f>
        <v>0.23685681353915794</v>
      </c>
      <c r="I272" s="48">
        <f>('Sheet1 (2)'!I272-'Sheet1 (2)'!I$526)/'Sheet1 (2)'!I$527</f>
        <v>-0.41841255873132133</v>
      </c>
      <c r="J272" s="48">
        <f>('Sheet1 (2)'!J272-'Sheet1 (2)'!J$526)/'Sheet1 (2)'!J$527</f>
        <v>1.2550323775701391</v>
      </c>
      <c r="K272" s="48">
        <f>('Sheet1 (2)'!K272-'Sheet1 (2)'!K$526)/'Sheet1 (2)'!K$527</f>
        <v>2.6914739225726046E-2</v>
      </c>
    </row>
    <row r="273" spans="1:11" ht="12.75" x14ac:dyDescent="0.2">
      <c r="A273" s="51">
        <v>16</v>
      </c>
      <c r="B273" s="48">
        <f>('Sheet1 (2)'!B273-'Sheet1 (2)'!B$526)/'Sheet1 (2)'!B$527</f>
        <v>1.2478810076233939</v>
      </c>
      <c r="C273" s="48">
        <f>('Sheet1 (2)'!C273-'Sheet1 (2)'!C$526)/'Sheet1 (2)'!C$527</f>
        <v>-0.86452542637400209</v>
      </c>
      <c r="D273" s="48">
        <f>('Sheet1 (2)'!D273-'Sheet1 (2)'!D$526)/'Sheet1 (2)'!D$527</f>
        <v>1.4257032508898051</v>
      </c>
      <c r="E273" s="48">
        <f>('Sheet1 (2)'!E273-'Sheet1 (2)'!E$526)/'Sheet1 (2)'!E$527</f>
        <v>0.32041246104061782</v>
      </c>
      <c r="F273" s="48">
        <f>('Sheet1 (2)'!F273-'Sheet1 (2)'!F$526)/'Sheet1 (2)'!F$527</f>
        <v>-1.1978791963165167</v>
      </c>
      <c r="G273" s="48">
        <f>('Sheet1 (2)'!G273-'Sheet1 (2)'!G$526)/'Sheet1 (2)'!G$527</f>
        <v>0.73488645315110301</v>
      </c>
      <c r="H273" s="48">
        <f>('Sheet1 (2)'!H273-'Sheet1 (2)'!H$526)/'Sheet1 (2)'!H$527</f>
        <v>-1.0741729061885172</v>
      </c>
      <c r="I273" s="48">
        <f>('Sheet1 (2)'!I273-'Sheet1 (2)'!I$526)/'Sheet1 (2)'!I$527</f>
        <v>0.76696903501756108</v>
      </c>
      <c r="J273" s="48">
        <f>('Sheet1 (2)'!J273-'Sheet1 (2)'!J$526)/'Sheet1 (2)'!J$527</f>
        <v>-0.73210836489795372</v>
      </c>
      <c r="K273" s="48">
        <f>('Sheet1 (2)'!K273-'Sheet1 (2)'!K$526)/'Sheet1 (2)'!K$527</f>
        <v>0.53038614275751583</v>
      </c>
    </row>
    <row r="274" spans="1:11" ht="12.75" x14ac:dyDescent="0.2">
      <c r="A274" s="48">
        <v>17</v>
      </c>
      <c r="B274" s="48">
        <f>('Sheet1 (2)'!B274-'Sheet1 (2)'!B$526)/'Sheet1 (2)'!B$527</f>
        <v>-1.2242915745870349</v>
      </c>
      <c r="C274" s="48">
        <f>('Sheet1 (2)'!C274-'Sheet1 (2)'!C$526)/'Sheet1 (2)'!C$527</f>
        <v>0.19594632547196156</v>
      </c>
      <c r="D274" s="48">
        <f>('Sheet1 (2)'!D274-'Sheet1 (2)'!D$526)/'Sheet1 (2)'!D$527</f>
        <v>-0.4704097020702403</v>
      </c>
      <c r="E274" s="48">
        <f>('Sheet1 (2)'!E274-'Sheet1 (2)'!E$526)/'Sheet1 (2)'!E$527</f>
        <v>1.8414355032369984</v>
      </c>
      <c r="F274" s="48">
        <f>('Sheet1 (2)'!F274-'Sheet1 (2)'!F$526)/'Sheet1 (2)'!F$527</f>
        <v>1.2684811135846812</v>
      </c>
      <c r="G274" s="48">
        <f>('Sheet1 (2)'!G274-'Sheet1 (2)'!G$526)/'Sheet1 (2)'!G$527</f>
        <v>0.24834255963380067</v>
      </c>
      <c r="H274" s="48">
        <f>('Sheet1 (2)'!H274-'Sheet1 (2)'!H$526)/'Sheet1 (2)'!H$527</f>
        <v>8.695771655237429E-2</v>
      </c>
      <c r="I274" s="48">
        <f>('Sheet1 (2)'!I274-'Sheet1 (2)'!I$526)/'Sheet1 (2)'!I$527</f>
        <v>0.66095726624525009</v>
      </c>
      <c r="J274" s="48">
        <f>('Sheet1 (2)'!J274-'Sheet1 (2)'!J$526)/'Sheet1 (2)'!J$527</f>
        <v>1.7496137148057767</v>
      </c>
      <c r="K274" s="48">
        <f>('Sheet1 (2)'!K274-'Sheet1 (2)'!K$526)/'Sheet1 (2)'!K$527</f>
        <v>-0.68413283569599059</v>
      </c>
    </row>
    <row r="275" spans="1:11" ht="12.75" x14ac:dyDescent="0.2">
      <c r="A275" s="49">
        <v>17</v>
      </c>
      <c r="B275" s="48">
        <f>('Sheet1 (2)'!B275-'Sheet1 (2)'!B$526)/'Sheet1 (2)'!B$527</f>
        <v>-1.2242915745870349</v>
      </c>
      <c r="C275" s="48">
        <f>('Sheet1 (2)'!C275-'Sheet1 (2)'!C$526)/'Sheet1 (2)'!C$527</f>
        <v>0.29414827099888224</v>
      </c>
      <c r="D275" s="48">
        <f>('Sheet1 (2)'!D275-'Sheet1 (2)'!D$526)/'Sheet1 (2)'!D$527</f>
        <v>1.4257032508898051</v>
      </c>
      <c r="E275" s="48">
        <f>('Sheet1 (2)'!E275-'Sheet1 (2)'!E$526)/'Sheet1 (2)'!E$527</f>
        <v>1.0901144536928649</v>
      </c>
      <c r="F275" s="48">
        <f>('Sheet1 (2)'!F275-'Sheet1 (2)'!F$526)/'Sheet1 (2)'!F$527</f>
        <v>1.2684811135846812</v>
      </c>
      <c r="G275" s="48">
        <f>('Sheet1 (2)'!G275-'Sheet1 (2)'!G$526)/'Sheet1 (2)'!G$527</f>
        <v>-0.39517648685088802</v>
      </c>
      <c r="H275" s="48">
        <f>('Sheet1 (2)'!H275-'Sheet1 (2)'!H$526)/'Sheet1 (2)'!H$527</f>
        <v>0.47121031769119603</v>
      </c>
      <c r="I275" s="48">
        <f>('Sheet1 (2)'!I275-'Sheet1 (2)'!I$526)/'Sheet1 (2)'!I$527</f>
        <v>-1.559096882772864</v>
      </c>
      <c r="J275" s="48">
        <f>('Sheet1 (2)'!J275-'Sheet1 (2)'!J$526)/'Sheet1 (2)'!J$527</f>
        <v>-0.73978274295720881</v>
      </c>
      <c r="K275" s="48">
        <f>('Sheet1 (2)'!K275-'Sheet1 (2)'!K$526)/'Sheet1 (2)'!K$527</f>
        <v>-0.67388163103389898</v>
      </c>
    </row>
    <row r="276" spans="1:11" ht="12.75" x14ac:dyDescent="0.2">
      <c r="A276" s="50">
        <v>17</v>
      </c>
      <c r="B276" s="48">
        <f>('Sheet1 (2)'!B276-'Sheet1 (2)'!B$526)/'Sheet1 (2)'!B$527</f>
        <v>-1.2242915745870349</v>
      </c>
      <c r="C276" s="48">
        <f>('Sheet1 (2)'!C276-'Sheet1 (2)'!C$526)/'Sheet1 (2)'!C$527</f>
        <v>-0.60671778932620679</v>
      </c>
      <c r="D276" s="48">
        <f>('Sheet1 (2)'!D276-'Sheet1 (2)'!D$526)/'Sheet1 (2)'!D$527</f>
        <v>1.4257032508898051</v>
      </c>
      <c r="E276" s="48">
        <f>('Sheet1 (2)'!E276-'Sheet1 (2)'!E$526)/'Sheet1 (2)'!E$527</f>
        <v>3.1349943744704767</v>
      </c>
      <c r="F276" s="48">
        <f>('Sheet1 (2)'!F276-'Sheet1 (2)'!F$526)/'Sheet1 (2)'!F$527</f>
        <v>3.5300958634082259E-2</v>
      </c>
      <c r="G276" s="48">
        <f>('Sheet1 (2)'!G276-'Sheet1 (2)'!G$526)/'Sheet1 (2)'!G$527</f>
        <v>7.0905280303537183E-2</v>
      </c>
      <c r="H276" s="48">
        <f>('Sheet1 (2)'!H276-'Sheet1 (2)'!H$526)/'Sheet1 (2)'!H$527</f>
        <v>-1.1172758383229331</v>
      </c>
      <c r="I276" s="48">
        <f>('Sheet1 (2)'!I276-'Sheet1 (2)'!I$526)/'Sheet1 (2)'!I$527</f>
        <v>0.60575883076329573</v>
      </c>
      <c r="J276" s="48">
        <f>('Sheet1 (2)'!J276-'Sheet1 (2)'!J$526)/'Sheet1 (2)'!J$527</f>
        <v>5.1350064389744793E-2</v>
      </c>
      <c r="K276" s="48">
        <f>('Sheet1 (2)'!K276-'Sheet1 (2)'!K$526)/'Sheet1 (2)'!K$527</f>
        <v>-1.8320961895713905</v>
      </c>
    </row>
    <row r="277" spans="1:11" ht="12.75" x14ac:dyDescent="0.2">
      <c r="A277" s="49">
        <v>17</v>
      </c>
      <c r="B277" s="48">
        <f>('Sheet1 (2)'!B277-'Sheet1 (2)'!B$526)/'Sheet1 (2)'!B$527</f>
        <v>-1.2242915745870349</v>
      </c>
      <c r="C277" s="48">
        <f>('Sheet1 (2)'!C277-'Sheet1 (2)'!C$526)/'Sheet1 (2)'!C$527</f>
        <v>-0.84755401725640978</v>
      </c>
      <c r="D277" s="48">
        <f>('Sheet1 (2)'!D277-'Sheet1 (2)'!D$526)/'Sheet1 (2)'!D$527</f>
        <v>-0.4704097020702403</v>
      </c>
      <c r="E277" s="48">
        <f>('Sheet1 (2)'!E277-'Sheet1 (2)'!E$526)/'Sheet1 (2)'!E$527</f>
        <v>-0.75487271078401397</v>
      </c>
      <c r="F277" s="48">
        <f>('Sheet1 (2)'!F277-'Sheet1 (2)'!F$526)/'Sheet1 (2)'!F$527</f>
        <v>3.5300958634082259E-2</v>
      </c>
      <c r="G277" s="48">
        <f>('Sheet1 (2)'!G277-'Sheet1 (2)'!G$526)/'Sheet1 (2)'!G$527</f>
        <v>-0.50144115274505707</v>
      </c>
      <c r="H277" s="48">
        <f>('Sheet1 (2)'!H277-'Sheet1 (2)'!H$526)/'Sheet1 (2)'!H$527</f>
        <v>-0.86737281256839061</v>
      </c>
      <c r="I277" s="48">
        <f>('Sheet1 (2)'!I277-'Sheet1 (2)'!I$526)/'Sheet1 (2)'!I$527</f>
        <v>-0.49436329800596762</v>
      </c>
      <c r="J277" s="48">
        <f>('Sheet1 (2)'!J277-'Sheet1 (2)'!J$526)/'Sheet1 (2)'!J$527</f>
        <v>8.4646570998715642E-2</v>
      </c>
      <c r="K277" s="48">
        <f>('Sheet1 (2)'!K277-'Sheet1 (2)'!K$526)/'Sheet1 (2)'!K$527</f>
        <v>-1.5619190424311591</v>
      </c>
    </row>
    <row r="278" spans="1:11" ht="12.75" x14ac:dyDescent="0.2">
      <c r="A278" s="50">
        <v>17</v>
      </c>
      <c r="B278" s="48">
        <f>('Sheet1 (2)'!B278-'Sheet1 (2)'!B$526)/'Sheet1 (2)'!B$527</f>
        <v>-1.2242915745870349</v>
      </c>
      <c r="C278" s="48">
        <f>('Sheet1 (2)'!C278-'Sheet1 (2)'!C$526)/'Sheet1 (2)'!C$527</f>
        <v>-0.52045126306348011</v>
      </c>
      <c r="D278" s="48">
        <f>('Sheet1 (2)'!D278-'Sheet1 (2)'!D$526)/'Sheet1 (2)'!D$527</f>
        <v>-0.4704097020702403</v>
      </c>
      <c r="E278" s="48">
        <f>('Sheet1 (2)'!E278-'Sheet1 (2)'!E$526)/'Sheet1 (2)'!E$527</f>
        <v>-3.5718311679078754E-2</v>
      </c>
      <c r="F278" s="48">
        <f>('Sheet1 (2)'!F278-'Sheet1 (2)'!F$526)/'Sheet1 (2)'!F$527</f>
        <v>-1.1978791963165167</v>
      </c>
      <c r="G278" s="48">
        <f>('Sheet1 (2)'!G278-'Sheet1 (2)'!G$526)/'Sheet1 (2)'!G$527</f>
        <v>-0.30670497431574256</v>
      </c>
      <c r="H278" s="48">
        <f>('Sheet1 (2)'!H278-'Sheet1 (2)'!H$526)/'Sheet1 (2)'!H$527</f>
        <v>-0.39640172556944564</v>
      </c>
      <c r="I278" s="48">
        <f>('Sheet1 (2)'!I278-'Sheet1 (2)'!I$526)/'Sheet1 (2)'!I$527</f>
        <v>-0.31453564234176135</v>
      </c>
      <c r="J278" s="48">
        <f>('Sheet1 (2)'!J278-'Sheet1 (2)'!J$526)/'Sheet1 (2)'!J$527</f>
        <v>-0.48585269567785028</v>
      </c>
      <c r="K278" s="48">
        <f>('Sheet1 (2)'!K278-'Sheet1 (2)'!K$526)/'Sheet1 (2)'!K$527</f>
        <v>-1.838615784168202</v>
      </c>
    </row>
    <row r="279" spans="1:11" ht="12.75" x14ac:dyDescent="0.2">
      <c r="A279" s="51">
        <v>17</v>
      </c>
      <c r="B279" s="48">
        <f>('Sheet1 (2)'!B279-'Sheet1 (2)'!B$526)/'Sheet1 (2)'!B$527</f>
        <v>-1.2242915745870349</v>
      </c>
      <c r="C279" s="48">
        <f>('Sheet1 (2)'!C279-'Sheet1 (2)'!C$526)/'Sheet1 (2)'!C$527</f>
        <v>-6.2405890172246792E-2</v>
      </c>
      <c r="D279" s="48">
        <f>('Sheet1 (2)'!D279-'Sheet1 (2)'!D$526)/'Sheet1 (2)'!D$527</f>
        <v>-0.4704097020702403</v>
      </c>
      <c r="E279" s="48">
        <f>('Sheet1 (2)'!E279-'Sheet1 (2)'!E$526)/'Sheet1 (2)'!E$527</f>
        <v>-0.41023002750688853</v>
      </c>
      <c r="F279" s="48">
        <f>('Sheet1 (2)'!F279-'Sheet1 (2)'!F$526)/'Sheet1 (2)'!F$527</f>
        <v>-1.1978791963165167</v>
      </c>
      <c r="G279" s="48">
        <f>('Sheet1 (2)'!G279-'Sheet1 (2)'!G$526)/'Sheet1 (2)'!G$527</f>
        <v>-0.42582025096920656</v>
      </c>
      <c r="H279" s="48">
        <f>('Sheet1 (2)'!H279-'Sheet1 (2)'!H$526)/'Sheet1 (2)'!H$527</f>
        <v>-0.40665415739527305</v>
      </c>
      <c r="I279" s="48">
        <f>('Sheet1 (2)'!I279-'Sheet1 (2)'!I$526)/'Sheet1 (2)'!I$527</f>
        <v>-0.32915264964708746</v>
      </c>
      <c r="J279" s="48">
        <f>('Sheet1 (2)'!J279-'Sheet1 (2)'!J$526)/'Sheet1 (2)'!J$527</f>
        <v>-0.83945425120312078</v>
      </c>
      <c r="K279" s="48">
        <f>('Sheet1 (2)'!K279-'Sheet1 (2)'!K$526)/'Sheet1 (2)'!K$527</f>
        <v>-1.2808044175133826</v>
      </c>
    </row>
    <row r="280" spans="1:11" ht="12.75" x14ac:dyDescent="0.2">
      <c r="A280" s="48">
        <v>17</v>
      </c>
      <c r="B280" s="48">
        <f>('Sheet1 (2)'!B280-'Sheet1 (2)'!B$526)/'Sheet1 (2)'!B$527</f>
        <v>1.1794716518179513E-2</v>
      </c>
      <c r="C280" s="48">
        <f>('Sheet1 (2)'!C280-'Sheet1 (2)'!C$526)/'Sheet1 (2)'!C$527</f>
        <v>0.13935746870063367</v>
      </c>
      <c r="D280" s="48">
        <f>('Sheet1 (2)'!D280-'Sheet1 (2)'!D$526)/'Sheet1 (2)'!D$527</f>
        <v>-0.4704097020702403</v>
      </c>
      <c r="E280" s="48">
        <f>('Sheet1 (2)'!E280-'Sheet1 (2)'!E$526)/'Sheet1 (2)'!E$527</f>
        <v>0.19634109506085262</v>
      </c>
      <c r="F280" s="48">
        <f>('Sheet1 (2)'!F280-'Sheet1 (2)'!F$526)/'Sheet1 (2)'!F$527</f>
        <v>1.2684811135846812</v>
      </c>
      <c r="G280" s="48">
        <f>('Sheet1 (2)'!G280-'Sheet1 (2)'!G$526)/'Sheet1 (2)'!G$527</f>
        <v>-0.50144115274505707</v>
      </c>
      <c r="H280" s="48">
        <f>('Sheet1 (2)'!H280-'Sheet1 (2)'!H$526)/'Sheet1 (2)'!H$527</f>
        <v>0.67178012647509977</v>
      </c>
      <c r="I280" s="48">
        <f>('Sheet1 (2)'!I280-'Sheet1 (2)'!I$526)/'Sheet1 (2)'!I$527</f>
        <v>0.60462042599634558</v>
      </c>
      <c r="J280" s="48">
        <f>('Sheet1 (2)'!J280-'Sheet1 (2)'!J$526)/'Sheet1 (2)'!J$527</f>
        <v>-0.17925025165764324</v>
      </c>
      <c r="K280" s="48">
        <f>('Sheet1 (2)'!K280-'Sheet1 (2)'!K$526)/'Sheet1 (2)'!K$527</f>
        <v>5.9579909785671327E-2</v>
      </c>
    </row>
    <row r="281" spans="1:11" ht="12.75" x14ac:dyDescent="0.2">
      <c r="A281" s="49">
        <v>17</v>
      </c>
      <c r="B281" s="48">
        <f>('Sheet1 (2)'!B281-'Sheet1 (2)'!B$526)/'Sheet1 (2)'!B$527</f>
        <v>1.1794716518179513E-2</v>
      </c>
      <c r="C281" s="48">
        <f>('Sheet1 (2)'!C281-'Sheet1 (2)'!C$526)/'Sheet1 (2)'!C$527</f>
        <v>1.0627632505363191</v>
      </c>
      <c r="D281" s="48">
        <f>('Sheet1 (2)'!D281-'Sheet1 (2)'!D$526)/'Sheet1 (2)'!D$527</f>
        <v>-0.4704097020702403</v>
      </c>
      <c r="E281" s="48">
        <f>('Sheet1 (2)'!E281-'Sheet1 (2)'!E$526)/'Sheet1 (2)'!E$527</f>
        <v>-0.12992064510815957</v>
      </c>
      <c r="F281" s="48">
        <f>('Sheet1 (2)'!F281-'Sheet1 (2)'!F$526)/'Sheet1 (2)'!F$527</f>
        <v>1.2684811135846812</v>
      </c>
      <c r="G281" s="48">
        <f>('Sheet1 (2)'!G281-'Sheet1 (2)'!G$526)/'Sheet1 (2)'!G$527</f>
        <v>-0.50144115274505707</v>
      </c>
      <c r="H281" s="48">
        <f>('Sheet1 (2)'!H281-'Sheet1 (2)'!H$526)/'Sheet1 (2)'!H$527</f>
        <v>0.2284041513676652</v>
      </c>
      <c r="I281" s="48">
        <f>('Sheet1 (2)'!I281-'Sheet1 (2)'!I$526)/'Sheet1 (2)'!I$527</f>
        <v>0.2647461567909955</v>
      </c>
      <c r="J281" s="48">
        <f>('Sheet1 (2)'!J281-'Sheet1 (2)'!J$526)/'Sheet1 (2)'!J$527</f>
        <v>-0.83945425120312078</v>
      </c>
      <c r="K281" s="48">
        <f>('Sheet1 (2)'!K281-'Sheet1 (2)'!K$526)/'Sheet1 (2)'!K$527</f>
        <v>-1.7748438549146535</v>
      </c>
    </row>
    <row r="282" spans="1:11" ht="12.75" x14ac:dyDescent="0.2">
      <c r="A282" s="50">
        <v>17</v>
      </c>
      <c r="B282" s="48">
        <f>('Sheet1 (2)'!B282-'Sheet1 (2)'!B$526)/'Sheet1 (2)'!B$527</f>
        <v>1.1794716518179513E-2</v>
      </c>
      <c r="C282" s="48">
        <f>('Sheet1 (2)'!C282-'Sheet1 (2)'!C$526)/'Sheet1 (2)'!C$527</f>
        <v>0.91363713625339704</v>
      </c>
      <c r="D282" s="48">
        <f>('Sheet1 (2)'!D282-'Sheet1 (2)'!D$526)/'Sheet1 (2)'!D$527</f>
        <v>1.4257032508898051</v>
      </c>
      <c r="E282" s="48">
        <f>('Sheet1 (2)'!E282-'Sheet1 (2)'!E$526)/'Sheet1 (2)'!E$527</f>
        <v>1.1613406082368043</v>
      </c>
      <c r="F282" s="48">
        <f>('Sheet1 (2)'!F282-'Sheet1 (2)'!F$526)/'Sheet1 (2)'!F$527</f>
        <v>3.5300958634082259E-2</v>
      </c>
      <c r="G282" s="48">
        <f>('Sheet1 (2)'!G282-'Sheet1 (2)'!G$526)/'Sheet1 (2)'!G$527</f>
        <v>-0.50144115274505707</v>
      </c>
      <c r="H282" s="48">
        <f>('Sheet1 (2)'!H282-'Sheet1 (2)'!H$526)/'Sheet1 (2)'!H$527</f>
        <v>0.12505902829954105</v>
      </c>
      <c r="I282" s="48">
        <f>('Sheet1 (2)'!I282-'Sheet1 (2)'!I$526)/'Sheet1 (2)'!I$527</f>
        <v>0.11321743024503912</v>
      </c>
      <c r="J282" s="48">
        <f>('Sheet1 (2)'!J282-'Sheet1 (2)'!J$526)/'Sheet1 (2)'!J$527</f>
        <v>-0.83945425120312078</v>
      </c>
      <c r="K282" s="48">
        <f>('Sheet1 (2)'!K282-'Sheet1 (2)'!K$526)/'Sheet1 (2)'!K$527</f>
        <v>-1.6198117965383414</v>
      </c>
    </row>
    <row r="283" spans="1:11" ht="12.75" x14ac:dyDescent="0.2">
      <c r="A283" s="49">
        <v>17</v>
      </c>
      <c r="B283" s="48">
        <f>('Sheet1 (2)'!B283-'Sheet1 (2)'!B$526)/'Sheet1 (2)'!B$527</f>
        <v>1.1794716518179513E-2</v>
      </c>
      <c r="C283" s="48">
        <f>('Sheet1 (2)'!C283-'Sheet1 (2)'!C$526)/'Sheet1 (2)'!C$527</f>
        <v>0.9929806632400513</v>
      </c>
      <c r="D283" s="48">
        <f>('Sheet1 (2)'!D283-'Sheet1 (2)'!D$526)/'Sheet1 (2)'!D$527</f>
        <v>-0.4704097020702403</v>
      </c>
      <c r="E283" s="48">
        <f>('Sheet1 (2)'!E283-'Sheet1 (2)'!E$526)/'Sheet1 (2)'!E$527</f>
        <v>0.15498397306759742</v>
      </c>
      <c r="F283" s="48">
        <f>('Sheet1 (2)'!F283-'Sheet1 (2)'!F$526)/'Sheet1 (2)'!F$527</f>
        <v>3.5300958634082259E-2</v>
      </c>
      <c r="G283" s="48">
        <f>('Sheet1 (2)'!G283-'Sheet1 (2)'!G$526)/'Sheet1 (2)'!G$527</f>
        <v>-0.50144115274505707</v>
      </c>
      <c r="H283" s="48">
        <f>('Sheet1 (2)'!H283-'Sheet1 (2)'!H$526)/'Sheet1 (2)'!H$527</f>
        <v>0.28023334727687266</v>
      </c>
      <c r="I283" s="48">
        <f>('Sheet1 (2)'!I283-'Sheet1 (2)'!I$526)/'Sheet1 (2)'!I$527</f>
        <v>0.56949610546563123</v>
      </c>
      <c r="J283" s="48">
        <f>('Sheet1 (2)'!J283-'Sheet1 (2)'!J$526)/'Sheet1 (2)'!J$527</f>
        <v>-0.83945425120312078</v>
      </c>
      <c r="K283" s="48">
        <f>('Sheet1 (2)'!K283-'Sheet1 (2)'!K$526)/'Sheet1 (2)'!K$527</f>
        <v>-1.4872526295937576</v>
      </c>
    </row>
    <row r="284" spans="1:11" ht="12.75" x14ac:dyDescent="0.2">
      <c r="A284" s="50">
        <v>17</v>
      </c>
      <c r="B284" s="48">
        <f>('Sheet1 (2)'!B284-'Sheet1 (2)'!B$526)/'Sheet1 (2)'!B$527</f>
        <v>1.1794716518179513E-2</v>
      </c>
      <c r="C284" s="48">
        <f>('Sheet1 (2)'!C284-'Sheet1 (2)'!C$526)/'Sheet1 (2)'!C$527</f>
        <v>1.0473219025745861</v>
      </c>
      <c r="D284" s="48">
        <f>('Sheet1 (2)'!D284-'Sheet1 (2)'!D$526)/'Sheet1 (2)'!D$527</f>
        <v>1.4257032508898051</v>
      </c>
      <c r="E284" s="48">
        <f>('Sheet1 (2)'!E284-'Sheet1 (2)'!E$526)/'Sheet1 (2)'!E$527</f>
        <v>1.2026977302300592</v>
      </c>
      <c r="F284" s="48">
        <f>('Sheet1 (2)'!F284-'Sheet1 (2)'!F$526)/'Sheet1 (2)'!F$527</f>
        <v>-1.1978791963165167</v>
      </c>
      <c r="G284" s="48">
        <f>('Sheet1 (2)'!G284-'Sheet1 (2)'!G$526)/'Sheet1 (2)'!G$527</f>
        <v>-0.50144115274505707</v>
      </c>
      <c r="H284" s="48">
        <f>('Sheet1 (2)'!H284-'Sheet1 (2)'!H$526)/'Sheet1 (2)'!H$527</f>
        <v>0.19005110580332993</v>
      </c>
      <c r="I284" s="48">
        <f>('Sheet1 (2)'!I284-'Sheet1 (2)'!I$526)/'Sheet1 (2)'!I$527</f>
        <v>-0.25610424722398201</v>
      </c>
      <c r="J284" s="48">
        <f>('Sheet1 (2)'!J284-'Sheet1 (2)'!J$526)/'Sheet1 (2)'!J$527</f>
        <v>-0.83945425120312078</v>
      </c>
      <c r="K284" s="48">
        <f>('Sheet1 (2)'!K284-'Sheet1 (2)'!K$526)/'Sheet1 (2)'!K$527</f>
        <v>-2.1330834252563604</v>
      </c>
    </row>
    <row r="285" spans="1:11" ht="12.75" x14ac:dyDescent="0.2">
      <c r="A285" s="51">
        <v>17</v>
      </c>
      <c r="B285" s="48">
        <f>('Sheet1 (2)'!B285-'Sheet1 (2)'!B$526)/'Sheet1 (2)'!B$527</f>
        <v>1.1794716518179513E-2</v>
      </c>
      <c r="C285" s="48">
        <f>('Sheet1 (2)'!C285-'Sheet1 (2)'!C$526)/'Sheet1 (2)'!C$527</f>
        <v>0.97171876709070981</v>
      </c>
      <c r="D285" s="48">
        <f>('Sheet1 (2)'!D285-'Sheet1 (2)'!D$526)/'Sheet1 (2)'!D$527</f>
        <v>-0.4704097020702403</v>
      </c>
      <c r="E285" s="48">
        <f>('Sheet1 (2)'!E285-'Sheet1 (2)'!E$526)/'Sheet1 (2)'!E$527</f>
        <v>-0.60093231225356458</v>
      </c>
      <c r="F285" s="48">
        <f>('Sheet1 (2)'!F285-'Sheet1 (2)'!F$526)/'Sheet1 (2)'!F$527</f>
        <v>-1.1978791963165167</v>
      </c>
      <c r="G285" s="48">
        <f>('Sheet1 (2)'!G285-'Sheet1 (2)'!G$526)/'Sheet1 (2)'!G$527</f>
        <v>-0.50144115274505707</v>
      </c>
      <c r="H285" s="48">
        <f>('Sheet1 (2)'!H285-'Sheet1 (2)'!H$526)/'Sheet1 (2)'!H$527</f>
        <v>0.22797340683614528</v>
      </c>
      <c r="I285" s="48">
        <f>('Sheet1 (2)'!I285-'Sheet1 (2)'!I$526)/'Sheet1 (2)'!I$527</f>
        <v>0.65806500377217869</v>
      </c>
      <c r="J285" s="48">
        <f>('Sheet1 (2)'!J285-'Sheet1 (2)'!J$526)/'Sheet1 (2)'!J$527</f>
        <v>-0.83945425120312078</v>
      </c>
      <c r="K285" s="48">
        <f>('Sheet1 (2)'!K285-'Sheet1 (2)'!K$526)/'Sheet1 (2)'!K$527</f>
        <v>-1.544073490453949</v>
      </c>
    </row>
    <row r="286" spans="1:11" ht="12.75" x14ac:dyDescent="0.2">
      <c r="A286" s="48">
        <v>17</v>
      </c>
      <c r="B286" s="48">
        <f>('Sheet1 (2)'!B286-'Sheet1 (2)'!B$526)/'Sheet1 (2)'!B$527</f>
        <v>1.2478810076233939</v>
      </c>
      <c r="C286" s="48">
        <f>('Sheet1 (2)'!C286-'Sheet1 (2)'!C$526)/'Sheet1 (2)'!C$527</f>
        <v>2.1337367759198228E-2</v>
      </c>
      <c r="D286" s="48">
        <f>('Sheet1 (2)'!D286-'Sheet1 (2)'!D$526)/'Sheet1 (2)'!D$527</f>
        <v>-0.4704097020702403</v>
      </c>
      <c r="E286" s="48">
        <f>('Sheet1 (2)'!E286-'Sheet1 (2)'!E$526)/'Sheet1 (2)'!E$527</f>
        <v>-0.4515871495001435</v>
      </c>
      <c r="F286" s="48">
        <f>('Sheet1 (2)'!F286-'Sheet1 (2)'!F$526)/'Sheet1 (2)'!F$527</f>
        <v>1.2684811135846812</v>
      </c>
      <c r="G286" s="48">
        <f>('Sheet1 (2)'!G286-'Sheet1 (2)'!G$526)/'Sheet1 (2)'!G$527</f>
        <v>0.82392910394221697</v>
      </c>
      <c r="H286" s="48">
        <f>('Sheet1 (2)'!H286-'Sheet1 (2)'!H$526)/'Sheet1 (2)'!H$527</f>
        <v>0.26212715939133668</v>
      </c>
      <c r="I286" s="48">
        <f>('Sheet1 (2)'!I286-'Sheet1 (2)'!I$526)/'Sheet1 (2)'!I$527</f>
        <v>0.67792496185991191</v>
      </c>
      <c r="J286" s="48">
        <f>('Sheet1 (2)'!J286-'Sheet1 (2)'!J$526)/'Sheet1 (2)'!J$527</f>
        <v>-0.78444607236954811</v>
      </c>
      <c r="K286" s="48">
        <f>('Sheet1 (2)'!K286-'Sheet1 (2)'!K$526)/'Sheet1 (2)'!K$527</f>
        <v>-1.0802935231627635</v>
      </c>
    </row>
    <row r="287" spans="1:11" ht="12.75" x14ac:dyDescent="0.2">
      <c r="A287" s="49">
        <v>17</v>
      </c>
      <c r="B287" s="48">
        <f>('Sheet1 (2)'!B287-'Sheet1 (2)'!B$526)/'Sheet1 (2)'!B$527</f>
        <v>1.2478810076233939</v>
      </c>
      <c r="C287" s="48">
        <f>('Sheet1 (2)'!C287-'Sheet1 (2)'!C$526)/'Sheet1 (2)'!C$527</f>
        <v>-1.710989419996914</v>
      </c>
      <c r="D287" s="48">
        <f>('Sheet1 (2)'!D287-'Sheet1 (2)'!D$526)/'Sheet1 (2)'!D$527</f>
        <v>1.4257032508898051</v>
      </c>
      <c r="E287" s="48">
        <f>('Sheet1 (2)'!E287-'Sheet1 (2)'!E$526)/'Sheet1 (2)'!E$527</f>
        <v>0.63059087599003072</v>
      </c>
      <c r="F287" s="48">
        <f>('Sheet1 (2)'!F287-'Sheet1 (2)'!F$526)/'Sheet1 (2)'!F$527</f>
        <v>1.2684811135846812</v>
      </c>
      <c r="G287" s="48">
        <f>('Sheet1 (2)'!G287-'Sheet1 (2)'!G$526)/'Sheet1 (2)'!G$527</f>
        <v>1.4950714718453904</v>
      </c>
      <c r="H287" s="48">
        <f>('Sheet1 (2)'!H287-'Sheet1 (2)'!H$526)/'Sheet1 (2)'!H$527</f>
        <v>-0.86381294040664525</v>
      </c>
      <c r="I287" s="48">
        <f>('Sheet1 (2)'!I287-'Sheet1 (2)'!I$526)/'Sheet1 (2)'!I$527</f>
        <v>-0.91161047291311392</v>
      </c>
      <c r="J287" s="48">
        <f>('Sheet1 (2)'!J287-'Sheet1 (2)'!J$526)/'Sheet1 (2)'!J$527</f>
        <v>0.2169014622112149</v>
      </c>
      <c r="K287" s="48">
        <f>('Sheet1 (2)'!K287-'Sheet1 (2)'!K$526)/'Sheet1 (2)'!K$527</f>
        <v>-1.4008640864336117</v>
      </c>
    </row>
    <row r="288" spans="1:11" ht="12.75" x14ac:dyDescent="0.2">
      <c r="A288" s="50">
        <v>17</v>
      </c>
      <c r="B288" s="48">
        <f>('Sheet1 (2)'!B288-'Sheet1 (2)'!B$526)/'Sheet1 (2)'!B$527</f>
        <v>1.2478810076233939</v>
      </c>
      <c r="C288" s="48">
        <f>('Sheet1 (2)'!C288-'Sheet1 (2)'!C$526)/'Sheet1 (2)'!C$527</f>
        <v>0.10765455694207579</v>
      </c>
      <c r="D288" s="48">
        <f>('Sheet1 (2)'!D288-'Sheet1 (2)'!D$526)/'Sheet1 (2)'!D$527</f>
        <v>-0.4704097020702403</v>
      </c>
      <c r="E288" s="48">
        <f>('Sheet1 (2)'!E288-'Sheet1 (2)'!E$526)/'Sheet1 (2)'!E$527</f>
        <v>0.25607916016222099</v>
      </c>
      <c r="F288" s="48">
        <f>('Sheet1 (2)'!F288-'Sheet1 (2)'!F$526)/'Sheet1 (2)'!F$527</f>
        <v>3.5300958634082259E-2</v>
      </c>
      <c r="G288" s="48">
        <f>('Sheet1 (2)'!G288-'Sheet1 (2)'!G$526)/'Sheet1 (2)'!G$527</f>
        <v>0.58410595357537665</v>
      </c>
      <c r="H288" s="48">
        <f>('Sheet1 (2)'!H288-'Sheet1 (2)'!H$526)/'Sheet1 (2)'!H$527</f>
        <v>0.23106134165983658</v>
      </c>
      <c r="I288" s="48">
        <f>('Sheet1 (2)'!I288-'Sheet1 (2)'!I$526)/'Sheet1 (2)'!I$527</f>
        <v>-0.13376771135382037</v>
      </c>
      <c r="J288" s="48">
        <f>('Sheet1 (2)'!J288-'Sheet1 (2)'!J$526)/'Sheet1 (2)'!J$527</f>
        <v>0.59470871187437557</v>
      </c>
      <c r="K288" s="48">
        <f>('Sheet1 (2)'!K288-'Sheet1 (2)'!K$526)/'Sheet1 (2)'!K$527</f>
        <v>-1.5881737548827921</v>
      </c>
    </row>
    <row r="289" spans="1:11" ht="12.75" x14ac:dyDescent="0.2">
      <c r="A289" s="49">
        <v>17</v>
      </c>
      <c r="B289" s="48">
        <f>('Sheet1 (2)'!B289-'Sheet1 (2)'!B$526)/'Sheet1 (2)'!B$527</f>
        <v>1.2478810076233939</v>
      </c>
      <c r="C289" s="48">
        <f>('Sheet1 (2)'!C289-'Sheet1 (2)'!C$526)/'Sheet1 (2)'!C$527</f>
        <v>-0.86185848564840672</v>
      </c>
      <c r="D289" s="48">
        <f>('Sheet1 (2)'!D289-'Sheet1 (2)'!D$526)/'Sheet1 (2)'!D$527</f>
        <v>-0.4704097020702403</v>
      </c>
      <c r="E289" s="48">
        <f>('Sheet1 (2)'!E289-'Sheet1 (2)'!E$526)/'Sheet1 (2)'!E$527</f>
        <v>-0.72270606034481566</v>
      </c>
      <c r="F289" s="48">
        <f>('Sheet1 (2)'!F289-'Sheet1 (2)'!F$526)/'Sheet1 (2)'!F$527</f>
        <v>3.5300958634082259E-2</v>
      </c>
      <c r="G289" s="48">
        <f>('Sheet1 (2)'!G289-'Sheet1 (2)'!G$526)/'Sheet1 (2)'!G$527</f>
        <v>0.67773967727023865</v>
      </c>
      <c r="H289" s="48">
        <f>('Sheet1 (2)'!H289-'Sheet1 (2)'!H$526)/'Sheet1 (2)'!H$527</f>
        <v>-0.61424216938719933</v>
      </c>
      <c r="I289" s="48">
        <f>('Sheet1 (2)'!I289-'Sheet1 (2)'!I$526)/'Sheet1 (2)'!I$527</f>
        <v>0.69014854106845935</v>
      </c>
      <c r="J289" s="48">
        <f>('Sheet1 (2)'!J289-'Sheet1 (2)'!J$526)/'Sheet1 (2)'!J$527</f>
        <v>0.37507633118275868</v>
      </c>
      <c r="K289" s="48">
        <f>('Sheet1 (2)'!K289-'Sheet1 (2)'!K$526)/'Sheet1 (2)'!K$527</f>
        <v>-1.7042396955339219</v>
      </c>
    </row>
    <row r="290" spans="1:11" ht="12.75" x14ac:dyDescent="0.2">
      <c r="A290" s="50">
        <v>17</v>
      </c>
      <c r="B290" s="48">
        <f>('Sheet1 (2)'!B290-'Sheet1 (2)'!B$526)/'Sheet1 (2)'!B$527</f>
        <v>1.2478810076233939</v>
      </c>
      <c r="C290" s="48">
        <f>('Sheet1 (2)'!C290-'Sheet1 (2)'!C$526)/'Sheet1 (2)'!C$527</f>
        <v>-1.2101240019020423</v>
      </c>
      <c r="D290" s="48">
        <f>('Sheet1 (2)'!D290-'Sheet1 (2)'!D$526)/'Sheet1 (2)'!D$527</f>
        <v>-0.4704097020702403</v>
      </c>
      <c r="E290" s="48">
        <f>('Sheet1 (2)'!E290-'Sheet1 (2)'!E$526)/'Sheet1 (2)'!E$527</f>
        <v>-0.73419414978738651</v>
      </c>
      <c r="F290" s="48">
        <f>('Sheet1 (2)'!F290-'Sheet1 (2)'!F$526)/'Sheet1 (2)'!F$527</f>
        <v>-1.1978791963165167</v>
      </c>
      <c r="G290" s="48">
        <f>('Sheet1 (2)'!G290-'Sheet1 (2)'!G$526)/'Sheet1 (2)'!G$527</f>
        <v>2.7117057913386313</v>
      </c>
      <c r="H290" s="48">
        <f>('Sheet1 (2)'!H290-'Sheet1 (2)'!H$526)/'Sheet1 (2)'!H$527</f>
        <v>-0.46778902865298472</v>
      </c>
      <c r="I290" s="48">
        <f>('Sheet1 (2)'!I290-'Sheet1 (2)'!I$526)/'Sheet1 (2)'!I$527</f>
        <v>-0.59779358361675305</v>
      </c>
      <c r="J290" s="48">
        <f>('Sheet1 (2)'!J290-'Sheet1 (2)'!J$526)/'Sheet1 (2)'!J$527</f>
        <v>8.5436480812832949E-2</v>
      </c>
      <c r="K290" s="48">
        <f>('Sheet1 (2)'!K290-'Sheet1 (2)'!K$526)/'Sheet1 (2)'!K$527</f>
        <v>-1.2980613268957322</v>
      </c>
    </row>
    <row r="291" spans="1:11" ht="12.75" x14ac:dyDescent="0.2">
      <c r="A291" s="51">
        <v>17</v>
      </c>
      <c r="B291" s="48">
        <f>('Sheet1 (2)'!B291-'Sheet1 (2)'!B$526)/'Sheet1 (2)'!B$527</f>
        <v>1.2478810076233939</v>
      </c>
      <c r="C291" s="48">
        <f>('Sheet1 (2)'!C291-'Sheet1 (2)'!C$526)/'Sheet1 (2)'!C$527</f>
        <v>-0.83158245202020575</v>
      </c>
      <c r="D291" s="48">
        <f>('Sheet1 (2)'!D291-'Sheet1 (2)'!D$526)/'Sheet1 (2)'!D$527</f>
        <v>1.4257032508898051</v>
      </c>
      <c r="E291" s="48">
        <f>('Sheet1 (2)'!E291-'Sheet1 (2)'!E$526)/'Sheet1 (2)'!E$527</f>
        <v>-0.26318248264198146</v>
      </c>
      <c r="F291" s="48">
        <f>('Sheet1 (2)'!F291-'Sheet1 (2)'!F$526)/'Sheet1 (2)'!F$527</f>
        <v>-1.1978791963165167</v>
      </c>
      <c r="G291" s="48">
        <f>('Sheet1 (2)'!G291-'Sheet1 (2)'!G$526)/'Sheet1 (2)'!G$527</f>
        <v>3.4239261799595506</v>
      </c>
      <c r="H291" s="48">
        <f>('Sheet1 (2)'!H291-'Sheet1 (2)'!H$526)/'Sheet1 (2)'!H$527</f>
        <v>-0.38555598171666061</v>
      </c>
      <c r="I291" s="48">
        <f>('Sheet1 (2)'!I291-'Sheet1 (2)'!I$526)/'Sheet1 (2)'!I$527</f>
        <v>-0.49741919280810476</v>
      </c>
      <c r="J291" s="48">
        <f>('Sheet1 (2)'!J291-'Sheet1 (2)'!J$526)/'Sheet1 (2)'!J$527</f>
        <v>-0.80752772513592441</v>
      </c>
      <c r="K291" s="48">
        <f>('Sheet1 (2)'!K291-'Sheet1 (2)'!K$526)/'Sheet1 (2)'!K$527</f>
        <v>-2.4946309273302525</v>
      </c>
    </row>
    <row r="292" spans="1:11" ht="15.75" customHeight="1" x14ac:dyDescent="0.2">
      <c r="A292" s="48">
        <v>18</v>
      </c>
      <c r="B292" s="48">
        <f>('Sheet1 (2)'!B292-'Sheet1 (2)'!B$526)/'Sheet1 (2)'!B$527</f>
        <v>-1.2242915745870349</v>
      </c>
      <c r="C292" s="48">
        <f>('Sheet1 (2)'!C292-'Sheet1 (2)'!C$526)/'Sheet1 (2)'!C$527</f>
        <v>-0.35474880749663779</v>
      </c>
      <c r="D292" s="48">
        <f>('Sheet1 (2)'!D292-'Sheet1 (2)'!D$526)/'Sheet1 (2)'!D$527</f>
        <v>1.4257032508898051</v>
      </c>
      <c r="E292" s="48">
        <f>('Sheet1 (2)'!E292-'Sheet1 (2)'!E$526)/'Sheet1 (2)'!E$527</f>
        <v>4.1528390990822537</v>
      </c>
      <c r="F292" s="48">
        <f>('Sheet1 (2)'!F292-'Sheet1 (2)'!F$526)/'Sheet1 (2)'!F$527</f>
        <v>1.2684811135846812</v>
      </c>
      <c r="G292" s="48">
        <f>('Sheet1 (2)'!G292-'Sheet1 (2)'!G$526)/'Sheet1 (2)'!G$527</f>
        <v>-0.50144115274505707</v>
      </c>
      <c r="H292" s="48">
        <f>('Sheet1 (2)'!H292-'Sheet1 (2)'!H$526)/'Sheet1 (2)'!H$527</f>
        <v>-0.42511620209872625</v>
      </c>
      <c r="I292" s="48">
        <f>('Sheet1 (2)'!I292-'Sheet1 (2)'!I$526)/'Sheet1 (2)'!I$527</f>
        <v>0.66494192950527142</v>
      </c>
      <c r="J292" s="48">
        <f>('Sheet1 (2)'!J292-'Sheet1 (2)'!J$526)/'Sheet1 (2)'!J$527</f>
        <v>-0.83945425120312078</v>
      </c>
      <c r="K292" s="48">
        <f>('Sheet1 (2)'!K292-'Sheet1 (2)'!K$526)/'Sheet1 (2)'!K$527</f>
        <v>0.64424666116758789</v>
      </c>
    </row>
    <row r="293" spans="1:11" ht="15.75" customHeight="1" x14ac:dyDescent="0.2">
      <c r="A293" s="49">
        <v>18</v>
      </c>
      <c r="B293" s="48">
        <f>('Sheet1 (2)'!B293-'Sheet1 (2)'!B$526)/'Sheet1 (2)'!B$527</f>
        <v>-1.2242915745870349</v>
      </c>
      <c r="C293" s="48">
        <f>('Sheet1 (2)'!C293-'Sheet1 (2)'!C$526)/'Sheet1 (2)'!C$527</f>
        <v>-0.62771679765226063</v>
      </c>
      <c r="D293" s="48">
        <f>('Sheet1 (2)'!D293-'Sheet1 (2)'!D$526)/'Sheet1 (2)'!D$527</f>
        <v>-0.4704097020702403</v>
      </c>
      <c r="E293" s="48">
        <f>('Sheet1 (2)'!E293-'Sheet1 (2)'!E$526)/'Sheet1 (2)'!E$527</f>
        <v>8.0358133306712016</v>
      </c>
      <c r="F293" s="48">
        <f>('Sheet1 (2)'!F293-'Sheet1 (2)'!F$526)/'Sheet1 (2)'!F$527</f>
        <v>1.2684811135846812</v>
      </c>
      <c r="G293" s="48">
        <f>('Sheet1 (2)'!G293-'Sheet1 (2)'!G$526)/'Sheet1 (2)'!G$527</f>
        <v>-0.50144115274505707</v>
      </c>
      <c r="H293" s="48">
        <f>('Sheet1 (2)'!H293-'Sheet1 (2)'!H$526)/'Sheet1 (2)'!H$527</f>
        <v>-0.93508158108479267</v>
      </c>
      <c r="I293" s="48">
        <f>('Sheet1 (2)'!I293-'Sheet1 (2)'!I$526)/'Sheet1 (2)'!I$527</f>
        <v>-0.65813394429563321</v>
      </c>
      <c r="J293" s="48">
        <f>('Sheet1 (2)'!J293-'Sheet1 (2)'!J$526)/'Sheet1 (2)'!J$527</f>
        <v>0.46212386806682387</v>
      </c>
      <c r="K293" s="48">
        <f>('Sheet1 (2)'!K293-'Sheet1 (2)'!K$526)/'Sheet1 (2)'!K$527</f>
        <v>-3.7220342884749208E-2</v>
      </c>
    </row>
    <row r="294" spans="1:11" ht="15.75" customHeight="1" x14ac:dyDescent="0.2">
      <c r="A294" s="50">
        <v>18</v>
      </c>
      <c r="B294" s="48">
        <f>('Sheet1 (2)'!B294-'Sheet1 (2)'!B$526)/'Sheet1 (2)'!B$527</f>
        <v>-1.2242915745870349</v>
      </c>
      <c r="C294" s="48">
        <f>('Sheet1 (2)'!C294-'Sheet1 (2)'!C$526)/'Sheet1 (2)'!C$527</f>
        <v>-1.2596518899742205E-2</v>
      </c>
      <c r="D294" s="48">
        <f>('Sheet1 (2)'!D294-'Sheet1 (2)'!D$526)/'Sheet1 (2)'!D$527</f>
        <v>-0.4704097020702403</v>
      </c>
      <c r="E294" s="48">
        <f>('Sheet1 (2)'!E294-'Sheet1 (2)'!E$526)/'Sheet1 (2)'!E$527</f>
        <v>3.9552439606700354</v>
      </c>
      <c r="F294" s="48">
        <f>('Sheet1 (2)'!F294-'Sheet1 (2)'!F$526)/'Sheet1 (2)'!F$527</f>
        <v>3.5300958634082259E-2</v>
      </c>
      <c r="G294" s="48">
        <f>('Sheet1 (2)'!G294-'Sheet1 (2)'!G$526)/'Sheet1 (2)'!G$527</f>
        <v>-0.50144115274505707</v>
      </c>
      <c r="H294" s="48">
        <f>('Sheet1 (2)'!H294-'Sheet1 (2)'!H$526)/'Sheet1 (2)'!H$527</f>
        <v>-4.2566862871139186E-2</v>
      </c>
      <c r="I294" s="48">
        <f>('Sheet1 (2)'!I294-'Sheet1 (2)'!I$526)/'Sheet1 (2)'!I$527</f>
        <v>0.3828593323849474</v>
      </c>
      <c r="J294" s="48">
        <f>('Sheet1 (2)'!J294-'Sheet1 (2)'!J$526)/'Sheet1 (2)'!J$527</f>
        <v>-0.83945425120312078</v>
      </c>
      <c r="K294" s="48">
        <f>('Sheet1 (2)'!K294-'Sheet1 (2)'!K$526)/'Sheet1 (2)'!K$527</f>
        <v>-0.62916389886346169</v>
      </c>
    </row>
    <row r="295" spans="1:11" ht="15.75" customHeight="1" x14ac:dyDescent="0.2">
      <c r="A295" s="49">
        <v>18</v>
      </c>
      <c r="B295" s="48">
        <f>('Sheet1 (2)'!B295-'Sheet1 (2)'!B$526)/'Sheet1 (2)'!B$527</f>
        <v>-1.2242915745870349</v>
      </c>
      <c r="C295" s="48">
        <f>('Sheet1 (2)'!C295-'Sheet1 (2)'!C$526)/'Sheet1 (2)'!C$527</f>
        <v>-0.23363280996818392</v>
      </c>
      <c r="D295" s="48">
        <f>('Sheet1 (2)'!D295-'Sheet1 (2)'!D$526)/'Sheet1 (2)'!D$527</f>
        <v>-0.4704097020702403</v>
      </c>
      <c r="E295" s="48">
        <f>('Sheet1 (2)'!E295-'Sheet1 (2)'!E$526)/'Sheet1 (2)'!E$527</f>
        <v>1.0418644780340676</v>
      </c>
      <c r="F295" s="48">
        <f>('Sheet1 (2)'!F295-'Sheet1 (2)'!F$526)/'Sheet1 (2)'!F$527</f>
        <v>3.5300958634082259E-2</v>
      </c>
      <c r="G295" s="48">
        <f>('Sheet1 (2)'!G295-'Sheet1 (2)'!G$526)/'Sheet1 (2)'!G$527</f>
        <v>-0.50144115274505707</v>
      </c>
      <c r="H295" s="48">
        <f>('Sheet1 (2)'!H295-'Sheet1 (2)'!H$526)/'Sheet1 (2)'!H$527</f>
        <v>-1.2116014971563864</v>
      </c>
      <c r="I295" s="48">
        <f>('Sheet1 (2)'!I295-'Sheet1 (2)'!I$526)/'Sheet1 (2)'!I$527</f>
        <v>0.10511646752801307</v>
      </c>
      <c r="J295" s="48">
        <f>('Sheet1 (2)'!J295-'Sheet1 (2)'!J$526)/'Sheet1 (2)'!J$527</f>
        <v>-0.22394011121371718</v>
      </c>
      <c r="K295" s="48">
        <f>('Sheet1 (2)'!K295-'Sheet1 (2)'!K$526)/'Sheet1 (2)'!K$527</f>
        <v>0.10940454774394476</v>
      </c>
    </row>
    <row r="296" spans="1:11" ht="15.75" customHeight="1" x14ac:dyDescent="0.2">
      <c r="A296" s="50">
        <v>18</v>
      </c>
      <c r="B296" s="48">
        <f>('Sheet1 (2)'!B296-'Sheet1 (2)'!B$526)/'Sheet1 (2)'!B$527</f>
        <v>-1.2242915745870349</v>
      </c>
      <c r="C296" s="48">
        <f>('Sheet1 (2)'!C296-'Sheet1 (2)'!C$526)/'Sheet1 (2)'!C$527</f>
        <v>-1.0061982236138602</v>
      </c>
      <c r="D296" s="48">
        <f>('Sheet1 (2)'!D296-'Sheet1 (2)'!D$526)/'Sheet1 (2)'!D$527</f>
        <v>-0.4704097020702403</v>
      </c>
      <c r="E296" s="48">
        <f>('Sheet1 (2)'!E296-'Sheet1 (2)'!E$526)/'Sheet1 (2)'!E$527</f>
        <v>-0.8031226864428116</v>
      </c>
      <c r="F296" s="48">
        <f>('Sheet1 (2)'!F296-'Sheet1 (2)'!F$526)/'Sheet1 (2)'!F$527</f>
        <v>-1.1978791963165167</v>
      </c>
      <c r="G296" s="48">
        <f>('Sheet1 (2)'!G296-'Sheet1 (2)'!G$526)/'Sheet1 (2)'!G$527</f>
        <v>-0.41849514937268539</v>
      </c>
      <c r="H296" s="48">
        <f>('Sheet1 (2)'!H296-'Sheet1 (2)'!H$526)/'Sheet1 (2)'!H$527</f>
        <v>-1.2784723265331772</v>
      </c>
      <c r="I296" s="48">
        <f>('Sheet1 (2)'!I296-'Sheet1 (2)'!I$526)/'Sheet1 (2)'!I$527</f>
        <v>0.6429720349218615</v>
      </c>
      <c r="J296" s="48">
        <f>('Sheet1 (2)'!J296-'Sheet1 (2)'!J$526)/'Sheet1 (2)'!J$527</f>
        <v>-0.27854646291806451</v>
      </c>
      <c r="K296" s="48">
        <f>('Sheet1 (2)'!K296-'Sheet1 (2)'!K$526)/'Sheet1 (2)'!K$527</f>
        <v>-0.24433404977940595</v>
      </c>
    </row>
    <row r="297" spans="1:11" ht="15.75" customHeight="1" x14ac:dyDescent="0.2">
      <c r="A297" s="51">
        <v>18</v>
      </c>
      <c r="B297" s="48">
        <f>('Sheet1 (2)'!B297-'Sheet1 (2)'!B$526)/'Sheet1 (2)'!B$527</f>
        <v>-1.2242915745870349</v>
      </c>
      <c r="C297" s="48">
        <f>('Sheet1 (2)'!C297-'Sheet1 (2)'!C$526)/'Sheet1 (2)'!C$527</f>
        <v>-1.4503899717286026</v>
      </c>
      <c r="D297" s="48">
        <f>('Sheet1 (2)'!D297-'Sheet1 (2)'!D$526)/'Sheet1 (2)'!D$527</f>
        <v>1.4257032508898051</v>
      </c>
      <c r="E297" s="48">
        <f>('Sheet1 (2)'!E297-'Sheet1 (2)'!E$526)/'Sheet1 (2)'!E$527</f>
        <v>-0.72270606034481566</v>
      </c>
      <c r="F297" s="48">
        <f>('Sheet1 (2)'!F297-'Sheet1 (2)'!F$526)/'Sheet1 (2)'!F$527</f>
        <v>-1.1978791963165167</v>
      </c>
      <c r="G297" s="48">
        <f>('Sheet1 (2)'!G297-'Sheet1 (2)'!G$526)/'Sheet1 (2)'!G$527</f>
        <v>1.0466519017930727</v>
      </c>
      <c r="H297" s="48">
        <f>('Sheet1 (2)'!H297-'Sheet1 (2)'!H$526)/'Sheet1 (2)'!H$527</f>
        <v>-0.88266930941109167</v>
      </c>
      <c r="I297" s="48">
        <f>('Sheet1 (2)'!I297-'Sheet1 (2)'!I$526)/'Sheet1 (2)'!I$527</f>
        <v>-1.3033978852083736</v>
      </c>
      <c r="J297" s="48">
        <f>('Sheet1 (2)'!J297-'Sheet1 (2)'!J$526)/'Sheet1 (2)'!J$527</f>
        <v>0.84571753783984338</v>
      </c>
      <c r="K297" s="48">
        <f>('Sheet1 (2)'!K297-'Sheet1 (2)'!K$526)/'Sheet1 (2)'!K$527</f>
        <v>0.25681579298409635</v>
      </c>
    </row>
    <row r="298" spans="1:11" ht="15.75" customHeight="1" x14ac:dyDescent="0.2">
      <c r="A298" s="48">
        <v>18</v>
      </c>
      <c r="B298" s="48">
        <f>('Sheet1 (2)'!B298-'Sheet1 (2)'!B$526)/'Sheet1 (2)'!B$527</f>
        <v>1.1794716518179513E-2</v>
      </c>
      <c r="C298" s="48">
        <f>('Sheet1 (2)'!C298-'Sheet1 (2)'!C$526)/'Sheet1 (2)'!C$527</f>
        <v>0.37664648432710457</v>
      </c>
      <c r="D298" s="48">
        <f>('Sheet1 (2)'!D298-'Sheet1 (2)'!D$526)/'Sheet1 (2)'!D$527</f>
        <v>-0.4704097020702403</v>
      </c>
      <c r="E298" s="48">
        <f>('Sheet1 (2)'!E298-'Sheet1 (2)'!E$526)/'Sheet1 (2)'!E$527</f>
        <v>-6.0992108452734499E-2</v>
      </c>
      <c r="F298" s="48">
        <f>('Sheet1 (2)'!F298-'Sheet1 (2)'!F$526)/'Sheet1 (2)'!F$527</f>
        <v>1.2684811135846812</v>
      </c>
      <c r="G298" s="48">
        <f>('Sheet1 (2)'!G298-'Sheet1 (2)'!G$526)/'Sheet1 (2)'!G$527</f>
        <v>-0.50144115274505707</v>
      </c>
      <c r="H298" s="48">
        <f>('Sheet1 (2)'!H298-'Sheet1 (2)'!H$526)/'Sheet1 (2)'!H$527</f>
        <v>1.1762072365538976</v>
      </c>
      <c r="I298" s="48">
        <f>('Sheet1 (2)'!I298-'Sheet1 (2)'!I$526)/'Sheet1 (2)'!I$527</f>
        <v>0.65728318325602397</v>
      </c>
      <c r="J298" s="48">
        <f>('Sheet1 (2)'!J298-'Sheet1 (2)'!J$526)/'Sheet1 (2)'!J$527</f>
        <v>-7.7124265881057044E-2</v>
      </c>
      <c r="K298" s="48">
        <f>('Sheet1 (2)'!K298-'Sheet1 (2)'!K$526)/'Sheet1 (2)'!K$527</f>
        <v>1.4635795592218244</v>
      </c>
    </row>
    <row r="299" spans="1:11" ht="15.75" customHeight="1" x14ac:dyDescent="0.2">
      <c r="A299" s="49">
        <v>18</v>
      </c>
      <c r="B299" s="48">
        <f>('Sheet1 (2)'!B299-'Sheet1 (2)'!B$526)/'Sheet1 (2)'!B$527</f>
        <v>1.1794716518179513E-2</v>
      </c>
      <c r="C299" s="48">
        <f>('Sheet1 (2)'!C299-'Sheet1 (2)'!C$526)/'Sheet1 (2)'!C$527</f>
        <v>0.79961550493113143</v>
      </c>
      <c r="D299" s="48">
        <f>('Sheet1 (2)'!D299-'Sheet1 (2)'!D$526)/'Sheet1 (2)'!D$527</f>
        <v>-0.4704097020702403</v>
      </c>
      <c r="E299" s="48">
        <f>('Sheet1 (2)'!E299-'Sheet1 (2)'!E$526)/'Sheet1 (2)'!E$527</f>
        <v>0.51341236367580811</v>
      </c>
      <c r="F299" s="48">
        <f>('Sheet1 (2)'!F299-'Sheet1 (2)'!F$526)/'Sheet1 (2)'!F$527</f>
        <v>1.2684811135846812</v>
      </c>
      <c r="G299" s="48">
        <f>('Sheet1 (2)'!G299-'Sheet1 (2)'!G$526)/'Sheet1 (2)'!G$527</f>
        <v>-0.50144115274505707</v>
      </c>
      <c r="H299" s="48">
        <f>('Sheet1 (2)'!H299-'Sheet1 (2)'!H$526)/'Sheet1 (2)'!H$527</f>
        <v>0.13381268832549179</v>
      </c>
      <c r="I299" s="48">
        <f>('Sheet1 (2)'!I299-'Sheet1 (2)'!I$526)/'Sheet1 (2)'!I$527</f>
        <v>0.62775469249468163</v>
      </c>
      <c r="J299" s="48">
        <f>('Sheet1 (2)'!J299-'Sheet1 (2)'!J$526)/'Sheet1 (2)'!J$527</f>
        <v>-0.83945425120312078</v>
      </c>
      <c r="K299" s="48">
        <f>('Sheet1 (2)'!K299-'Sheet1 (2)'!K$526)/'Sheet1 (2)'!K$527</f>
        <v>1.5728669962908013</v>
      </c>
    </row>
    <row r="300" spans="1:11" ht="15.75" customHeight="1" x14ac:dyDescent="0.2">
      <c r="A300" s="50">
        <v>18</v>
      </c>
      <c r="B300" s="48">
        <f>('Sheet1 (2)'!B300-'Sheet1 (2)'!B$526)/'Sheet1 (2)'!B$527</f>
        <v>1.1794716518179513E-2</v>
      </c>
      <c r="C300" s="48">
        <f>('Sheet1 (2)'!C300-'Sheet1 (2)'!C$526)/'Sheet1 (2)'!C$527</f>
        <v>0.74695016380716261</v>
      </c>
      <c r="D300" s="48">
        <f>('Sheet1 (2)'!D300-'Sheet1 (2)'!D$526)/'Sheet1 (2)'!D$527</f>
        <v>-0.4704097020702403</v>
      </c>
      <c r="E300" s="48">
        <f>('Sheet1 (2)'!E300-'Sheet1 (2)'!E$526)/'Sheet1 (2)'!E$527</f>
        <v>-0.34359910873997757</v>
      </c>
      <c r="F300" s="48">
        <f>('Sheet1 (2)'!F300-'Sheet1 (2)'!F$526)/'Sheet1 (2)'!F$527</f>
        <v>3.5300958634082259E-2</v>
      </c>
      <c r="G300" s="48">
        <f>('Sheet1 (2)'!G300-'Sheet1 (2)'!G$526)/'Sheet1 (2)'!G$527</f>
        <v>-0.50144115274505707</v>
      </c>
      <c r="H300" s="48">
        <f>('Sheet1 (2)'!H300-'Sheet1 (2)'!H$526)/'Sheet1 (2)'!H$527</f>
        <v>5.7981259427490058E-2</v>
      </c>
      <c r="I300" s="48">
        <f>('Sheet1 (2)'!I300-'Sheet1 (2)'!I$526)/'Sheet1 (2)'!I$527</f>
        <v>-0.44854843702032943</v>
      </c>
      <c r="J300" s="48">
        <f>('Sheet1 (2)'!J300-'Sheet1 (2)'!J$526)/'Sheet1 (2)'!J$527</f>
        <v>-0.83945425120312078</v>
      </c>
      <c r="K300" s="48">
        <f>('Sheet1 (2)'!K300-'Sheet1 (2)'!K$526)/'Sheet1 (2)'!K$527</f>
        <v>-0.42874838758797951</v>
      </c>
    </row>
    <row r="301" spans="1:11" ht="15.75" customHeight="1" x14ac:dyDescent="0.2">
      <c r="A301" s="49">
        <v>18</v>
      </c>
      <c r="B301" s="48">
        <f>('Sheet1 (2)'!B301-'Sheet1 (2)'!B$526)/'Sheet1 (2)'!B$527</f>
        <v>1.1794716518179513E-2</v>
      </c>
      <c r="C301" s="48">
        <f>('Sheet1 (2)'!C301-'Sheet1 (2)'!C$526)/'Sheet1 (2)'!C$527</f>
        <v>1.1941976246555834</v>
      </c>
      <c r="D301" s="48">
        <f>('Sheet1 (2)'!D301-'Sheet1 (2)'!D$526)/'Sheet1 (2)'!D$527</f>
        <v>-0.4704097020702403</v>
      </c>
      <c r="E301" s="48">
        <f>('Sheet1 (2)'!E301-'Sheet1 (2)'!E$526)/'Sheet1 (2)'!E$527</f>
        <v>0.49732903845620885</v>
      </c>
      <c r="F301" s="48">
        <f>('Sheet1 (2)'!F301-'Sheet1 (2)'!F$526)/'Sheet1 (2)'!F$527</f>
        <v>3.5300958634082259E-2</v>
      </c>
      <c r="G301" s="48">
        <f>('Sheet1 (2)'!G301-'Sheet1 (2)'!G$526)/'Sheet1 (2)'!G$527</f>
        <v>-0.50144115274505707</v>
      </c>
      <c r="H301" s="48">
        <f>('Sheet1 (2)'!H301-'Sheet1 (2)'!H$526)/'Sheet1 (2)'!H$527</f>
        <v>0.94240607035491186</v>
      </c>
      <c r="I301" s="48">
        <f>('Sheet1 (2)'!I301-'Sheet1 (2)'!I$526)/'Sheet1 (2)'!I$527</f>
        <v>0.6472839564010171</v>
      </c>
      <c r="J301" s="48">
        <f>('Sheet1 (2)'!J301-'Sheet1 (2)'!J$526)/'Sheet1 (2)'!J$527</f>
        <v>-0.83945425120312078</v>
      </c>
      <c r="K301" s="48">
        <f>('Sheet1 (2)'!K301-'Sheet1 (2)'!K$526)/'Sheet1 (2)'!K$527</f>
        <v>0.943938675576242</v>
      </c>
    </row>
    <row r="302" spans="1:11" ht="15.75" customHeight="1" x14ac:dyDescent="0.2">
      <c r="A302" s="50">
        <v>18</v>
      </c>
      <c r="B302" s="48">
        <f>('Sheet1 (2)'!B302-'Sheet1 (2)'!B$526)/'Sheet1 (2)'!B$527</f>
        <v>1.1794716518179513E-2</v>
      </c>
      <c r="C302" s="48">
        <f>('Sheet1 (2)'!C302-'Sheet1 (2)'!C$526)/'Sheet1 (2)'!C$527</f>
        <v>1.1764694625614156</v>
      </c>
      <c r="D302" s="48">
        <f>('Sheet1 (2)'!D302-'Sheet1 (2)'!D$526)/'Sheet1 (2)'!D$527</f>
        <v>-0.4704097020702403</v>
      </c>
      <c r="E302" s="48">
        <f>('Sheet1 (2)'!E302-'Sheet1 (2)'!E$526)/'Sheet1 (2)'!E$527</f>
        <v>-0.78474174333469826</v>
      </c>
      <c r="F302" s="48">
        <f>('Sheet1 (2)'!F302-'Sheet1 (2)'!F$526)/'Sheet1 (2)'!F$527</f>
        <v>-1.1978791963165167</v>
      </c>
      <c r="G302" s="48">
        <f>('Sheet1 (2)'!G302-'Sheet1 (2)'!G$526)/'Sheet1 (2)'!G$527</f>
        <v>-0.50144115274505707</v>
      </c>
      <c r="H302" s="48">
        <f>('Sheet1 (2)'!H302-'Sheet1 (2)'!H$526)/'Sheet1 (2)'!H$527</f>
        <v>-0.52204187685071812</v>
      </c>
      <c r="I302" s="48">
        <f>('Sheet1 (2)'!I302-'Sheet1 (2)'!I$526)/'Sheet1 (2)'!I$527</f>
        <v>5.2424405826251706E-2</v>
      </c>
      <c r="J302" s="48">
        <f>('Sheet1 (2)'!J302-'Sheet1 (2)'!J$526)/'Sheet1 (2)'!J$527</f>
        <v>-0.83945425120312078</v>
      </c>
      <c r="K302" s="48">
        <f>('Sheet1 (2)'!K302-'Sheet1 (2)'!K$526)/'Sheet1 (2)'!K$527</f>
        <v>0.2283025287788466</v>
      </c>
    </row>
    <row r="303" spans="1:11" ht="15.75" customHeight="1" x14ac:dyDescent="0.2">
      <c r="A303" s="51">
        <v>18</v>
      </c>
      <c r="B303" s="48">
        <f>('Sheet1 (2)'!B303-'Sheet1 (2)'!B$526)/'Sheet1 (2)'!B$527</f>
        <v>1.1794716518179513E-2</v>
      </c>
      <c r="C303" s="48">
        <f>('Sheet1 (2)'!C303-'Sheet1 (2)'!C$526)/'Sheet1 (2)'!C$527</f>
        <v>0.22655674916690829</v>
      </c>
      <c r="D303" s="48">
        <f>('Sheet1 (2)'!D303-'Sheet1 (2)'!D$526)/'Sheet1 (2)'!D$527</f>
        <v>-0.4704097020702403</v>
      </c>
      <c r="E303" s="48">
        <f>('Sheet1 (2)'!E303-'Sheet1 (2)'!E$526)/'Sheet1 (2)'!E$527</f>
        <v>-1.0236940037401721</v>
      </c>
      <c r="F303" s="48">
        <f>('Sheet1 (2)'!F303-'Sheet1 (2)'!F$526)/'Sheet1 (2)'!F$527</f>
        <v>-1.1978791963165167</v>
      </c>
      <c r="G303" s="48">
        <f>('Sheet1 (2)'!G303-'Sheet1 (2)'!G$526)/'Sheet1 (2)'!G$527</f>
        <v>-0.50144115274505707</v>
      </c>
      <c r="H303" s="48">
        <f>('Sheet1 (2)'!H303-'Sheet1 (2)'!H$526)/'Sheet1 (2)'!H$527</f>
        <v>6.5526506903969717E-2</v>
      </c>
      <c r="I303" s="48">
        <f>('Sheet1 (2)'!I303-'Sheet1 (2)'!I$526)/'Sheet1 (2)'!I$527</f>
        <v>6.8212338051308788E-2</v>
      </c>
      <c r="J303" s="48">
        <f>('Sheet1 (2)'!J303-'Sheet1 (2)'!J$526)/'Sheet1 (2)'!J$527</f>
        <v>-0.83945425120312078</v>
      </c>
      <c r="K303" s="48">
        <f>('Sheet1 (2)'!K303-'Sheet1 (2)'!K$526)/'Sheet1 (2)'!K$527</f>
        <v>-0.16730133320197302</v>
      </c>
    </row>
    <row r="304" spans="1:11" ht="15.75" customHeight="1" x14ac:dyDescent="0.2">
      <c r="A304" s="48">
        <v>18</v>
      </c>
      <c r="B304" s="48">
        <f>('Sheet1 (2)'!B304-'Sheet1 (2)'!B$526)/'Sheet1 (2)'!B$527</f>
        <v>1.1794716518179513E-2</v>
      </c>
      <c r="C304" s="48">
        <f>('Sheet1 (2)'!C304-'Sheet1 (2)'!C$526)/'Sheet1 (2)'!C$527</f>
        <v>-0.17840507982765436</v>
      </c>
      <c r="D304" s="48">
        <f>('Sheet1 (2)'!D304-'Sheet1 (2)'!D$526)/'Sheet1 (2)'!D$527</f>
        <v>-0.4704097020702403</v>
      </c>
      <c r="E304" s="48">
        <f>('Sheet1 (2)'!E304-'Sheet1 (2)'!E$526)/'Sheet1 (2)'!E$527</f>
        <v>-6.0992108452734499E-2</v>
      </c>
      <c r="F304" s="48">
        <f>('Sheet1 (2)'!F304-'Sheet1 (2)'!F$526)/'Sheet1 (2)'!F$527</f>
        <v>1.2684811135846812</v>
      </c>
      <c r="G304" s="48">
        <f>('Sheet1 (2)'!G304-'Sheet1 (2)'!G$526)/'Sheet1 (2)'!G$527</f>
        <v>-0.50144115274505707</v>
      </c>
      <c r="H304" s="48">
        <f>('Sheet1 (2)'!H304-'Sheet1 (2)'!H$526)/'Sheet1 (2)'!H$527</f>
        <v>-6.4857139330070507E-2</v>
      </c>
      <c r="I304" s="48">
        <f>('Sheet1 (2)'!I304-'Sheet1 (2)'!I$526)/'Sheet1 (2)'!I$527</f>
        <v>0.67118029463389406</v>
      </c>
      <c r="J304" s="48">
        <f>('Sheet1 (2)'!J304-'Sheet1 (2)'!J$526)/'Sheet1 (2)'!J$527</f>
        <v>-0.81068657292225177</v>
      </c>
      <c r="K304" s="48">
        <f>('Sheet1 (2)'!K304-'Sheet1 (2)'!K$526)/'Sheet1 (2)'!K$527</f>
        <v>-0.16969085050720784</v>
      </c>
    </row>
    <row r="305" spans="1:11" ht="15.75" customHeight="1" x14ac:dyDescent="0.2">
      <c r="A305" s="49">
        <v>18</v>
      </c>
      <c r="B305" s="48">
        <f>('Sheet1 (2)'!B305-'Sheet1 (2)'!B$526)/'Sheet1 (2)'!B$527</f>
        <v>1.1794716518179513E-2</v>
      </c>
      <c r="C305" s="48">
        <f>('Sheet1 (2)'!C305-'Sheet1 (2)'!C$526)/'Sheet1 (2)'!C$527</f>
        <v>-0.49062617109223794</v>
      </c>
      <c r="D305" s="48">
        <f>('Sheet1 (2)'!D305-'Sheet1 (2)'!D$526)/'Sheet1 (2)'!D$527</f>
        <v>-0.4704097020702403</v>
      </c>
      <c r="E305" s="48">
        <f>('Sheet1 (2)'!E305-'Sheet1 (2)'!E$526)/'Sheet1 (2)'!E$527</f>
        <v>0.51341236367580811</v>
      </c>
      <c r="F305" s="48">
        <f>('Sheet1 (2)'!F305-'Sheet1 (2)'!F$526)/'Sheet1 (2)'!F$527</f>
        <v>1.2684811135846812</v>
      </c>
      <c r="G305" s="48">
        <f>('Sheet1 (2)'!G305-'Sheet1 (2)'!G$526)/'Sheet1 (2)'!G$527</f>
        <v>-0.12016834732751674</v>
      </c>
      <c r="H305" s="48">
        <f>('Sheet1 (2)'!H305-'Sheet1 (2)'!H$526)/'Sheet1 (2)'!H$527</f>
        <v>-0.52542244616391232</v>
      </c>
      <c r="I305" s="48">
        <f>('Sheet1 (2)'!I305-'Sheet1 (2)'!I$526)/'Sheet1 (2)'!I$527</f>
        <v>-1.366052769761062</v>
      </c>
      <c r="J305" s="48">
        <f>('Sheet1 (2)'!J305-'Sheet1 (2)'!J$526)/'Sheet1 (2)'!J$527</f>
        <v>-0.71226977098409761</v>
      </c>
      <c r="K305" s="48">
        <f>('Sheet1 (2)'!K305-'Sheet1 (2)'!K$526)/'Sheet1 (2)'!K$527</f>
        <v>0.14261290787395875</v>
      </c>
    </row>
    <row r="306" spans="1:11" ht="15.75" customHeight="1" x14ac:dyDescent="0.2">
      <c r="A306" s="50">
        <v>18</v>
      </c>
      <c r="B306" s="48">
        <f>('Sheet1 (2)'!B306-'Sheet1 (2)'!B$526)/'Sheet1 (2)'!B$527</f>
        <v>1.1794716518179513E-2</v>
      </c>
      <c r="C306" s="48">
        <f>('Sheet1 (2)'!C306-'Sheet1 (2)'!C$526)/'Sheet1 (2)'!C$527</f>
        <v>-0.35485800116343647</v>
      </c>
      <c r="D306" s="48">
        <f>('Sheet1 (2)'!D306-'Sheet1 (2)'!D$526)/'Sheet1 (2)'!D$527</f>
        <v>-0.4704097020702403</v>
      </c>
      <c r="E306" s="48">
        <f>('Sheet1 (2)'!E306-'Sheet1 (2)'!E$526)/'Sheet1 (2)'!E$527</f>
        <v>-0.34359910873997757</v>
      </c>
      <c r="F306" s="48">
        <f>('Sheet1 (2)'!F306-'Sheet1 (2)'!F$526)/'Sheet1 (2)'!F$527</f>
        <v>3.5300958634082259E-2</v>
      </c>
      <c r="G306" s="48">
        <f>('Sheet1 (2)'!G306-'Sheet1 (2)'!G$526)/'Sheet1 (2)'!G$527</f>
        <v>5.1996886563036179E-2</v>
      </c>
      <c r="H306" s="48">
        <f>('Sheet1 (2)'!H306-'Sheet1 (2)'!H$526)/'Sheet1 (2)'!H$527</f>
        <v>-0.30944774047400692</v>
      </c>
      <c r="I306" s="48">
        <f>('Sheet1 (2)'!I306-'Sheet1 (2)'!I$526)/'Sheet1 (2)'!I$527</f>
        <v>-0.18374696125385748</v>
      </c>
      <c r="J306" s="48">
        <f>('Sheet1 (2)'!J306-'Sheet1 (2)'!J$526)/'Sheet1 (2)'!J$527</f>
        <v>0.32246742397988482</v>
      </c>
      <c r="K306" s="48">
        <f>('Sheet1 (2)'!K306-'Sheet1 (2)'!K$526)/'Sheet1 (2)'!K$527</f>
        <v>0.5576871650909957</v>
      </c>
    </row>
    <row r="307" spans="1:11" ht="15.75" customHeight="1" x14ac:dyDescent="0.2">
      <c r="A307" s="49">
        <v>18</v>
      </c>
      <c r="B307" s="48">
        <f>('Sheet1 (2)'!B307-'Sheet1 (2)'!B$526)/'Sheet1 (2)'!B$527</f>
        <v>1.1794716518179513E-2</v>
      </c>
      <c r="C307" s="48">
        <f>('Sheet1 (2)'!C307-'Sheet1 (2)'!C$526)/'Sheet1 (2)'!C$527</f>
        <v>-0.23320816793063576</v>
      </c>
      <c r="D307" s="48">
        <f>('Sheet1 (2)'!D307-'Sheet1 (2)'!D$526)/'Sheet1 (2)'!D$527</f>
        <v>-0.4704097020702403</v>
      </c>
      <c r="E307" s="48">
        <f>('Sheet1 (2)'!E307-'Sheet1 (2)'!E$526)/'Sheet1 (2)'!E$527</f>
        <v>0.49732903845620885</v>
      </c>
      <c r="F307" s="48">
        <f>('Sheet1 (2)'!F307-'Sheet1 (2)'!F$526)/'Sheet1 (2)'!F$527</f>
        <v>3.5300958634082259E-2</v>
      </c>
      <c r="G307" s="48">
        <f>('Sheet1 (2)'!G307-'Sheet1 (2)'!G$526)/'Sheet1 (2)'!G$527</f>
        <v>1.9813627465187063</v>
      </c>
      <c r="H307" s="48">
        <f>('Sheet1 (2)'!H307-'Sheet1 (2)'!H$526)/'Sheet1 (2)'!H$527</f>
        <v>-7.7207157368125764E-2</v>
      </c>
      <c r="I307" s="48">
        <f>('Sheet1 (2)'!I307-'Sheet1 (2)'!I$526)/'Sheet1 (2)'!I$527</f>
        <v>0.3435305087479793</v>
      </c>
      <c r="J307" s="48">
        <f>('Sheet1 (2)'!J307-'Sheet1 (2)'!J$526)/'Sheet1 (2)'!J$527</f>
        <v>0.77125439881057745</v>
      </c>
      <c r="K307" s="48">
        <f>('Sheet1 (2)'!K307-'Sheet1 (2)'!K$526)/'Sheet1 (2)'!K$527</f>
        <v>-0.37861922188984354</v>
      </c>
    </row>
    <row r="308" spans="1:11" ht="15.75" customHeight="1" x14ac:dyDescent="0.2">
      <c r="A308" s="50">
        <v>18</v>
      </c>
      <c r="B308" s="48">
        <f>('Sheet1 (2)'!B308-'Sheet1 (2)'!B$526)/'Sheet1 (2)'!B$527</f>
        <v>1.1794716518179513E-2</v>
      </c>
      <c r="C308" s="48">
        <f>('Sheet1 (2)'!C308-'Sheet1 (2)'!C$526)/'Sheet1 (2)'!C$527</f>
        <v>-0.89734831465572062</v>
      </c>
      <c r="D308" s="48">
        <f>('Sheet1 (2)'!D308-'Sheet1 (2)'!D$526)/'Sheet1 (2)'!D$527</f>
        <v>-0.4704097020702403</v>
      </c>
      <c r="E308" s="48">
        <f>('Sheet1 (2)'!E308-'Sheet1 (2)'!E$526)/'Sheet1 (2)'!E$527</f>
        <v>-0.78474174333469826</v>
      </c>
      <c r="F308" s="48">
        <f>('Sheet1 (2)'!F308-'Sheet1 (2)'!F$526)/'Sheet1 (2)'!F$527</f>
        <v>-1.1978791963165167</v>
      </c>
      <c r="G308" s="48">
        <f>('Sheet1 (2)'!G308-'Sheet1 (2)'!G$526)/'Sheet1 (2)'!G$527</f>
        <v>1.2487892209358273</v>
      </c>
      <c r="H308" s="48">
        <f>('Sheet1 (2)'!H308-'Sheet1 (2)'!H$526)/'Sheet1 (2)'!H$527</f>
        <v>-0.20010489784439017</v>
      </c>
      <c r="I308" s="48">
        <f>('Sheet1 (2)'!I308-'Sheet1 (2)'!I$526)/'Sheet1 (2)'!I$527</f>
        <v>-1.1121784323527701</v>
      </c>
      <c r="J308" s="48">
        <f>('Sheet1 (2)'!J308-'Sheet1 (2)'!J$526)/'Sheet1 (2)'!J$527</f>
        <v>2.1684001631917922</v>
      </c>
      <c r="K308" s="48">
        <f>('Sheet1 (2)'!K308-'Sheet1 (2)'!K$526)/'Sheet1 (2)'!K$527</f>
        <v>0.60269084439287202</v>
      </c>
    </row>
    <row r="309" spans="1:11" ht="15.75" customHeight="1" x14ac:dyDescent="0.2">
      <c r="A309" s="51">
        <v>18</v>
      </c>
      <c r="B309" s="48">
        <f>('Sheet1 (2)'!B309-'Sheet1 (2)'!B$526)/'Sheet1 (2)'!B$527</f>
        <v>1.1794716518179513E-2</v>
      </c>
      <c r="C309" s="48">
        <f>('Sheet1 (2)'!C309-'Sheet1 (2)'!C$526)/'Sheet1 (2)'!C$527</f>
        <v>-1.0178293712327942</v>
      </c>
      <c r="D309" s="48">
        <f>('Sheet1 (2)'!D309-'Sheet1 (2)'!D$526)/'Sheet1 (2)'!D$527</f>
        <v>-0.4704097020702403</v>
      </c>
      <c r="E309" s="48">
        <f>('Sheet1 (2)'!E309-'Sheet1 (2)'!E$526)/'Sheet1 (2)'!E$527</f>
        <v>-1.0236940037401721</v>
      </c>
      <c r="F309" s="48">
        <f>('Sheet1 (2)'!F309-'Sheet1 (2)'!F$526)/'Sheet1 (2)'!F$527</f>
        <v>-1.1978791963165167</v>
      </c>
      <c r="G309" s="48">
        <f>('Sheet1 (2)'!G309-'Sheet1 (2)'!G$526)/'Sheet1 (2)'!G$527</f>
        <v>4.4321034848149985</v>
      </c>
      <c r="H309" s="48">
        <f>('Sheet1 (2)'!H309-'Sheet1 (2)'!H$526)/'Sheet1 (2)'!H$527</f>
        <v>-0.58054569740694206</v>
      </c>
      <c r="I309" s="48">
        <f>('Sheet1 (2)'!I309-'Sheet1 (2)'!I$526)/'Sheet1 (2)'!I$527</f>
        <v>0.60771171028182103</v>
      </c>
      <c r="J309" s="48">
        <f>('Sheet1 (2)'!J309-'Sheet1 (2)'!J$526)/'Sheet1 (2)'!J$527</f>
        <v>1.8021260536060795</v>
      </c>
      <c r="K309" s="48">
        <f>('Sheet1 (2)'!K309-'Sheet1 (2)'!K$526)/'Sheet1 (2)'!K$527</f>
        <v>-0.28613182181918628</v>
      </c>
    </row>
    <row r="310" spans="1:11" ht="15.75" customHeight="1" x14ac:dyDescent="0.2">
      <c r="A310" s="48">
        <v>19</v>
      </c>
      <c r="B310" s="48">
        <f>('Sheet1 (2)'!B310-'Sheet1 (2)'!B$526)/'Sheet1 (2)'!B$527</f>
        <v>-1.2242915745870349</v>
      </c>
      <c r="C310" s="48">
        <f>('Sheet1 (2)'!C310-'Sheet1 (2)'!C$526)/'Sheet1 (2)'!C$527</f>
        <v>7.3395515808670958E-2</v>
      </c>
      <c r="D310" s="48">
        <f>('Sheet1 (2)'!D310-'Sheet1 (2)'!D$526)/'Sheet1 (2)'!D$527</f>
        <v>-0.4704097020702403</v>
      </c>
      <c r="E310" s="48">
        <f>('Sheet1 (2)'!E310-'Sheet1 (2)'!E$526)/'Sheet1 (2)'!E$527</f>
        <v>0.38244814403050031</v>
      </c>
      <c r="F310" s="48">
        <f>('Sheet1 (2)'!F310-'Sheet1 (2)'!F$526)/'Sheet1 (2)'!F$527</f>
        <v>1.2684811135846812</v>
      </c>
      <c r="G310" s="48">
        <f>('Sheet1 (2)'!G310-'Sheet1 (2)'!G$526)/'Sheet1 (2)'!G$527</f>
        <v>-0.27072579882694764</v>
      </c>
      <c r="H310" s="48">
        <f>('Sheet1 (2)'!H310-'Sheet1 (2)'!H$526)/'Sheet1 (2)'!H$527</f>
        <v>0.12370655071439417</v>
      </c>
      <c r="I310" s="48">
        <f>('Sheet1 (2)'!I310-'Sheet1 (2)'!I$526)/'Sheet1 (2)'!I$527</f>
        <v>0.77804620161986293</v>
      </c>
      <c r="J310" s="48">
        <f>('Sheet1 (2)'!J310-'Sheet1 (2)'!J$526)/'Sheet1 (2)'!J$527</f>
        <v>2.3545311460070311</v>
      </c>
      <c r="K310" s="48">
        <f>('Sheet1 (2)'!K310-'Sheet1 (2)'!K$526)/'Sheet1 (2)'!K$527</f>
        <v>1.6351744492365918</v>
      </c>
    </row>
    <row r="311" spans="1:11" ht="15.75" customHeight="1" x14ac:dyDescent="0.2">
      <c r="A311" s="49">
        <v>19</v>
      </c>
      <c r="B311" s="48">
        <f>('Sheet1 (2)'!B311-'Sheet1 (2)'!B$526)/'Sheet1 (2)'!B$527</f>
        <v>-1.2242915745870349</v>
      </c>
      <c r="C311" s="48">
        <f>('Sheet1 (2)'!C311-'Sheet1 (2)'!C$526)/'Sheet1 (2)'!C$527</f>
        <v>-0.14193439511710246</v>
      </c>
      <c r="D311" s="48">
        <f>('Sheet1 (2)'!D311-'Sheet1 (2)'!D$526)/'Sheet1 (2)'!D$527</f>
        <v>-0.4704097020702403</v>
      </c>
      <c r="E311" s="48">
        <f>('Sheet1 (2)'!E311-'Sheet1 (2)'!E$526)/'Sheet1 (2)'!E$527</f>
        <v>1.0970073073584072</v>
      </c>
      <c r="F311" s="48">
        <f>('Sheet1 (2)'!F311-'Sheet1 (2)'!F$526)/'Sheet1 (2)'!F$527</f>
        <v>1.2684811135846812</v>
      </c>
      <c r="G311" s="48">
        <f>('Sheet1 (2)'!G311-'Sheet1 (2)'!G$526)/'Sheet1 (2)'!G$527</f>
        <v>-0.27909010168802711</v>
      </c>
      <c r="H311" s="48">
        <f>('Sheet1 (2)'!H311-'Sheet1 (2)'!H$526)/'Sheet1 (2)'!H$527</f>
        <v>0.61077921333723473</v>
      </c>
      <c r="I311" s="48">
        <f>('Sheet1 (2)'!I311-'Sheet1 (2)'!I$526)/'Sheet1 (2)'!I$527</f>
        <v>-0.70126003366306733</v>
      </c>
      <c r="J311" s="48">
        <f>('Sheet1 (2)'!J311-'Sheet1 (2)'!J$526)/'Sheet1 (2)'!J$527</f>
        <v>0.69129070059562203</v>
      </c>
      <c r="K311" s="48">
        <f>('Sheet1 (2)'!K311-'Sheet1 (2)'!K$526)/'Sheet1 (2)'!K$527</f>
        <v>1.7336502421175788</v>
      </c>
    </row>
    <row r="312" spans="1:11" ht="15.75" customHeight="1" x14ac:dyDescent="0.2">
      <c r="A312" s="50">
        <v>19</v>
      </c>
      <c r="B312" s="48">
        <f>('Sheet1 (2)'!B312-'Sheet1 (2)'!B$526)/'Sheet1 (2)'!B$527</f>
        <v>-1.2242915745870349</v>
      </c>
      <c r="C312" s="48">
        <f>('Sheet1 (2)'!C312-'Sheet1 (2)'!C$526)/'Sheet1 (2)'!C$527</f>
        <v>1.0877601940539465</v>
      </c>
      <c r="D312" s="48">
        <f>('Sheet1 (2)'!D312-'Sheet1 (2)'!D$526)/'Sheet1 (2)'!D$527</f>
        <v>1.4257032508898051</v>
      </c>
      <c r="E312" s="48">
        <f>('Sheet1 (2)'!E312-'Sheet1 (2)'!E$526)/'Sheet1 (2)'!E$527</f>
        <v>0.19863871294936675</v>
      </c>
      <c r="F312" s="48">
        <f>('Sheet1 (2)'!F312-'Sheet1 (2)'!F$526)/'Sheet1 (2)'!F$527</f>
        <v>3.5300958634082259E-2</v>
      </c>
      <c r="G312" s="48">
        <f>('Sheet1 (2)'!G312-'Sheet1 (2)'!G$526)/'Sheet1 (2)'!G$527</f>
        <v>-0.48262147130762811</v>
      </c>
      <c r="H312" s="48">
        <f>('Sheet1 (2)'!H312-'Sheet1 (2)'!H$526)/'Sheet1 (2)'!H$527</f>
        <v>0.18304688128749191</v>
      </c>
      <c r="I312" s="48">
        <f>('Sheet1 (2)'!I312-'Sheet1 (2)'!I$526)/'Sheet1 (2)'!I$527</f>
        <v>-0.21114152116650406</v>
      </c>
      <c r="J312" s="48">
        <f>('Sheet1 (2)'!J312-'Sheet1 (2)'!J$526)/'Sheet1 (2)'!J$527</f>
        <v>-0.19801412732697415</v>
      </c>
      <c r="K312" s="48">
        <f>('Sheet1 (2)'!K312-'Sheet1 (2)'!K$526)/'Sheet1 (2)'!K$527</f>
        <v>0.6505979868755144</v>
      </c>
    </row>
    <row r="313" spans="1:11" ht="15.75" customHeight="1" x14ac:dyDescent="0.2">
      <c r="A313" s="49">
        <v>19</v>
      </c>
      <c r="B313" s="48">
        <f>('Sheet1 (2)'!B313-'Sheet1 (2)'!B$526)/'Sheet1 (2)'!B$527</f>
        <v>-1.2242915745870349</v>
      </c>
      <c r="C313" s="48">
        <f>('Sheet1 (2)'!C313-'Sheet1 (2)'!C$526)/'Sheet1 (2)'!C$527</f>
        <v>-0.89552842020908652</v>
      </c>
      <c r="D313" s="48">
        <f>('Sheet1 (2)'!D313-'Sheet1 (2)'!D$526)/'Sheet1 (2)'!D$527</f>
        <v>-0.4704097020702403</v>
      </c>
      <c r="E313" s="48">
        <f>('Sheet1 (2)'!E313-'Sheet1 (2)'!E$526)/'Sheet1 (2)'!E$527</f>
        <v>-0.38495623073323254</v>
      </c>
      <c r="F313" s="48">
        <f>('Sheet1 (2)'!F313-'Sheet1 (2)'!F$526)/'Sheet1 (2)'!F$527</f>
        <v>3.5300958634082259E-2</v>
      </c>
      <c r="G313" s="48">
        <f>('Sheet1 (2)'!G313-'Sheet1 (2)'!G$526)/'Sheet1 (2)'!G$527</f>
        <v>-0.41431299794214566</v>
      </c>
      <c r="H313" s="48">
        <f>('Sheet1 (2)'!H313-'Sheet1 (2)'!H$526)/'Sheet1 (2)'!H$527</f>
        <v>-1.3453431559099678</v>
      </c>
      <c r="I313" s="48">
        <f>('Sheet1 (2)'!I313-'Sheet1 (2)'!I$526)/'Sheet1 (2)'!I$527</f>
        <v>0.60662677721597369</v>
      </c>
      <c r="J313" s="48">
        <f>('Sheet1 (2)'!J313-'Sheet1 (2)'!J$526)/'Sheet1 (2)'!J$527</f>
        <v>0.17210835883187617</v>
      </c>
      <c r="K313" s="48">
        <f>('Sheet1 (2)'!K313-'Sheet1 (2)'!K$526)/'Sheet1 (2)'!K$527</f>
        <v>1.2790767878788687</v>
      </c>
    </row>
    <row r="314" spans="1:11" ht="15.75" customHeight="1" x14ac:dyDescent="0.2">
      <c r="A314" s="50">
        <v>19</v>
      </c>
      <c r="B314" s="48">
        <f>('Sheet1 (2)'!B314-'Sheet1 (2)'!B$526)/'Sheet1 (2)'!B$527</f>
        <v>-1.2242915745870349</v>
      </c>
      <c r="C314" s="48">
        <f>('Sheet1 (2)'!C314-'Sheet1 (2)'!C$526)/'Sheet1 (2)'!C$527</f>
        <v>-1.3264834693819754</v>
      </c>
      <c r="D314" s="48">
        <f>('Sheet1 (2)'!D314-'Sheet1 (2)'!D$526)/'Sheet1 (2)'!D$527</f>
        <v>-0.4704097020702403</v>
      </c>
      <c r="E314" s="48">
        <f>('Sheet1 (2)'!E314-'Sheet1 (2)'!E$526)/'Sheet1 (2)'!E$527</f>
        <v>-0.52281330404408277</v>
      </c>
      <c r="F314" s="48">
        <f>('Sheet1 (2)'!F314-'Sheet1 (2)'!F$526)/'Sheet1 (2)'!F$527</f>
        <v>-1.1978791963165167</v>
      </c>
      <c r="G314" s="48">
        <f>('Sheet1 (2)'!G314-'Sheet1 (2)'!G$526)/'Sheet1 (2)'!G$527</f>
        <v>0.6988363078198504</v>
      </c>
      <c r="H314" s="48">
        <f>('Sheet1 (2)'!H314-'Sheet1 (2)'!H$526)/'Sheet1 (2)'!H$527</f>
        <v>5.9546700906932482E-2</v>
      </c>
      <c r="I314" s="48">
        <f>('Sheet1 (2)'!I314-'Sheet1 (2)'!I$526)/'Sheet1 (2)'!I$527</f>
        <v>-5.0816772870219431</v>
      </c>
      <c r="J314" s="48">
        <f>('Sheet1 (2)'!J314-'Sheet1 (2)'!J$526)/'Sheet1 (2)'!J$527</f>
        <v>0.29701679705980594</v>
      </c>
      <c r="K314" s="48">
        <f>('Sheet1 (2)'!K314-'Sheet1 (2)'!K$526)/'Sheet1 (2)'!K$527</f>
        <v>0.72645096247303198</v>
      </c>
    </row>
    <row r="315" spans="1:11" ht="15.75" customHeight="1" x14ac:dyDescent="0.2">
      <c r="A315" s="51">
        <v>19</v>
      </c>
      <c r="B315" s="48">
        <f>('Sheet1 (2)'!B315-'Sheet1 (2)'!B$526)/'Sheet1 (2)'!B$527</f>
        <v>-1.2242915745870349</v>
      </c>
      <c r="C315" s="48">
        <f>('Sheet1 (2)'!C315-'Sheet1 (2)'!C$526)/'Sheet1 (2)'!C$527</f>
        <v>-0.77729998853595739</v>
      </c>
      <c r="D315" s="48">
        <f>('Sheet1 (2)'!D315-'Sheet1 (2)'!D$526)/'Sheet1 (2)'!D$527</f>
        <v>1.4257032508898051</v>
      </c>
      <c r="E315" s="48">
        <f>('Sheet1 (2)'!E315-'Sheet1 (2)'!E$526)/'Sheet1 (2)'!E$527</f>
        <v>0.69951941264545603</v>
      </c>
      <c r="F315" s="48">
        <f>('Sheet1 (2)'!F315-'Sheet1 (2)'!F$526)/'Sheet1 (2)'!F$527</f>
        <v>-1.1978791963165167</v>
      </c>
      <c r="G315" s="48">
        <f>('Sheet1 (2)'!G315-'Sheet1 (2)'!G$526)/'Sheet1 (2)'!G$527</f>
        <v>-0.28884845502595319</v>
      </c>
      <c r="H315" s="48">
        <f>('Sheet1 (2)'!H315-'Sheet1 (2)'!H$526)/'Sheet1 (2)'!H$527</f>
        <v>-0.91489984429089588</v>
      </c>
      <c r="I315" s="48">
        <f>('Sheet1 (2)'!I315-'Sheet1 (2)'!I$526)/'Sheet1 (2)'!I$527</f>
        <v>0.6768761932295928</v>
      </c>
      <c r="J315" s="48">
        <f>('Sheet1 (2)'!J315-'Sheet1 (2)'!J$526)/'Sheet1 (2)'!J$527</f>
        <v>-0.15799907039372471</v>
      </c>
      <c r="K315" s="48">
        <f>('Sheet1 (2)'!K315-'Sheet1 (2)'!K$526)/'Sheet1 (2)'!K$527</f>
        <v>0.81827298556476391</v>
      </c>
    </row>
    <row r="316" spans="1:11" ht="15.75" customHeight="1" x14ac:dyDescent="0.2">
      <c r="A316" s="48">
        <v>19</v>
      </c>
      <c r="B316" s="48">
        <f>('Sheet1 (2)'!B316-'Sheet1 (2)'!B$526)/'Sheet1 (2)'!B$527</f>
        <v>1.1794716518179513E-2</v>
      </c>
      <c r="C316" s="48">
        <f>('Sheet1 (2)'!C316-'Sheet1 (2)'!C$526)/'Sheet1 (2)'!C$527</f>
        <v>0.54710364276292056</v>
      </c>
      <c r="D316" s="48">
        <f>('Sheet1 (2)'!D316-'Sheet1 (2)'!D$526)/'Sheet1 (2)'!D$527</f>
        <v>1.4257032508898051</v>
      </c>
      <c r="E316" s="48">
        <f>('Sheet1 (2)'!E316-'Sheet1 (2)'!E$526)/'Sheet1 (2)'!E$527</f>
        <v>-0.15519444188181553</v>
      </c>
      <c r="F316" s="48">
        <f>('Sheet1 (2)'!F316-'Sheet1 (2)'!F$526)/'Sheet1 (2)'!F$527</f>
        <v>1.2684811135846812</v>
      </c>
      <c r="G316" s="48">
        <f>('Sheet1 (2)'!G316-'Sheet1 (2)'!G$526)/'Sheet1 (2)'!G$527</f>
        <v>-0.50144115274505707</v>
      </c>
      <c r="H316" s="48">
        <f>('Sheet1 (2)'!H316-'Sheet1 (2)'!H$526)/'Sheet1 (2)'!H$527</f>
        <v>2.4655986161666967</v>
      </c>
      <c r="I316" s="48">
        <f>('Sheet1 (2)'!I316-'Sheet1 (2)'!I$526)/'Sheet1 (2)'!I$527</f>
        <v>0.66089312156971891</v>
      </c>
      <c r="J316" s="48">
        <f>('Sheet1 (2)'!J316-'Sheet1 (2)'!J$526)/'Sheet1 (2)'!J$527</f>
        <v>-0.51068164997288101</v>
      </c>
      <c r="K316" s="48">
        <f>('Sheet1 (2)'!K316-'Sheet1 (2)'!K$526)/'Sheet1 (2)'!K$527</f>
        <v>1.0697978322980315</v>
      </c>
    </row>
    <row r="317" spans="1:11" ht="15.75" customHeight="1" x14ac:dyDescent="0.2">
      <c r="A317" s="49">
        <v>19</v>
      </c>
      <c r="B317" s="48">
        <f>('Sheet1 (2)'!B317-'Sheet1 (2)'!B$526)/'Sheet1 (2)'!B$527</f>
        <v>1.1794716518179513E-2</v>
      </c>
      <c r="C317" s="48">
        <f>('Sheet1 (2)'!C317-'Sheet1 (2)'!C$526)/'Sheet1 (2)'!C$527</f>
        <v>1.9886430339567462</v>
      </c>
      <c r="D317" s="48">
        <f>('Sheet1 (2)'!D317-'Sheet1 (2)'!D$526)/'Sheet1 (2)'!D$527</f>
        <v>-0.4704097020702403</v>
      </c>
      <c r="E317" s="48">
        <f>('Sheet1 (2)'!E317-'Sheet1 (2)'!E$526)/'Sheet1 (2)'!E$527</f>
        <v>-0.10005161255747538</v>
      </c>
      <c r="F317" s="48">
        <f>('Sheet1 (2)'!F317-'Sheet1 (2)'!F$526)/'Sheet1 (2)'!F$527</f>
        <v>1.2684811135846812</v>
      </c>
      <c r="G317" s="48">
        <f>('Sheet1 (2)'!G317-'Sheet1 (2)'!G$526)/'Sheet1 (2)'!G$527</f>
        <v>-0.50144115274505707</v>
      </c>
      <c r="H317" s="48">
        <f>('Sheet1 (2)'!H317-'Sheet1 (2)'!H$526)/'Sheet1 (2)'!H$527</f>
        <v>1.1810150545935929</v>
      </c>
      <c r="I317" s="48">
        <f>('Sheet1 (2)'!I317-'Sheet1 (2)'!I$526)/'Sheet1 (2)'!I$527</f>
        <v>-6.5190485934721751E-2</v>
      </c>
      <c r="J317" s="48">
        <f>('Sheet1 (2)'!J317-'Sheet1 (2)'!J$526)/'Sheet1 (2)'!J$527</f>
        <v>-0.83945425120312078</v>
      </c>
      <c r="K317" s="48">
        <f>('Sheet1 (2)'!K317-'Sheet1 (2)'!K$526)/'Sheet1 (2)'!K$527</f>
        <v>1.6135247028615147</v>
      </c>
    </row>
    <row r="318" spans="1:11" ht="15.75" customHeight="1" x14ac:dyDescent="0.2">
      <c r="A318" s="50">
        <v>19</v>
      </c>
      <c r="B318" s="48">
        <f>('Sheet1 (2)'!B318-'Sheet1 (2)'!B$526)/'Sheet1 (2)'!B$527</f>
        <v>1.1794716518179513E-2</v>
      </c>
      <c r="C318" s="48">
        <f>('Sheet1 (2)'!C318-'Sheet1 (2)'!C$526)/'Sheet1 (2)'!C$527</f>
        <v>1.752020338137499</v>
      </c>
      <c r="D318" s="48">
        <f>('Sheet1 (2)'!D318-'Sheet1 (2)'!D$526)/'Sheet1 (2)'!D$527</f>
        <v>1.4257032508898051</v>
      </c>
      <c r="E318" s="48">
        <f>('Sheet1 (2)'!E318-'Sheet1 (2)'!E$526)/'Sheet1 (2)'!E$527</f>
        <v>0.37325767247644365</v>
      </c>
      <c r="F318" s="48">
        <f>('Sheet1 (2)'!F318-'Sheet1 (2)'!F$526)/'Sheet1 (2)'!F$527</f>
        <v>3.5300958634082259E-2</v>
      </c>
      <c r="G318" s="48">
        <f>('Sheet1 (2)'!G318-'Sheet1 (2)'!G$526)/'Sheet1 (2)'!G$527</f>
        <v>-0.50144115274505707</v>
      </c>
      <c r="H318" s="48">
        <f>('Sheet1 (2)'!H318-'Sheet1 (2)'!H$526)/'Sheet1 (2)'!H$527</f>
        <v>0.92894870696261922</v>
      </c>
      <c r="I318" s="48">
        <f>('Sheet1 (2)'!I318-'Sheet1 (2)'!I$526)/'Sheet1 (2)'!I$527</f>
        <v>0.25912173907463681</v>
      </c>
      <c r="J318" s="48">
        <f>('Sheet1 (2)'!J318-'Sheet1 (2)'!J$526)/'Sheet1 (2)'!J$527</f>
        <v>-0.83945425120312078</v>
      </c>
      <c r="K318" s="48">
        <f>('Sheet1 (2)'!K318-'Sheet1 (2)'!K$526)/'Sheet1 (2)'!K$527</f>
        <v>0.66903769874939445</v>
      </c>
    </row>
    <row r="319" spans="1:11" ht="15.75" customHeight="1" x14ac:dyDescent="0.2">
      <c r="A319" s="49">
        <v>19</v>
      </c>
      <c r="B319" s="48">
        <f>('Sheet1 (2)'!B319-'Sheet1 (2)'!B$526)/'Sheet1 (2)'!B$527</f>
        <v>1.1794716518179513E-2</v>
      </c>
      <c r="C319" s="48">
        <f>('Sheet1 (2)'!C319-'Sheet1 (2)'!C$526)/'Sheet1 (2)'!C$527</f>
        <v>1.3324202823917872</v>
      </c>
      <c r="D319" s="48">
        <f>('Sheet1 (2)'!D319-'Sheet1 (2)'!D$526)/'Sheet1 (2)'!D$527</f>
        <v>3.3218162038498509</v>
      </c>
      <c r="E319" s="48">
        <f>('Sheet1 (2)'!E319-'Sheet1 (2)'!E$526)/'Sheet1 (2)'!E$527</f>
        <v>0.72249559153059761</v>
      </c>
      <c r="F319" s="48">
        <f>('Sheet1 (2)'!F319-'Sheet1 (2)'!F$526)/'Sheet1 (2)'!F$527</f>
        <v>3.5300958634082259E-2</v>
      </c>
      <c r="G319" s="48">
        <f>('Sheet1 (2)'!G319-'Sheet1 (2)'!G$526)/'Sheet1 (2)'!G$527</f>
        <v>-0.50144115274505707</v>
      </c>
      <c r="H319" s="48">
        <f>('Sheet1 (2)'!H319-'Sheet1 (2)'!H$526)/'Sheet1 (2)'!H$527</f>
        <v>0.34766161207976598</v>
      </c>
      <c r="I319" s="48">
        <f>('Sheet1 (2)'!I319-'Sheet1 (2)'!I$526)/'Sheet1 (2)'!I$527</f>
        <v>0.27153021685598794</v>
      </c>
      <c r="J319" s="48">
        <f>('Sheet1 (2)'!J319-'Sheet1 (2)'!J$526)/'Sheet1 (2)'!J$527</f>
        <v>-0.83945425120312078</v>
      </c>
      <c r="K319" s="48">
        <f>('Sheet1 (2)'!K319-'Sheet1 (2)'!K$526)/'Sheet1 (2)'!K$527</f>
        <v>0.84290920215340881</v>
      </c>
    </row>
    <row r="320" spans="1:11" ht="15.75" customHeight="1" x14ac:dyDescent="0.2">
      <c r="A320" s="50">
        <v>19</v>
      </c>
      <c r="B320" s="48">
        <f>('Sheet1 (2)'!B320-'Sheet1 (2)'!B$526)/'Sheet1 (2)'!B$527</f>
        <v>1.1794716518179513E-2</v>
      </c>
      <c r="C320" s="48">
        <f>('Sheet1 (2)'!C320-'Sheet1 (2)'!C$526)/'Sheet1 (2)'!C$527</f>
        <v>1.0215826751504404</v>
      </c>
      <c r="D320" s="48">
        <f>('Sheet1 (2)'!D320-'Sheet1 (2)'!D$526)/'Sheet1 (2)'!D$527</f>
        <v>-0.4704097020702403</v>
      </c>
      <c r="E320" s="48">
        <f>('Sheet1 (2)'!E320-'Sheet1 (2)'!E$526)/'Sheet1 (2)'!E$527</f>
        <v>-6.0992108452734499E-2</v>
      </c>
      <c r="F320" s="48">
        <f>('Sheet1 (2)'!F320-'Sheet1 (2)'!F$526)/'Sheet1 (2)'!F$527</f>
        <v>-1.1978791963165167</v>
      </c>
      <c r="G320" s="48">
        <f>('Sheet1 (2)'!G320-'Sheet1 (2)'!G$526)/'Sheet1 (2)'!G$527</f>
        <v>-0.50144115274505707</v>
      </c>
      <c r="H320" s="48">
        <f>('Sheet1 (2)'!H320-'Sheet1 (2)'!H$526)/'Sheet1 (2)'!H$527</f>
        <v>0.12835638709360456</v>
      </c>
      <c r="I320" s="48">
        <f>('Sheet1 (2)'!I320-'Sheet1 (2)'!I$526)/'Sheet1 (2)'!I$527</f>
        <v>-7.4105650985631849E-2</v>
      </c>
      <c r="J320" s="48">
        <f>('Sheet1 (2)'!J320-'Sheet1 (2)'!J$526)/'Sheet1 (2)'!J$527</f>
        <v>-0.83945425120312078</v>
      </c>
      <c r="K320" s="48">
        <f>('Sheet1 (2)'!K320-'Sheet1 (2)'!K$526)/'Sheet1 (2)'!K$527</f>
        <v>0.33840691863076483</v>
      </c>
    </row>
    <row r="321" spans="1:11" ht="15.75" customHeight="1" x14ac:dyDescent="0.2">
      <c r="A321" s="51">
        <v>19</v>
      </c>
      <c r="B321" s="48">
        <f>('Sheet1 (2)'!B321-'Sheet1 (2)'!B$526)/'Sheet1 (2)'!B$527</f>
        <v>1.1794716518179513E-2</v>
      </c>
      <c r="C321" s="48">
        <f>('Sheet1 (2)'!C321-'Sheet1 (2)'!C$526)/'Sheet1 (2)'!C$527</f>
        <v>1.5909618187148453</v>
      </c>
      <c r="D321" s="48">
        <f>('Sheet1 (2)'!D321-'Sheet1 (2)'!D$526)/'Sheet1 (2)'!D$527</f>
        <v>3.3218162038498509</v>
      </c>
      <c r="E321" s="48">
        <f>('Sheet1 (2)'!E321-'Sheet1 (2)'!E$526)/'Sheet1 (2)'!E$527</f>
        <v>0.23310298127707937</v>
      </c>
      <c r="F321" s="48">
        <f>('Sheet1 (2)'!F321-'Sheet1 (2)'!F$526)/'Sheet1 (2)'!F$527</f>
        <v>-1.1978791963165167</v>
      </c>
      <c r="G321" s="48">
        <f>('Sheet1 (2)'!G321-'Sheet1 (2)'!G$526)/'Sheet1 (2)'!G$527</f>
        <v>0.40810943980170389</v>
      </c>
      <c r="H321" s="48">
        <f>('Sheet1 (2)'!H321-'Sheet1 (2)'!H$526)/'Sheet1 (2)'!H$527</f>
        <v>1.1002504549240084</v>
      </c>
      <c r="I321" s="48">
        <f>('Sheet1 (2)'!I321-'Sheet1 (2)'!I$526)/'Sheet1 (2)'!I$527</f>
        <v>0.66260224647585186</v>
      </c>
      <c r="J321" s="48">
        <f>('Sheet1 (2)'!J321-'Sheet1 (2)'!J$526)/'Sheet1 (2)'!J$527</f>
        <v>-0.83945425120312078</v>
      </c>
      <c r="K321" s="48">
        <f>('Sheet1 (2)'!K321-'Sheet1 (2)'!K$526)/'Sheet1 (2)'!K$527</f>
        <v>0.78408713012604214</v>
      </c>
    </row>
    <row r="322" spans="1:11" ht="15.75" customHeight="1" x14ac:dyDescent="0.2">
      <c r="A322" s="48">
        <v>19</v>
      </c>
      <c r="B322" s="48">
        <f>('Sheet1 (2)'!B322-'Sheet1 (2)'!B$526)/'Sheet1 (2)'!B$527</f>
        <v>1.2478810076233939</v>
      </c>
      <c r="C322" s="48">
        <f>('Sheet1 (2)'!C322-'Sheet1 (2)'!C$526)/'Sheet1 (2)'!C$527</f>
        <v>0.10680184491765161</v>
      </c>
      <c r="D322" s="48">
        <f>('Sheet1 (2)'!D322-'Sheet1 (2)'!D$526)/'Sheet1 (2)'!D$527</f>
        <v>-0.4704097020702403</v>
      </c>
      <c r="E322" s="48">
        <f>('Sheet1 (2)'!E322-'Sheet1 (2)'!E$526)/'Sheet1 (2)'!E$527</f>
        <v>0.76615033141236677</v>
      </c>
      <c r="F322" s="48">
        <f>('Sheet1 (2)'!F322-'Sheet1 (2)'!F$526)/'Sheet1 (2)'!F$527</f>
        <v>1.2684811135846812</v>
      </c>
      <c r="G322" s="48">
        <f>('Sheet1 (2)'!G322-'Sheet1 (2)'!G$526)/'Sheet1 (2)'!G$527</f>
        <v>-0.50144115274505707</v>
      </c>
      <c r="H322" s="48">
        <f>('Sheet1 (2)'!H322-'Sheet1 (2)'!H$526)/'Sheet1 (2)'!H$527</f>
        <v>0.77872224608610097</v>
      </c>
      <c r="I322" s="48">
        <f>('Sheet1 (2)'!I322-'Sheet1 (2)'!I$526)/'Sheet1 (2)'!I$527</f>
        <v>0.65834708636929895</v>
      </c>
      <c r="J322" s="48">
        <f>('Sheet1 (2)'!J322-'Sheet1 (2)'!J$526)/'Sheet1 (2)'!J$527</f>
        <v>-0.45638250397717312</v>
      </c>
      <c r="K322" s="48">
        <f>('Sheet1 (2)'!K322-'Sheet1 (2)'!K$526)/'Sheet1 (2)'!K$527</f>
        <v>8.7495498492413129E-2</v>
      </c>
    </row>
    <row r="323" spans="1:11" ht="15.75" customHeight="1" x14ac:dyDescent="0.2">
      <c r="A323" s="49">
        <v>19</v>
      </c>
      <c r="B323" s="48">
        <f>('Sheet1 (2)'!B323-'Sheet1 (2)'!B$526)/'Sheet1 (2)'!B$527</f>
        <v>1.2478810076233939</v>
      </c>
      <c r="C323" s="48">
        <f>('Sheet1 (2)'!C323-'Sheet1 (2)'!C$526)/'Sheet1 (2)'!C$527</f>
        <v>-0.90468335589206039</v>
      </c>
      <c r="D323" s="48">
        <f>('Sheet1 (2)'!D323-'Sheet1 (2)'!D$526)/'Sheet1 (2)'!D$527</f>
        <v>1.4257032508898051</v>
      </c>
      <c r="E323" s="48">
        <f>('Sheet1 (2)'!E323-'Sheet1 (2)'!E$526)/'Sheet1 (2)'!E$527</f>
        <v>-0.16668253132438632</v>
      </c>
      <c r="F323" s="48">
        <f>('Sheet1 (2)'!F323-'Sheet1 (2)'!F$526)/'Sheet1 (2)'!F$527</f>
        <v>1.2684811135846812</v>
      </c>
      <c r="G323" s="48">
        <f>('Sheet1 (2)'!G323-'Sheet1 (2)'!G$526)/'Sheet1 (2)'!G$527</f>
        <v>0.98202770468782774</v>
      </c>
      <c r="H323" s="48">
        <f>('Sheet1 (2)'!H323-'Sheet1 (2)'!H$526)/'Sheet1 (2)'!H$527</f>
        <v>-0.56352246696842356</v>
      </c>
      <c r="I323" s="48">
        <f>('Sheet1 (2)'!I323-'Sheet1 (2)'!I$526)/'Sheet1 (2)'!I$527</f>
        <v>-1.4669437953629696</v>
      </c>
      <c r="J323" s="48">
        <f>('Sheet1 (2)'!J323-'Sheet1 (2)'!J$526)/'Sheet1 (2)'!J$527</f>
        <v>-0.1860684781808393</v>
      </c>
      <c r="K323" s="48">
        <f>('Sheet1 (2)'!K323-'Sheet1 (2)'!K$526)/'Sheet1 (2)'!K$527</f>
        <v>-0.74660207151788205</v>
      </c>
    </row>
    <row r="324" spans="1:11" ht="15.75" customHeight="1" x14ac:dyDescent="0.2">
      <c r="A324" s="50">
        <v>19</v>
      </c>
      <c r="B324" s="48">
        <f>('Sheet1 (2)'!B324-'Sheet1 (2)'!B$526)/'Sheet1 (2)'!B$527</f>
        <v>1.2478810076233939</v>
      </c>
      <c r="C324" s="48">
        <f>('Sheet1 (2)'!C324-'Sheet1 (2)'!C$526)/'Sheet1 (2)'!C$527</f>
        <v>-0.10217368789359726</v>
      </c>
      <c r="D324" s="48">
        <f>('Sheet1 (2)'!D324-'Sheet1 (2)'!D$526)/'Sheet1 (2)'!D$527</f>
        <v>-0.4704097020702403</v>
      </c>
      <c r="E324" s="48">
        <f>('Sheet1 (2)'!E324-'Sheet1 (2)'!E$526)/'Sheet1 (2)'!E$527</f>
        <v>-0.21493250698318389</v>
      </c>
      <c r="F324" s="48">
        <f>('Sheet1 (2)'!F324-'Sheet1 (2)'!F$526)/'Sheet1 (2)'!F$527</f>
        <v>3.5300958634082259E-2</v>
      </c>
      <c r="G324" s="48">
        <f>('Sheet1 (2)'!G324-'Sheet1 (2)'!G$526)/'Sheet1 (2)'!G$527</f>
        <v>0.2333031085803402</v>
      </c>
      <c r="H324" s="48">
        <f>('Sheet1 (2)'!H324-'Sheet1 (2)'!H$526)/'Sheet1 (2)'!H$527</f>
        <v>0.45012570343034186</v>
      </c>
      <c r="I324" s="48">
        <f>('Sheet1 (2)'!I324-'Sheet1 (2)'!I$526)/'Sheet1 (2)'!I$527</f>
        <v>0.13609130655795626</v>
      </c>
      <c r="J324" s="48">
        <f>('Sheet1 (2)'!J324-'Sheet1 (2)'!J$526)/'Sheet1 (2)'!J$527</f>
        <v>0.39605948389396495</v>
      </c>
      <c r="K324" s="48">
        <f>('Sheet1 (2)'!K324-'Sheet1 (2)'!K$526)/'Sheet1 (2)'!K$527</f>
        <v>0.74641572834458636</v>
      </c>
    </row>
    <row r="325" spans="1:11" ht="15.75" customHeight="1" x14ac:dyDescent="0.2">
      <c r="A325" s="49">
        <v>19</v>
      </c>
      <c r="B325" s="48">
        <f>('Sheet1 (2)'!B325-'Sheet1 (2)'!B$526)/'Sheet1 (2)'!B$527</f>
        <v>1.2478810076233939</v>
      </c>
      <c r="C325" s="48">
        <f>('Sheet1 (2)'!C325-'Sheet1 (2)'!C$526)/'Sheet1 (2)'!C$527</f>
        <v>0.14918458673055543</v>
      </c>
      <c r="D325" s="48">
        <f>('Sheet1 (2)'!D325-'Sheet1 (2)'!D$526)/'Sheet1 (2)'!D$527</f>
        <v>-0.4704097020702403</v>
      </c>
      <c r="E325" s="48">
        <f>('Sheet1 (2)'!E325-'Sheet1 (2)'!E$526)/'Sheet1 (2)'!E$527</f>
        <v>-0.27467057208455231</v>
      </c>
      <c r="F325" s="48">
        <f>('Sheet1 (2)'!F325-'Sheet1 (2)'!F$526)/'Sheet1 (2)'!F$527</f>
        <v>3.5300958634082259E-2</v>
      </c>
      <c r="G325" s="48">
        <f>('Sheet1 (2)'!G325-'Sheet1 (2)'!G$526)/'Sheet1 (2)'!G$527</f>
        <v>0.78552633247289583</v>
      </c>
      <c r="H325" s="48">
        <f>('Sheet1 (2)'!H325-'Sheet1 (2)'!H$526)/'Sheet1 (2)'!H$527</f>
        <v>0.79046982421986078</v>
      </c>
      <c r="I325" s="48">
        <f>('Sheet1 (2)'!I325-'Sheet1 (2)'!I$526)/'Sheet1 (2)'!I$527</f>
        <v>0.10677486521437941</v>
      </c>
      <c r="J325" s="48">
        <f>('Sheet1 (2)'!J325-'Sheet1 (2)'!J$526)/'Sheet1 (2)'!J$527</f>
        <v>-0.35773165882650138</v>
      </c>
      <c r="K325" s="48">
        <f>('Sheet1 (2)'!K325-'Sheet1 (2)'!K$526)/'Sheet1 (2)'!K$527</f>
        <v>-1.2450385588088824</v>
      </c>
    </row>
    <row r="326" spans="1:11" ht="15.75" customHeight="1" x14ac:dyDescent="0.2">
      <c r="A326" s="50">
        <v>19</v>
      </c>
      <c r="B326" s="48">
        <f>('Sheet1 (2)'!B326-'Sheet1 (2)'!B$526)/'Sheet1 (2)'!B$527</f>
        <v>1.2478810076233939</v>
      </c>
      <c r="C326" s="48">
        <f>('Sheet1 (2)'!C326-'Sheet1 (2)'!C$526)/'Sheet1 (2)'!C$527</f>
        <v>-0.37998906801307747</v>
      </c>
      <c r="D326" s="48">
        <f>('Sheet1 (2)'!D326-'Sheet1 (2)'!D$526)/'Sheet1 (2)'!D$527</f>
        <v>1.4257032508898051</v>
      </c>
      <c r="E326" s="48">
        <f>('Sheet1 (2)'!E326-'Sheet1 (2)'!E$526)/'Sheet1 (2)'!E$527</f>
        <v>-8.3968287337876327E-2</v>
      </c>
      <c r="F326" s="48">
        <f>('Sheet1 (2)'!F326-'Sheet1 (2)'!F$526)/'Sheet1 (2)'!F$527</f>
        <v>-1.1978791963165167</v>
      </c>
      <c r="G326" s="48">
        <f>('Sheet1 (2)'!G326-'Sheet1 (2)'!G$526)/'Sheet1 (2)'!G$527</f>
        <v>0.48883256098631878</v>
      </c>
      <c r="H326" s="48">
        <f>('Sheet1 (2)'!H326-'Sheet1 (2)'!H$526)/'Sheet1 (2)'!H$527</f>
        <v>9.2663683074485872E-2</v>
      </c>
      <c r="I326" s="48">
        <f>('Sheet1 (2)'!I326-'Sheet1 (2)'!I$526)/'Sheet1 (2)'!I$527</f>
        <v>-1.1946333453571718</v>
      </c>
      <c r="J326" s="48">
        <f>('Sheet1 (2)'!J326-'Sheet1 (2)'!J$526)/'Sheet1 (2)'!J$527</f>
        <v>0.75808857794485196</v>
      </c>
      <c r="K326" s="48">
        <f>('Sheet1 (2)'!K326-'Sheet1 (2)'!K$526)/'Sheet1 (2)'!K$527</f>
        <v>-0.298312541163258</v>
      </c>
    </row>
    <row r="327" spans="1:11" ht="15.75" customHeight="1" x14ac:dyDescent="0.2">
      <c r="A327" s="51">
        <v>19</v>
      </c>
      <c r="B327" s="48">
        <f>('Sheet1 (2)'!B327-'Sheet1 (2)'!B$526)/'Sheet1 (2)'!B$527</f>
        <v>1.2478810076233939</v>
      </c>
      <c r="C327" s="48">
        <f>('Sheet1 (2)'!C327-'Sheet1 (2)'!C$526)/'Sheet1 (2)'!C$527</f>
        <v>-0.35755618244745913</v>
      </c>
      <c r="D327" s="48">
        <f>('Sheet1 (2)'!D327-'Sheet1 (2)'!D$526)/'Sheet1 (2)'!D$527</f>
        <v>3.3218162038498509</v>
      </c>
      <c r="E327" s="48">
        <f>('Sheet1 (2)'!E327-'Sheet1 (2)'!E$526)/'Sheet1 (2)'!E$527</f>
        <v>1.3474476572064518</v>
      </c>
      <c r="F327" s="48">
        <f>('Sheet1 (2)'!F327-'Sheet1 (2)'!F$526)/'Sheet1 (2)'!F$527</f>
        <v>-1.1978791963165167</v>
      </c>
      <c r="G327" s="48">
        <f>('Sheet1 (2)'!G327-'Sheet1 (2)'!G$526)/'Sheet1 (2)'!G$527</f>
        <v>2.183559810681897</v>
      </c>
      <c r="H327" s="48">
        <f>('Sheet1 (2)'!H327-'Sheet1 (2)'!H$526)/'Sheet1 (2)'!H$527</f>
        <v>0.59411744684129264</v>
      </c>
      <c r="I327" s="48">
        <f>('Sheet1 (2)'!I327-'Sheet1 (2)'!I$526)/'Sheet1 (2)'!I$527</f>
        <v>0.56525982931959207</v>
      </c>
      <c r="J327" s="48">
        <f>('Sheet1 (2)'!J327-'Sheet1 (2)'!J$526)/'Sheet1 (2)'!J$527</f>
        <v>0.24119400485224696</v>
      </c>
      <c r="K327" s="48">
        <f>('Sheet1 (2)'!K327-'Sheet1 (2)'!K$526)/'Sheet1 (2)'!K$527</f>
        <v>-1.5652646238689967</v>
      </c>
    </row>
    <row r="328" spans="1:11" ht="15.75" customHeight="1" x14ac:dyDescent="0.2">
      <c r="A328" s="48">
        <v>20</v>
      </c>
      <c r="B328" s="48">
        <f>('Sheet1 (2)'!B328-'Sheet1 (2)'!B$526)/'Sheet1 (2)'!B$527</f>
        <v>-1.2242915745870349</v>
      </c>
      <c r="C328" s="48">
        <f>('Sheet1 (2)'!C328-'Sheet1 (2)'!C$526)/'Sheet1 (2)'!C$527</f>
        <v>-0.74709886908127487</v>
      </c>
      <c r="D328" s="48">
        <f>('Sheet1 (2)'!D328-'Sheet1 (2)'!D$526)/'Sheet1 (2)'!D$527</f>
        <v>-0.4704097020702403</v>
      </c>
      <c r="E328" s="48">
        <f>('Sheet1 (2)'!E328-'Sheet1 (2)'!E$526)/'Sheet1 (2)'!E$527</f>
        <v>0.15728159095611174</v>
      </c>
      <c r="F328" s="48">
        <f>('Sheet1 (2)'!F328-'Sheet1 (2)'!F$526)/'Sheet1 (2)'!F$527</f>
        <v>1.2684811135846812</v>
      </c>
      <c r="G328" s="48">
        <f>('Sheet1 (2)'!G328-'Sheet1 (2)'!G$526)/'Sheet1 (2)'!G$527</f>
        <v>-0.50144115274505707</v>
      </c>
      <c r="H328" s="48">
        <f>('Sheet1 (2)'!H328-'Sheet1 (2)'!H$526)/'Sheet1 (2)'!H$527</f>
        <v>-0.53130053837296609</v>
      </c>
      <c r="I328" s="48">
        <f>('Sheet1 (2)'!I328-'Sheet1 (2)'!I$526)/'Sheet1 (2)'!I$527</f>
        <v>0.68585013958853069</v>
      </c>
      <c r="J328" s="48">
        <f>('Sheet1 (2)'!J328-'Sheet1 (2)'!J$526)/'Sheet1 (2)'!J$527</f>
        <v>2.4697337096567176</v>
      </c>
      <c r="K328" s="48">
        <f>('Sheet1 (2)'!K328-'Sheet1 (2)'!K$526)/'Sheet1 (2)'!K$527</f>
        <v>1.8352921924671164</v>
      </c>
    </row>
    <row r="329" spans="1:11" ht="15.75" customHeight="1" x14ac:dyDescent="0.2">
      <c r="A329" s="49">
        <v>20</v>
      </c>
      <c r="B329" s="48">
        <f>('Sheet1 (2)'!B329-'Sheet1 (2)'!B$526)/'Sheet1 (2)'!B$527</f>
        <v>-1.2242915745870349</v>
      </c>
      <c r="C329" s="48">
        <f>('Sheet1 (2)'!C329-'Sheet1 (2)'!C$526)/'Sheet1 (2)'!C$527</f>
        <v>-0.44649459737775959</v>
      </c>
      <c r="D329" s="48">
        <f>('Sheet1 (2)'!D329-'Sheet1 (2)'!D$526)/'Sheet1 (2)'!D$527</f>
        <v>-0.4704097020702403</v>
      </c>
      <c r="E329" s="48">
        <f>('Sheet1 (2)'!E329-'Sheet1 (2)'!E$526)/'Sheet1 (2)'!E$527</f>
        <v>-1.2742132793936926E-2</v>
      </c>
      <c r="F329" s="48">
        <f>('Sheet1 (2)'!F329-'Sheet1 (2)'!F$526)/'Sheet1 (2)'!F$527</f>
        <v>1.2684811135846812</v>
      </c>
      <c r="G329" s="48">
        <f>('Sheet1 (2)'!G329-'Sheet1 (2)'!G$526)/'Sheet1 (2)'!G$527</f>
        <v>-0.41367571772415862</v>
      </c>
      <c r="H329" s="48">
        <f>('Sheet1 (2)'!H329-'Sheet1 (2)'!H$526)/'Sheet1 (2)'!H$527</f>
        <v>-0.87466546496830977</v>
      </c>
      <c r="I329" s="48">
        <f>('Sheet1 (2)'!I329-'Sheet1 (2)'!I$526)/'Sheet1 (2)'!I$527</f>
        <v>0.61966147304994024</v>
      </c>
      <c r="J329" s="48">
        <f>('Sheet1 (2)'!J329-'Sheet1 (2)'!J$526)/'Sheet1 (2)'!J$527</f>
        <v>-0.83945425120312078</v>
      </c>
      <c r="K329" s="48">
        <f>('Sheet1 (2)'!K329-'Sheet1 (2)'!K$526)/'Sheet1 (2)'!K$527</f>
        <v>2.6463383387244002</v>
      </c>
    </row>
    <row r="330" spans="1:11" ht="15.75" customHeight="1" x14ac:dyDescent="0.2">
      <c r="A330" s="50">
        <v>20</v>
      </c>
      <c r="B330" s="48">
        <f>('Sheet1 (2)'!B330-'Sheet1 (2)'!B$526)/'Sheet1 (2)'!B$527</f>
        <v>-1.2242915745870349</v>
      </c>
      <c r="C330" s="48">
        <f>('Sheet1 (2)'!C330-'Sheet1 (2)'!C$526)/'Sheet1 (2)'!C$527</f>
        <v>-2.0712970526260039</v>
      </c>
      <c r="D330" s="48">
        <f>('Sheet1 (2)'!D330-'Sheet1 (2)'!D$526)/'Sheet1 (2)'!D$527</f>
        <v>1.4257032508898051</v>
      </c>
      <c r="E330" s="48">
        <f>('Sheet1 (2)'!E330-'Sheet1 (2)'!E$526)/'Sheet1 (2)'!E$527</f>
        <v>0.36406720092238698</v>
      </c>
      <c r="F330" s="48">
        <f>('Sheet1 (2)'!F330-'Sheet1 (2)'!F$526)/'Sheet1 (2)'!F$527</f>
        <v>3.5300958634082259E-2</v>
      </c>
      <c r="G330" s="48">
        <f>('Sheet1 (2)'!G330-'Sheet1 (2)'!G$526)/'Sheet1 (2)'!G$527</f>
        <v>0.26281714867586359</v>
      </c>
      <c r="H330" s="48">
        <f>('Sheet1 (2)'!H330-'Sheet1 (2)'!H$526)/'Sheet1 (2)'!H$527</f>
        <v>-1.6261748204394477</v>
      </c>
      <c r="I330" s="48">
        <f>('Sheet1 (2)'!I330-'Sheet1 (2)'!I$526)/'Sheet1 (2)'!I$527</f>
        <v>-0.94196793336511053</v>
      </c>
      <c r="J330" s="48">
        <f>('Sheet1 (2)'!J330-'Sheet1 (2)'!J$526)/'Sheet1 (2)'!J$527</f>
        <v>-8.0466012248278443E-3</v>
      </c>
      <c r="K330" s="48">
        <f>('Sheet1 (2)'!K330-'Sheet1 (2)'!K$526)/'Sheet1 (2)'!K$527</f>
        <v>0.51792354552964492</v>
      </c>
    </row>
    <row r="331" spans="1:11" ht="15.75" customHeight="1" x14ac:dyDescent="0.2">
      <c r="A331" s="49">
        <v>20</v>
      </c>
      <c r="B331" s="48">
        <f>('Sheet1 (2)'!B331-'Sheet1 (2)'!B$526)/'Sheet1 (2)'!B$527</f>
        <v>-1.2242915745870349</v>
      </c>
      <c r="C331" s="48">
        <f>('Sheet1 (2)'!C331-'Sheet1 (2)'!C$526)/'Sheet1 (2)'!C$527</f>
        <v>-0.68736646687712399</v>
      </c>
      <c r="D331" s="48">
        <f>('Sheet1 (2)'!D331-'Sheet1 (2)'!D$526)/'Sheet1 (2)'!D$527</f>
        <v>3.3218162038498509</v>
      </c>
      <c r="E331" s="48">
        <f>('Sheet1 (2)'!E331-'Sheet1 (2)'!E$526)/'Sheet1 (2)'!E$527</f>
        <v>2.7099350650953546</v>
      </c>
      <c r="F331" s="48">
        <f>('Sheet1 (2)'!F331-'Sheet1 (2)'!F$526)/'Sheet1 (2)'!F$527</f>
        <v>3.5300958634082259E-2</v>
      </c>
      <c r="G331" s="48">
        <f>('Sheet1 (2)'!G331-'Sheet1 (2)'!G$526)/'Sheet1 (2)'!G$527</f>
        <v>-0.50144115274505707</v>
      </c>
      <c r="H331" s="48">
        <f>('Sheet1 (2)'!H331-'Sheet1 (2)'!H$526)/'Sheet1 (2)'!H$527</f>
        <v>-0.59440181520573709</v>
      </c>
      <c r="I331" s="48">
        <f>('Sheet1 (2)'!I331-'Sheet1 (2)'!I$526)/'Sheet1 (2)'!I$527</f>
        <v>0.52899206683269329</v>
      </c>
      <c r="J331" s="48">
        <f>('Sheet1 (2)'!J331-'Sheet1 (2)'!J$526)/'Sheet1 (2)'!J$527</f>
        <v>0.75005268921159518</v>
      </c>
      <c r="K331" s="48">
        <f>('Sheet1 (2)'!K331-'Sheet1 (2)'!K$526)/'Sheet1 (2)'!K$527</f>
        <v>-1.9544427547166283</v>
      </c>
    </row>
    <row r="332" spans="1:11" ht="15.75" customHeight="1" x14ac:dyDescent="0.2">
      <c r="A332" s="50">
        <v>20</v>
      </c>
      <c r="B332" s="48">
        <f>('Sheet1 (2)'!B332-'Sheet1 (2)'!B$526)/'Sheet1 (2)'!B$527</f>
        <v>-1.2242915745870349</v>
      </c>
      <c r="C332" s="48">
        <f>('Sheet1 (2)'!C332-'Sheet1 (2)'!C$526)/'Sheet1 (2)'!C$527</f>
        <v>-0.64764701059440866</v>
      </c>
      <c r="D332" s="48">
        <f>('Sheet1 (2)'!D332-'Sheet1 (2)'!D$526)/'Sheet1 (2)'!D$527</f>
        <v>-0.4704097020702403</v>
      </c>
      <c r="E332" s="48">
        <f>('Sheet1 (2)'!E332-'Sheet1 (2)'!E$526)/'Sheet1 (2)'!E$527</f>
        <v>-0.54119424715219622</v>
      </c>
      <c r="F332" s="48">
        <f>('Sheet1 (2)'!F332-'Sheet1 (2)'!F$526)/'Sheet1 (2)'!F$527</f>
        <v>-1.1978791963165167</v>
      </c>
      <c r="G332" s="48">
        <f>('Sheet1 (2)'!G332-'Sheet1 (2)'!G$526)/'Sheet1 (2)'!G$527</f>
        <v>-0.50144115274505707</v>
      </c>
      <c r="H332" s="48">
        <f>('Sheet1 (2)'!H332-'Sheet1 (2)'!H$526)/'Sheet1 (2)'!H$527</f>
        <v>-1.1378112151645454</v>
      </c>
      <c r="I332" s="48">
        <f>('Sheet1 (2)'!I332-'Sheet1 (2)'!I$526)/'Sheet1 (2)'!I$527</f>
        <v>-0.29700622380642694</v>
      </c>
      <c r="J332" s="48">
        <f>('Sheet1 (2)'!J332-'Sheet1 (2)'!J$526)/'Sheet1 (2)'!J$527</f>
        <v>-0.78743051954878895</v>
      </c>
      <c r="K332" s="48">
        <f>('Sheet1 (2)'!K332-'Sheet1 (2)'!K$526)/'Sheet1 (2)'!K$527</f>
        <v>0.8924080787803278</v>
      </c>
    </row>
    <row r="333" spans="1:11" ht="15.75" customHeight="1" x14ac:dyDescent="0.2">
      <c r="A333" s="51">
        <v>20</v>
      </c>
      <c r="B333" s="48">
        <f>('Sheet1 (2)'!B333-'Sheet1 (2)'!B$526)/'Sheet1 (2)'!B$527</f>
        <v>-1.2242915745870349</v>
      </c>
      <c r="C333" s="48">
        <f>('Sheet1 (2)'!C333-'Sheet1 (2)'!C$526)/'Sheet1 (2)'!C$527</f>
        <v>-0.9087661590906233</v>
      </c>
      <c r="D333" s="48">
        <f>('Sheet1 (2)'!D333-'Sheet1 (2)'!D$526)/'Sheet1 (2)'!D$527</f>
        <v>-0.4704097020702403</v>
      </c>
      <c r="E333" s="48">
        <f>('Sheet1 (2)'!E333-'Sheet1 (2)'!E$526)/'Sheet1 (2)'!E$527</f>
        <v>-0.35738481607106248</v>
      </c>
      <c r="F333" s="48">
        <f>('Sheet1 (2)'!F333-'Sheet1 (2)'!F$526)/'Sheet1 (2)'!F$527</f>
        <v>-1.1978791963165167</v>
      </c>
      <c r="G333" s="48">
        <f>('Sheet1 (2)'!G333-'Sheet1 (2)'!G$526)/'Sheet1 (2)'!G$527</f>
        <v>-0.50144115274505707</v>
      </c>
      <c r="H333" s="48">
        <f>('Sheet1 (2)'!H333-'Sheet1 (2)'!H$526)/'Sheet1 (2)'!H$527</f>
        <v>-1.1686905634018587</v>
      </c>
      <c r="I333" s="48">
        <f>('Sheet1 (2)'!I333-'Sheet1 (2)'!I$526)/'Sheet1 (2)'!I$527</f>
        <v>0.48939975945116215</v>
      </c>
      <c r="J333" s="48">
        <f>('Sheet1 (2)'!J333-'Sheet1 (2)'!J$526)/'Sheet1 (2)'!J$527</f>
        <v>8.9626366737276808E-2</v>
      </c>
      <c r="K333" s="48">
        <f>('Sheet1 (2)'!K333-'Sheet1 (2)'!K$526)/'Sheet1 (2)'!K$527</f>
        <v>1.529355314060916</v>
      </c>
    </row>
    <row r="334" spans="1:11" ht="15.75" customHeight="1" x14ac:dyDescent="0.2">
      <c r="A334" s="48">
        <v>20</v>
      </c>
      <c r="B334" s="48">
        <f>('Sheet1 (2)'!B334-'Sheet1 (2)'!B$526)/'Sheet1 (2)'!B$527</f>
        <v>1.1794716518179513E-2</v>
      </c>
      <c r="C334" s="48">
        <f>('Sheet1 (2)'!C334-'Sheet1 (2)'!C$526)/'Sheet1 (2)'!C$527</f>
        <v>-0.83730325813563256</v>
      </c>
      <c r="D334" s="48">
        <f>('Sheet1 (2)'!D334-'Sheet1 (2)'!D$526)/'Sheet1 (2)'!D$527</f>
        <v>1.4257032508898051</v>
      </c>
      <c r="E334" s="48">
        <f>('Sheet1 (2)'!E334-'Sheet1 (2)'!E$526)/'Sheet1 (2)'!E$527</f>
        <v>0.26067439593924924</v>
      </c>
      <c r="F334" s="48">
        <f>('Sheet1 (2)'!F334-'Sheet1 (2)'!F$526)/'Sheet1 (2)'!F$527</f>
        <v>1.2684811135846812</v>
      </c>
      <c r="G334" s="48">
        <f>('Sheet1 (2)'!G334-'Sheet1 (2)'!G$526)/'Sheet1 (2)'!G$527</f>
        <v>-0.50144115274505707</v>
      </c>
      <c r="H334" s="48">
        <f>('Sheet1 (2)'!H334-'Sheet1 (2)'!H$526)/'Sheet1 (2)'!H$527</f>
        <v>0.22228840128242797</v>
      </c>
      <c r="I334" s="48">
        <f>('Sheet1 (2)'!I334-'Sheet1 (2)'!I$526)/'Sheet1 (2)'!I$527</f>
        <v>0.65570529302750735</v>
      </c>
      <c r="J334" s="48">
        <f>('Sheet1 (2)'!J334-'Sheet1 (2)'!J$526)/'Sheet1 (2)'!J$527</f>
        <v>-0.2333204876402922</v>
      </c>
      <c r="K334" s="48">
        <f>('Sheet1 (2)'!K334-'Sheet1 (2)'!K$526)/'Sheet1 (2)'!K$527</f>
        <v>2.0532465467633836</v>
      </c>
    </row>
    <row r="335" spans="1:11" ht="15.75" customHeight="1" x14ac:dyDescent="0.2">
      <c r="A335" s="49">
        <v>20</v>
      </c>
      <c r="B335" s="48">
        <f>('Sheet1 (2)'!B335-'Sheet1 (2)'!B$526)/'Sheet1 (2)'!B$527</f>
        <v>1.1794716518179513E-2</v>
      </c>
      <c r="C335" s="48">
        <f>('Sheet1 (2)'!C335-'Sheet1 (2)'!C$526)/'Sheet1 (2)'!C$527</f>
        <v>0.82953571940775517</v>
      </c>
      <c r="D335" s="48">
        <f>('Sheet1 (2)'!D335-'Sheet1 (2)'!D$526)/'Sheet1 (2)'!D$527</f>
        <v>-0.4704097020702403</v>
      </c>
      <c r="E335" s="48">
        <f>('Sheet1 (2)'!E335-'Sheet1 (2)'!E$526)/'Sheet1 (2)'!E$527</f>
        <v>0.21242442028045166</v>
      </c>
      <c r="F335" s="48">
        <f>('Sheet1 (2)'!F335-'Sheet1 (2)'!F$526)/'Sheet1 (2)'!F$527</f>
        <v>1.2684811135846812</v>
      </c>
      <c r="G335" s="48">
        <f>('Sheet1 (2)'!G335-'Sheet1 (2)'!G$526)/'Sheet1 (2)'!G$527</f>
        <v>-0.50144115274505707</v>
      </c>
      <c r="H335" s="48">
        <f>('Sheet1 (2)'!H335-'Sheet1 (2)'!H$526)/'Sheet1 (2)'!H$527</f>
        <v>0.33672821212640952</v>
      </c>
      <c r="I335" s="48">
        <f>('Sheet1 (2)'!I335-'Sheet1 (2)'!I$526)/'Sheet1 (2)'!I$527</f>
        <v>0.60742838589384229</v>
      </c>
      <c r="J335" s="48">
        <f>('Sheet1 (2)'!J335-'Sheet1 (2)'!J$526)/'Sheet1 (2)'!J$527</f>
        <v>-0.83945425120312078</v>
      </c>
      <c r="K335" s="48">
        <f>('Sheet1 (2)'!K335-'Sheet1 (2)'!K$526)/'Sheet1 (2)'!K$527</f>
        <v>0.69565362825690547</v>
      </c>
    </row>
    <row r="336" spans="1:11" ht="15.75" customHeight="1" x14ac:dyDescent="0.2">
      <c r="A336" s="50">
        <v>20</v>
      </c>
      <c r="B336" s="48">
        <f>('Sheet1 (2)'!B336-'Sheet1 (2)'!B$526)/'Sheet1 (2)'!B$527</f>
        <v>1.1794716518179513E-2</v>
      </c>
      <c r="C336" s="48">
        <f>('Sheet1 (2)'!C336-'Sheet1 (2)'!C$526)/'Sheet1 (2)'!C$527</f>
        <v>1.2340859980151064</v>
      </c>
      <c r="D336" s="48">
        <f>('Sheet1 (2)'!D336-'Sheet1 (2)'!D$526)/'Sheet1 (2)'!D$527</f>
        <v>-0.4704097020702403</v>
      </c>
      <c r="E336" s="48">
        <f>('Sheet1 (2)'!E336-'Sheet1 (2)'!E$526)/'Sheet1 (2)'!E$527</f>
        <v>0.80291221762859355</v>
      </c>
      <c r="F336" s="48">
        <f>('Sheet1 (2)'!F336-'Sheet1 (2)'!F$526)/'Sheet1 (2)'!F$527</f>
        <v>3.5300958634082259E-2</v>
      </c>
      <c r="G336" s="48">
        <f>('Sheet1 (2)'!G336-'Sheet1 (2)'!G$526)/'Sheet1 (2)'!G$527</f>
        <v>-0.50144115274505707</v>
      </c>
      <c r="H336" s="48">
        <f>('Sheet1 (2)'!H336-'Sheet1 (2)'!H$526)/'Sheet1 (2)'!H$527</f>
        <v>0.63925665648797536</v>
      </c>
      <c r="I336" s="48">
        <f>('Sheet1 (2)'!I336-'Sheet1 (2)'!I$526)/'Sheet1 (2)'!I$527</f>
        <v>-0.30894072095008146</v>
      </c>
      <c r="J336" s="48">
        <f>('Sheet1 (2)'!J336-'Sheet1 (2)'!J$526)/'Sheet1 (2)'!J$527</f>
        <v>0.43280781920837358</v>
      </c>
      <c r="K336" s="48">
        <f>('Sheet1 (2)'!K336-'Sheet1 (2)'!K$526)/'Sheet1 (2)'!K$527</f>
        <v>1.8717663240061349</v>
      </c>
    </row>
    <row r="337" spans="1:11" ht="15.75" customHeight="1" x14ac:dyDescent="0.2">
      <c r="A337" s="49">
        <v>20</v>
      </c>
      <c r="B337" s="48">
        <f>('Sheet1 (2)'!B337-'Sheet1 (2)'!B$526)/'Sheet1 (2)'!B$527</f>
        <v>1.1794716518179513E-2</v>
      </c>
      <c r="C337" s="48">
        <f>('Sheet1 (2)'!C337-'Sheet1 (2)'!C$526)/'Sheet1 (2)'!C$527</f>
        <v>0.88554747323176042</v>
      </c>
      <c r="D337" s="48">
        <f>('Sheet1 (2)'!D337-'Sheet1 (2)'!D$526)/'Sheet1 (2)'!D$527</f>
        <v>1.4257032508898051</v>
      </c>
      <c r="E337" s="48">
        <f>('Sheet1 (2)'!E337-'Sheet1 (2)'!E$526)/'Sheet1 (2)'!E$527</f>
        <v>1.3934000149767354</v>
      </c>
      <c r="F337" s="48">
        <f>('Sheet1 (2)'!F337-'Sheet1 (2)'!F$526)/'Sheet1 (2)'!F$527</f>
        <v>3.5300958634082259E-2</v>
      </c>
      <c r="G337" s="48">
        <f>('Sheet1 (2)'!G337-'Sheet1 (2)'!G$526)/'Sheet1 (2)'!G$527</f>
        <v>-0.50144115274505707</v>
      </c>
      <c r="H337" s="48">
        <f>('Sheet1 (2)'!H337-'Sheet1 (2)'!H$526)/'Sheet1 (2)'!H$527</f>
        <v>1.6967627550630762E-2</v>
      </c>
      <c r="I337" s="48">
        <f>('Sheet1 (2)'!I337-'Sheet1 (2)'!I$526)/'Sheet1 (2)'!I$527</f>
        <v>0.48652583058140769</v>
      </c>
      <c r="J337" s="48">
        <f>('Sheet1 (2)'!J337-'Sheet1 (2)'!J$526)/'Sheet1 (2)'!J$527</f>
        <v>2.1026646103477562</v>
      </c>
      <c r="K337" s="48">
        <f>('Sheet1 (2)'!K337-'Sheet1 (2)'!K$526)/'Sheet1 (2)'!K$527</f>
        <v>-0.11683069426566933</v>
      </c>
    </row>
    <row r="338" spans="1:11" ht="15.75" customHeight="1" x14ac:dyDescent="0.2">
      <c r="A338" s="50">
        <v>20</v>
      </c>
      <c r="B338" s="48">
        <f>('Sheet1 (2)'!B338-'Sheet1 (2)'!B$526)/'Sheet1 (2)'!B$527</f>
        <v>1.1794716518179513E-2</v>
      </c>
      <c r="C338" s="48">
        <f>('Sheet1 (2)'!C338-'Sheet1 (2)'!C$526)/'Sheet1 (2)'!C$527</f>
        <v>0.97200199013909461</v>
      </c>
      <c r="D338" s="48">
        <f>('Sheet1 (2)'!D338-'Sheet1 (2)'!D$526)/'Sheet1 (2)'!D$527</f>
        <v>-0.4704097020702403</v>
      </c>
      <c r="E338" s="48">
        <f>('Sheet1 (2)'!E338-'Sheet1 (2)'!E$526)/'Sheet1 (2)'!E$527</f>
        <v>-0.94097975975366177</v>
      </c>
      <c r="F338" s="48">
        <f>('Sheet1 (2)'!F338-'Sheet1 (2)'!F$526)/'Sheet1 (2)'!F$527</f>
        <v>-1.1978791963165167</v>
      </c>
      <c r="G338" s="48">
        <f>('Sheet1 (2)'!G338-'Sheet1 (2)'!G$526)/'Sheet1 (2)'!G$527</f>
        <v>-0.50144115274505707</v>
      </c>
      <c r="H338" s="48">
        <f>('Sheet1 (2)'!H338-'Sheet1 (2)'!H$526)/'Sheet1 (2)'!H$527</f>
        <v>0.16335235869330839</v>
      </c>
      <c r="I338" s="48">
        <f>('Sheet1 (2)'!I338-'Sheet1 (2)'!I$526)/'Sheet1 (2)'!I$527</f>
        <v>0.67088422555026206</v>
      </c>
      <c r="J338" s="48">
        <f>('Sheet1 (2)'!J338-'Sheet1 (2)'!J$526)/'Sheet1 (2)'!J$527</f>
        <v>2.1776977673032176</v>
      </c>
      <c r="K338" s="48">
        <f>('Sheet1 (2)'!K338-'Sheet1 (2)'!K$526)/'Sheet1 (2)'!K$527</f>
        <v>3.6042326692839188E-2</v>
      </c>
    </row>
    <row r="339" spans="1:11" ht="15.75" customHeight="1" x14ac:dyDescent="0.2">
      <c r="A339" s="51">
        <v>20</v>
      </c>
      <c r="B339" s="48">
        <f>('Sheet1 (2)'!B339-'Sheet1 (2)'!B$526)/'Sheet1 (2)'!B$527</f>
        <v>1.1794716518179513E-2</v>
      </c>
      <c r="C339" s="48">
        <f>('Sheet1 (2)'!C339-'Sheet1 (2)'!C$526)/'Sheet1 (2)'!C$527</f>
        <v>0.83291766799464273</v>
      </c>
      <c r="D339" s="48">
        <f>('Sheet1 (2)'!D339-'Sheet1 (2)'!D$526)/'Sheet1 (2)'!D$527</f>
        <v>-0.4704097020702403</v>
      </c>
      <c r="E339" s="48">
        <f>('Sheet1 (2)'!E339-'Sheet1 (2)'!E$526)/'Sheet1 (2)'!E$527</f>
        <v>-0.76176556444955656</v>
      </c>
      <c r="F339" s="48">
        <f>('Sheet1 (2)'!F339-'Sheet1 (2)'!F$526)/'Sheet1 (2)'!F$527</f>
        <v>-1.1978791963165167</v>
      </c>
      <c r="G339" s="48">
        <f>('Sheet1 (2)'!G339-'Sheet1 (2)'!G$526)/'Sheet1 (2)'!G$527</f>
        <v>-0.50144115274505707</v>
      </c>
      <c r="H339" s="48">
        <f>('Sheet1 (2)'!H339-'Sheet1 (2)'!H$526)/'Sheet1 (2)'!H$527</f>
        <v>-0.20249977792178633</v>
      </c>
      <c r="I339" s="48">
        <f>('Sheet1 (2)'!I339-'Sheet1 (2)'!I$526)/'Sheet1 (2)'!I$527</f>
        <v>-0.57410685870695621</v>
      </c>
      <c r="J339" s="48">
        <f>('Sheet1 (2)'!J339-'Sheet1 (2)'!J$526)/'Sheet1 (2)'!J$527</f>
        <v>1.1694995307922094</v>
      </c>
      <c r="K339" s="48">
        <f>('Sheet1 (2)'!K339-'Sheet1 (2)'!K$526)/'Sheet1 (2)'!K$527</f>
        <v>0.84191274374241942</v>
      </c>
    </row>
    <row r="340" spans="1:11" ht="15.75" customHeight="1" x14ac:dyDescent="0.2">
      <c r="A340" s="48">
        <v>20</v>
      </c>
      <c r="B340" s="48">
        <f>('Sheet1 (2)'!B340-'Sheet1 (2)'!B$526)/'Sheet1 (2)'!B$527</f>
        <v>1.2478810076233939</v>
      </c>
      <c r="C340" s="48">
        <f>('Sheet1 (2)'!C340-'Sheet1 (2)'!C$526)/'Sheet1 (2)'!C$527</f>
        <v>-0.58519904855863025</v>
      </c>
      <c r="D340" s="48">
        <f>('Sheet1 (2)'!D340-'Sheet1 (2)'!D$526)/'Sheet1 (2)'!D$527</f>
        <v>-0.4704097020702403</v>
      </c>
      <c r="E340" s="48">
        <f>('Sheet1 (2)'!E340-'Sheet1 (2)'!E$526)/'Sheet1 (2)'!E$527</f>
        <v>-0.29075389730415152</v>
      </c>
      <c r="F340" s="48">
        <f>('Sheet1 (2)'!F340-'Sheet1 (2)'!F$526)/'Sheet1 (2)'!F$527</f>
        <v>1.2684811135846812</v>
      </c>
      <c r="G340" s="48">
        <f>('Sheet1 (2)'!G340-'Sheet1 (2)'!G$526)/'Sheet1 (2)'!G$527</f>
        <v>-0.50144115274505707</v>
      </c>
      <c r="H340" s="48">
        <f>('Sheet1 (2)'!H340-'Sheet1 (2)'!H$526)/'Sheet1 (2)'!H$527</f>
        <v>-8.6906439827281662E-2</v>
      </c>
      <c r="I340" s="48">
        <f>('Sheet1 (2)'!I340-'Sheet1 (2)'!I$526)/'Sheet1 (2)'!I$527</f>
        <v>0.7250797693451928</v>
      </c>
      <c r="J340" s="48">
        <f>('Sheet1 (2)'!J340-'Sheet1 (2)'!J$526)/'Sheet1 (2)'!J$527</f>
        <v>0.45209217941013224</v>
      </c>
      <c r="K340" s="48">
        <f>('Sheet1 (2)'!K340-'Sheet1 (2)'!K$526)/'Sheet1 (2)'!K$527</f>
        <v>1.5041605123098178</v>
      </c>
    </row>
    <row r="341" spans="1:11" ht="15.75" customHeight="1" x14ac:dyDescent="0.2">
      <c r="A341" s="49">
        <v>20</v>
      </c>
      <c r="B341" s="48">
        <f>('Sheet1 (2)'!B341-'Sheet1 (2)'!B$526)/'Sheet1 (2)'!B$527</f>
        <v>1.2478810076233939</v>
      </c>
      <c r="C341" s="48">
        <f>('Sheet1 (2)'!C341-'Sheet1 (2)'!C$526)/'Sheet1 (2)'!C$527</f>
        <v>-3.2722772027169465E-2</v>
      </c>
      <c r="D341" s="48">
        <f>('Sheet1 (2)'!D341-'Sheet1 (2)'!D$526)/'Sheet1 (2)'!D$527</f>
        <v>-0.4704097020702403</v>
      </c>
      <c r="E341" s="48">
        <f>('Sheet1 (2)'!E341-'Sheet1 (2)'!E$526)/'Sheet1 (2)'!E$527</f>
        <v>2.2067567475107515</v>
      </c>
      <c r="F341" s="48">
        <f>('Sheet1 (2)'!F341-'Sheet1 (2)'!F$526)/'Sheet1 (2)'!F$527</f>
        <v>1.2684811135846812</v>
      </c>
      <c r="G341" s="48">
        <f>('Sheet1 (2)'!G341-'Sheet1 (2)'!G$526)/'Sheet1 (2)'!G$527</f>
        <v>-0.1317389662853434</v>
      </c>
      <c r="H341" s="48">
        <f>('Sheet1 (2)'!H341-'Sheet1 (2)'!H$526)/'Sheet1 (2)'!H$527</f>
        <v>-0.6423319339914797</v>
      </c>
      <c r="I341" s="48">
        <f>('Sheet1 (2)'!I341-'Sheet1 (2)'!I$526)/'Sheet1 (2)'!I$527</f>
        <v>0.45047236104855731</v>
      </c>
      <c r="J341" s="48">
        <f>('Sheet1 (2)'!J341-'Sheet1 (2)'!J$526)/'Sheet1 (2)'!J$527</f>
        <v>2.3320005391753034</v>
      </c>
      <c r="K341" s="48">
        <f>('Sheet1 (2)'!K341-'Sheet1 (2)'!K$526)/'Sheet1 (2)'!K$527</f>
        <v>2.076752486188723</v>
      </c>
    </row>
    <row r="342" spans="1:11" ht="15.75" customHeight="1" x14ac:dyDescent="0.2">
      <c r="A342" s="50">
        <v>20</v>
      </c>
      <c r="B342" s="48">
        <f>('Sheet1 (2)'!B342-'Sheet1 (2)'!B$526)/'Sheet1 (2)'!B$527</f>
        <v>1.2478810076233939</v>
      </c>
      <c r="C342" s="48">
        <f>('Sheet1 (2)'!C342-'Sheet1 (2)'!C$526)/'Sheet1 (2)'!C$527</f>
        <v>-1.6809783630001436</v>
      </c>
      <c r="D342" s="48">
        <f>('Sheet1 (2)'!D342-'Sheet1 (2)'!D$526)/'Sheet1 (2)'!D$527</f>
        <v>-0.4704097020702403</v>
      </c>
      <c r="E342" s="48">
        <f>('Sheet1 (2)'!E342-'Sheet1 (2)'!E$526)/'Sheet1 (2)'!E$527</f>
        <v>-0.32521816563186418</v>
      </c>
      <c r="F342" s="48">
        <f>('Sheet1 (2)'!F342-'Sheet1 (2)'!F$526)/'Sheet1 (2)'!F$527</f>
        <v>3.5300958634082259E-2</v>
      </c>
      <c r="G342" s="48">
        <f>('Sheet1 (2)'!G342-'Sheet1 (2)'!G$526)/'Sheet1 (2)'!G$527</f>
        <v>0.28689439191168525</v>
      </c>
      <c r="H342" s="48">
        <f>('Sheet1 (2)'!H342-'Sheet1 (2)'!H$526)/'Sheet1 (2)'!H$527</f>
        <v>-1.217023456295045</v>
      </c>
      <c r="I342" s="48">
        <f>('Sheet1 (2)'!I342-'Sheet1 (2)'!I$526)/'Sheet1 (2)'!I$527</f>
        <v>-1.7391937990979582</v>
      </c>
      <c r="J342" s="48">
        <f>('Sheet1 (2)'!J342-'Sheet1 (2)'!J$526)/'Sheet1 (2)'!J$527</f>
        <v>-0.47552794236189905</v>
      </c>
      <c r="K342" s="48">
        <f>('Sheet1 (2)'!K342-'Sheet1 (2)'!K$526)/'Sheet1 (2)'!K$527</f>
        <v>6.2111971634564486E-2</v>
      </c>
    </row>
    <row r="343" spans="1:11" ht="15.75" customHeight="1" x14ac:dyDescent="0.2">
      <c r="A343" s="49">
        <v>20</v>
      </c>
      <c r="B343" s="48">
        <f>('Sheet1 (2)'!B343-'Sheet1 (2)'!B$526)/'Sheet1 (2)'!B$527</f>
        <v>1.2478810076233939</v>
      </c>
      <c r="C343" s="48">
        <f>('Sheet1 (2)'!C343-'Sheet1 (2)'!C$526)/'Sheet1 (2)'!C$527</f>
        <v>-0.38703438205351226</v>
      </c>
      <c r="D343" s="48">
        <f>('Sheet1 (2)'!D343-'Sheet1 (2)'!D$526)/'Sheet1 (2)'!D$527</f>
        <v>-0.4704097020702403</v>
      </c>
      <c r="E343" s="48">
        <f>('Sheet1 (2)'!E343-'Sheet1 (2)'!E$526)/'Sheet1 (2)'!E$527</f>
        <v>-0.23561106797981141</v>
      </c>
      <c r="F343" s="48">
        <f>('Sheet1 (2)'!F343-'Sheet1 (2)'!F$526)/'Sheet1 (2)'!F$527</f>
        <v>3.5300958634082259E-2</v>
      </c>
      <c r="G343" s="48">
        <f>('Sheet1 (2)'!G343-'Sheet1 (2)'!G$526)/'Sheet1 (2)'!G$527</f>
        <v>-0.49817907462923605</v>
      </c>
      <c r="H343" s="48">
        <f>('Sheet1 (2)'!H343-'Sheet1 (2)'!H$526)/'Sheet1 (2)'!H$527</f>
        <v>-0.53895324641438735</v>
      </c>
      <c r="I343" s="48">
        <f>('Sheet1 (2)'!I343-'Sheet1 (2)'!I$526)/'Sheet1 (2)'!I$527</f>
        <v>0.69292235327347584</v>
      </c>
      <c r="J343" s="48">
        <f>('Sheet1 (2)'!J343-'Sheet1 (2)'!J$526)/'Sheet1 (2)'!J$527</f>
        <v>2.2837422999195307</v>
      </c>
      <c r="K343" s="48">
        <f>('Sheet1 (2)'!K343-'Sheet1 (2)'!K$526)/'Sheet1 (2)'!K$527</f>
        <v>1.6224911542419447</v>
      </c>
    </row>
    <row r="344" spans="1:11" ht="15.75" customHeight="1" x14ac:dyDescent="0.2">
      <c r="A344" s="50">
        <v>20</v>
      </c>
      <c r="B344" s="48">
        <f>('Sheet1 (2)'!B344-'Sheet1 (2)'!B$526)/'Sheet1 (2)'!B$527</f>
        <v>1.2478810076233939</v>
      </c>
      <c r="C344" s="48">
        <f>('Sheet1 (2)'!C344-'Sheet1 (2)'!C$526)/'Sheet1 (2)'!C$527</f>
        <v>-0.83822649570457985</v>
      </c>
      <c r="D344" s="48">
        <f>('Sheet1 (2)'!D344-'Sheet1 (2)'!D$526)/'Sheet1 (2)'!D$527</f>
        <v>-0.4704097020702403</v>
      </c>
      <c r="E344" s="48">
        <f>('Sheet1 (2)'!E344-'Sheet1 (2)'!E$526)/'Sheet1 (2)'!E$527</f>
        <v>-0.89502740198337849</v>
      </c>
      <c r="F344" s="48">
        <f>('Sheet1 (2)'!F344-'Sheet1 (2)'!F$526)/'Sheet1 (2)'!F$527</f>
        <v>-1.1978791963165167</v>
      </c>
      <c r="G344" s="48">
        <f>('Sheet1 (2)'!G344-'Sheet1 (2)'!G$526)/'Sheet1 (2)'!G$527</f>
        <v>-0.16762182555937444</v>
      </c>
      <c r="H344" s="48">
        <f>('Sheet1 (2)'!H344-'Sheet1 (2)'!H$526)/'Sheet1 (2)'!H$527</f>
        <v>-0.62682513085491587</v>
      </c>
      <c r="I344" s="48">
        <f>('Sheet1 (2)'!I344-'Sheet1 (2)'!I$526)/'Sheet1 (2)'!I$527</f>
        <v>4.5542792882332275E-2</v>
      </c>
      <c r="J344" s="48">
        <f>('Sheet1 (2)'!J344-'Sheet1 (2)'!J$526)/'Sheet1 (2)'!J$527</f>
        <v>0.65435210619105544</v>
      </c>
      <c r="K344" s="48">
        <f>('Sheet1 (2)'!K344-'Sheet1 (2)'!K$526)/'Sheet1 (2)'!K$527</f>
        <v>1.2267346053876051</v>
      </c>
    </row>
    <row r="345" spans="1:11" ht="15.75" customHeight="1" x14ac:dyDescent="0.2">
      <c r="A345" s="51">
        <v>20</v>
      </c>
      <c r="B345" s="48">
        <f>('Sheet1 (2)'!B345-'Sheet1 (2)'!B$526)/'Sheet1 (2)'!B$527</f>
        <v>1.2478810076233939</v>
      </c>
      <c r="C345" s="48">
        <f>('Sheet1 (2)'!C345-'Sheet1 (2)'!C$526)/'Sheet1 (2)'!C$527</f>
        <v>-0.70029354111045639</v>
      </c>
      <c r="D345" s="48">
        <f>('Sheet1 (2)'!D345-'Sheet1 (2)'!D$526)/'Sheet1 (2)'!D$527</f>
        <v>-0.4704097020702403</v>
      </c>
      <c r="E345" s="48">
        <f>('Sheet1 (2)'!E345-'Sheet1 (2)'!E$526)/'Sheet1 (2)'!E$527</f>
        <v>-0.73419414978738651</v>
      </c>
      <c r="F345" s="48">
        <f>('Sheet1 (2)'!F345-'Sheet1 (2)'!F$526)/'Sheet1 (2)'!F$527</f>
        <v>-1.1978791963165167</v>
      </c>
      <c r="G345" s="48">
        <f>('Sheet1 (2)'!G345-'Sheet1 (2)'!G$526)/'Sheet1 (2)'!G$527</f>
        <v>0.29668062625914832</v>
      </c>
      <c r="H345" s="48">
        <f>('Sheet1 (2)'!H345-'Sheet1 (2)'!H$526)/'Sheet1 (2)'!H$527</f>
        <v>-1.0990777718320894</v>
      </c>
      <c r="I345" s="48">
        <f>('Sheet1 (2)'!I345-'Sheet1 (2)'!I$526)/'Sheet1 (2)'!I$527</f>
        <v>-0.31072752728063696</v>
      </c>
      <c r="J345" s="48">
        <f>('Sheet1 (2)'!J345-'Sheet1 (2)'!J$526)/'Sheet1 (2)'!J$527</f>
        <v>0.5894641340320963</v>
      </c>
      <c r="K345" s="48">
        <f>('Sheet1 (2)'!K345-'Sheet1 (2)'!K$526)/'Sheet1 (2)'!K$527</f>
        <v>0.77039729726657946</v>
      </c>
    </row>
    <row r="346" spans="1:11" ht="15.75" customHeight="1" x14ac:dyDescent="0.2">
      <c r="A346" s="48">
        <v>21</v>
      </c>
      <c r="B346" s="48">
        <f>('Sheet1 (2)'!B346-'Sheet1 (2)'!B$526)/'Sheet1 (2)'!B$527</f>
        <v>-1.2242915745870349</v>
      </c>
      <c r="C346" s="48">
        <f>('Sheet1 (2)'!C346-'Sheet1 (2)'!C$526)/'Sheet1 (2)'!C$527</f>
        <v>-0.62500232397985922</v>
      </c>
      <c r="D346" s="48">
        <f>('Sheet1 (2)'!D346-'Sheet1 (2)'!D$526)/'Sheet1 (2)'!D$527</f>
        <v>1.4257032508898051</v>
      </c>
      <c r="E346" s="48">
        <f>('Sheet1 (2)'!E346-'Sheet1 (2)'!E$526)/'Sheet1 (2)'!E$527</f>
        <v>2.7581850407541526</v>
      </c>
      <c r="F346" s="48">
        <f>('Sheet1 (2)'!F346-'Sheet1 (2)'!F$526)/'Sheet1 (2)'!F$527</f>
        <v>1.2684811135846812</v>
      </c>
      <c r="G346" s="48">
        <f>('Sheet1 (2)'!G346-'Sheet1 (2)'!G$526)/'Sheet1 (2)'!G$527</f>
        <v>1.4848019666659538</v>
      </c>
      <c r="H346" s="48">
        <f>('Sheet1 (2)'!H346-'Sheet1 (2)'!H$526)/'Sheet1 (2)'!H$527</f>
        <v>1.1673433189205509</v>
      </c>
      <c r="I346" s="48">
        <f>('Sheet1 (2)'!I346-'Sheet1 (2)'!I$526)/'Sheet1 (2)'!I$527</f>
        <v>0.64701341059214312</v>
      </c>
      <c r="J346" s="48">
        <f>('Sheet1 (2)'!J346-'Sheet1 (2)'!J$526)/'Sheet1 (2)'!J$527</f>
        <v>1.4711414900341402</v>
      </c>
      <c r="K346" s="48">
        <f>('Sheet1 (2)'!K346-'Sheet1 (2)'!K$526)/'Sheet1 (2)'!K$527</f>
        <v>1.3284417108335207</v>
      </c>
    </row>
    <row r="347" spans="1:11" ht="15.75" customHeight="1" x14ac:dyDescent="0.2">
      <c r="A347" s="49">
        <v>21</v>
      </c>
      <c r="B347" s="48">
        <f>('Sheet1 (2)'!B347-'Sheet1 (2)'!B$526)/'Sheet1 (2)'!B$527</f>
        <v>-1.2242915745870349</v>
      </c>
      <c r="C347" s="48">
        <f>('Sheet1 (2)'!C347-'Sheet1 (2)'!C$526)/'Sheet1 (2)'!C$527</f>
        <v>7.6901845775853225E-2</v>
      </c>
      <c r="D347" s="48">
        <f>('Sheet1 (2)'!D347-'Sheet1 (2)'!D$526)/'Sheet1 (2)'!D$527</f>
        <v>-0.4704097020702403</v>
      </c>
      <c r="E347" s="48">
        <f>('Sheet1 (2)'!E347-'Sheet1 (2)'!E$526)/'Sheet1 (2)'!E$527</f>
        <v>1.4829281868233143E-2</v>
      </c>
      <c r="F347" s="48">
        <f>('Sheet1 (2)'!F347-'Sheet1 (2)'!F$526)/'Sheet1 (2)'!F$527</f>
        <v>1.2684811135846812</v>
      </c>
      <c r="G347" s="48">
        <f>('Sheet1 (2)'!G347-'Sheet1 (2)'!G$526)/'Sheet1 (2)'!G$527</f>
        <v>0.45271669613258625</v>
      </c>
      <c r="H347" s="48">
        <f>('Sheet1 (2)'!H347-'Sheet1 (2)'!H$526)/'Sheet1 (2)'!H$527</f>
        <v>0.54158899032890628</v>
      </c>
      <c r="I347" s="48">
        <f>('Sheet1 (2)'!I347-'Sheet1 (2)'!I$526)/'Sheet1 (2)'!I$527</f>
        <v>0.63714051969293173</v>
      </c>
      <c r="J347" s="48">
        <f>('Sheet1 (2)'!J347-'Sheet1 (2)'!J$526)/'Sheet1 (2)'!J$527</f>
        <v>-0.83945425120312078</v>
      </c>
      <c r="K347" s="48">
        <f>('Sheet1 (2)'!K347-'Sheet1 (2)'!K$526)/'Sheet1 (2)'!K$527</f>
        <v>0.71241150821770172</v>
      </c>
    </row>
    <row r="348" spans="1:11" ht="15.75" customHeight="1" x14ac:dyDescent="0.2">
      <c r="A348" s="50">
        <v>21</v>
      </c>
      <c r="B348" s="48">
        <f>('Sheet1 (2)'!B348-'Sheet1 (2)'!B$526)/'Sheet1 (2)'!B$527</f>
        <v>-1.2242915745870349</v>
      </c>
      <c r="C348" s="48">
        <f>('Sheet1 (2)'!C348-'Sheet1 (2)'!C$526)/'Sheet1 (2)'!C$527</f>
        <v>-2.1843792849994657</v>
      </c>
      <c r="D348" s="48">
        <f>('Sheet1 (2)'!D348-'Sheet1 (2)'!D$526)/'Sheet1 (2)'!D$527</f>
        <v>-0.4704097020702403</v>
      </c>
      <c r="E348" s="48">
        <f>('Sheet1 (2)'!E348-'Sheet1 (2)'!E$526)/'Sheet1 (2)'!E$527</f>
        <v>-0.35278958029403423</v>
      </c>
      <c r="F348" s="48">
        <f>('Sheet1 (2)'!F348-'Sheet1 (2)'!F$526)/'Sheet1 (2)'!F$527</f>
        <v>3.5300958634082259E-2</v>
      </c>
      <c r="G348" s="48">
        <f>('Sheet1 (2)'!G348-'Sheet1 (2)'!G$526)/'Sheet1 (2)'!G$527</f>
        <v>9.5049834675358689</v>
      </c>
      <c r="H348" s="48">
        <f>('Sheet1 (2)'!H348-'Sheet1 (2)'!H$526)/'Sheet1 (2)'!H$527</f>
        <v>-0.51921731514966962</v>
      </c>
      <c r="I348" s="48">
        <f>('Sheet1 (2)'!I348-'Sheet1 (2)'!I$526)/'Sheet1 (2)'!I$527</f>
        <v>0.55886259899204183</v>
      </c>
      <c r="J348" s="48">
        <f>('Sheet1 (2)'!J348-'Sheet1 (2)'!J$526)/'Sheet1 (2)'!J$527</f>
        <v>0.60559406303890473</v>
      </c>
      <c r="K348" s="48">
        <f>('Sheet1 (2)'!K348-'Sheet1 (2)'!K$526)/'Sheet1 (2)'!K$527</f>
        <v>1.7507927726473522</v>
      </c>
    </row>
    <row r="349" spans="1:11" ht="15.75" customHeight="1" x14ac:dyDescent="0.2">
      <c r="A349" s="49">
        <v>21</v>
      </c>
      <c r="B349" s="48">
        <f>('Sheet1 (2)'!B349-'Sheet1 (2)'!B$526)/'Sheet1 (2)'!B$527</f>
        <v>-1.2242915745870349</v>
      </c>
      <c r="C349" s="48">
        <f>('Sheet1 (2)'!C349-'Sheet1 (2)'!C$526)/'Sheet1 (2)'!C$527</f>
        <v>-0.71360651385067364</v>
      </c>
      <c r="D349" s="48">
        <f>('Sheet1 (2)'!D349-'Sheet1 (2)'!D$526)/'Sheet1 (2)'!D$527</f>
        <v>-0.4704097020702403</v>
      </c>
      <c r="E349" s="48">
        <f>('Sheet1 (2)'!E349-'Sheet1 (2)'!E$526)/'Sheet1 (2)'!E$527</f>
        <v>0.64667420120963004</v>
      </c>
      <c r="F349" s="48">
        <f>('Sheet1 (2)'!F349-'Sheet1 (2)'!F$526)/'Sheet1 (2)'!F$527</f>
        <v>3.5300958634082259E-2</v>
      </c>
      <c r="G349" s="48">
        <f>('Sheet1 (2)'!G349-'Sheet1 (2)'!G$526)/'Sheet1 (2)'!G$527</f>
        <v>-0.50144115274505707</v>
      </c>
      <c r="H349" s="48">
        <f>('Sheet1 (2)'!H349-'Sheet1 (2)'!H$526)/'Sheet1 (2)'!H$527</f>
        <v>1.6863833687602362E-2</v>
      </c>
      <c r="I349" s="48">
        <f>('Sheet1 (2)'!I349-'Sheet1 (2)'!I$526)/'Sheet1 (2)'!I$527</f>
        <v>-1.6614800435913082</v>
      </c>
      <c r="J349" s="48">
        <f>('Sheet1 (2)'!J349-'Sheet1 (2)'!J$526)/'Sheet1 (2)'!J$527</f>
        <v>5.2845831319622709</v>
      </c>
      <c r="K349" s="48">
        <f>('Sheet1 (2)'!K349-'Sheet1 (2)'!K$526)/'Sheet1 (2)'!K$527</f>
        <v>1.6370072603694501</v>
      </c>
    </row>
    <row r="350" spans="1:11" ht="15.75" customHeight="1" x14ac:dyDescent="0.2">
      <c r="A350" s="50">
        <v>21</v>
      </c>
      <c r="B350" s="48">
        <f>('Sheet1 (2)'!B350-'Sheet1 (2)'!B$526)/'Sheet1 (2)'!B$527</f>
        <v>-1.2242915745870349</v>
      </c>
      <c r="C350" s="48">
        <f>('Sheet1 (2)'!C350-'Sheet1 (2)'!C$526)/'Sheet1 (2)'!C$527</f>
        <v>0.51812473941665249</v>
      </c>
      <c r="D350" s="48">
        <f>('Sheet1 (2)'!D350-'Sheet1 (2)'!D$526)/'Sheet1 (2)'!D$527</f>
        <v>-0.4704097020702403</v>
      </c>
      <c r="E350" s="48">
        <f>('Sheet1 (2)'!E350-'Sheet1 (2)'!E$526)/'Sheet1 (2)'!E$527</f>
        <v>-0.54578948292922458</v>
      </c>
      <c r="F350" s="48">
        <f>('Sheet1 (2)'!F350-'Sheet1 (2)'!F$526)/'Sheet1 (2)'!F$527</f>
        <v>-1.1978791963165167</v>
      </c>
      <c r="G350" s="48">
        <f>('Sheet1 (2)'!G350-'Sheet1 (2)'!G$526)/'Sheet1 (2)'!G$527</f>
        <v>-0.50144115274505707</v>
      </c>
      <c r="H350" s="48">
        <f>('Sheet1 (2)'!H350-'Sheet1 (2)'!H$526)/'Sheet1 (2)'!H$527</f>
        <v>-0.12371551797973249</v>
      </c>
      <c r="I350" s="48">
        <f>('Sheet1 (2)'!I350-'Sheet1 (2)'!I$526)/'Sheet1 (2)'!I$527</f>
        <v>-0.41855360002988073</v>
      </c>
      <c r="J350" s="48">
        <f>('Sheet1 (2)'!J350-'Sheet1 (2)'!J$526)/'Sheet1 (2)'!J$527</f>
        <v>-0.57458825972647942</v>
      </c>
      <c r="K350" s="48">
        <f>('Sheet1 (2)'!K350-'Sheet1 (2)'!K$526)/'Sheet1 (2)'!K$527</f>
        <v>1.99574223411637</v>
      </c>
    </row>
    <row r="351" spans="1:11" ht="15.75" customHeight="1" x14ac:dyDescent="0.2">
      <c r="A351" s="51">
        <v>21</v>
      </c>
      <c r="B351" s="48">
        <f>('Sheet1 (2)'!B351-'Sheet1 (2)'!B$526)/'Sheet1 (2)'!B$527</f>
        <v>-1.2242915745870349</v>
      </c>
      <c r="C351" s="48">
        <f>('Sheet1 (2)'!C351-'Sheet1 (2)'!C$526)/'Sheet1 (2)'!C$527</f>
        <v>-0.63555932945429028</v>
      </c>
      <c r="D351" s="48">
        <f>('Sheet1 (2)'!D351-'Sheet1 (2)'!D$526)/'Sheet1 (2)'!D$527</f>
        <v>-0.4704097020702403</v>
      </c>
      <c r="E351" s="48">
        <f>('Sheet1 (2)'!E351-'Sheet1 (2)'!E$526)/'Sheet1 (2)'!E$527</f>
        <v>-0.14600397032775883</v>
      </c>
      <c r="F351" s="48">
        <f>('Sheet1 (2)'!F351-'Sheet1 (2)'!F$526)/'Sheet1 (2)'!F$527</f>
        <v>-1.1978791963165167</v>
      </c>
      <c r="G351" s="48">
        <f>('Sheet1 (2)'!G351-'Sheet1 (2)'!G$526)/'Sheet1 (2)'!G$527</f>
        <v>1.4358707949286384</v>
      </c>
      <c r="H351" s="48">
        <f>('Sheet1 (2)'!H351-'Sheet1 (2)'!H$526)/'Sheet1 (2)'!H$527</f>
        <v>-0.16052459613218104</v>
      </c>
      <c r="I351" s="48">
        <f>('Sheet1 (2)'!I351-'Sheet1 (2)'!I$526)/'Sheet1 (2)'!I$527</f>
        <v>0.65723890473775493</v>
      </c>
      <c r="J351" s="48">
        <f>('Sheet1 (2)'!J351-'Sheet1 (2)'!J$526)/'Sheet1 (2)'!J$527</f>
        <v>-0.24283566257511932</v>
      </c>
      <c r="K351" s="48">
        <f>('Sheet1 (2)'!K351-'Sheet1 (2)'!K$526)/'Sheet1 (2)'!K$527</f>
        <v>0.19813559232448585</v>
      </c>
    </row>
    <row r="352" spans="1:11" ht="15.75" customHeight="1" x14ac:dyDescent="0.2">
      <c r="A352" s="48">
        <v>21</v>
      </c>
      <c r="B352" s="48">
        <f>('Sheet1 (2)'!B352-'Sheet1 (2)'!B$526)/'Sheet1 (2)'!B$527</f>
        <v>1.1794716518179513E-2</v>
      </c>
      <c r="C352" s="48">
        <f>('Sheet1 (2)'!C352-'Sheet1 (2)'!C$526)/'Sheet1 (2)'!C$527</f>
        <v>-0.12592966046905665</v>
      </c>
      <c r="D352" s="48">
        <f>('Sheet1 (2)'!D352-'Sheet1 (2)'!D$526)/'Sheet1 (2)'!D$527</f>
        <v>-0.4704097020702403</v>
      </c>
      <c r="E352" s="48">
        <f>('Sheet1 (2)'!E352-'Sheet1 (2)'!E$526)/'Sheet1 (2)'!E$527</f>
        <v>-3.3420693790564428E-2</v>
      </c>
      <c r="F352" s="48">
        <f>('Sheet1 (2)'!F352-'Sheet1 (2)'!F$526)/'Sheet1 (2)'!F$527</f>
        <v>1.2684811135846812</v>
      </c>
      <c r="G352" s="48">
        <f>('Sheet1 (2)'!G352-'Sheet1 (2)'!G$526)/'Sheet1 (2)'!G$527</f>
        <v>-0.50144115274505707</v>
      </c>
      <c r="H352" s="48">
        <f>('Sheet1 (2)'!H352-'Sheet1 (2)'!H$526)/'Sheet1 (2)'!H$527</f>
        <v>1.3345839594200184</v>
      </c>
      <c r="I352" s="48">
        <f>('Sheet1 (2)'!I352-'Sheet1 (2)'!I$526)/'Sheet1 (2)'!I$527</f>
        <v>0.63725972719616319</v>
      </c>
      <c r="J352" s="48">
        <f>('Sheet1 (2)'!J352-'Sheet1 (2)'!J$526)/'Sheet1 (2)'!J$527</f>
        <v>0.59798805466836524</v>
      </c>
      <c r="K352" s="48">
        <f>('Sheet1 (2)'!K352-'Sheet1 (2)'!K$526)/'Sheet1 (2)'!K$527</f>
        <v>2.5982076797637963</v>
      </c>
    </row>
    <row r="353" spans="1:11" ht="15.75" customHeight="1" x14ac:dyDescent="0.2">
      <c r="A353" s="49">
        <v>21</v>
      </c>
      <c r="B353" s="48">
        <f>('Sheet1 (2)'!B353-'Sheet1 (2)'!B$526)/'Sheet1 (2)'!B$527</f>
        <v>1.1794716518179513E-2</v>
      </c>
      <c r="C353" s="48">
        <f>('Sheet1 (2)'!C353-'Sheet1 (2)'!C$526)/'Sheet1 (2)'!C$527</f>
        <v>1.4386544064323192</v>
      </c>
      <c r="D353" s="48">
        <f>('Sheet1 (2)'!D353-'Sheet1 (2)'!D$526)/'Sheet1 (2)'!D$527</f>
        <v>1.4257032508898051</v>
      </c>
      <c r="E353" s="48">
        <f>('Sheet1 (2)'!E353-'Sheet1 (2)'!E$526)/'Sheet1 (2)'!E$527</f>
        <v>1.6139713322740956</v>
      </c>
      <c r="F353" s="48">
        <f>('Sheet1 (2)'!F353-'Sheet1 (2)'!F$526)/'Sheet1 (2)'!F$527</f>
        <v>1.2684811135846812</v>
      </c>
      <c r="G353" s="48">
        <f>('Sheet1 (2)'!G353-'Sheet1 (2)'!G$526)/'Sheet1 (2)'!G$527</f>
        <v>-0.50144115274505707</v>
      </c>
      <c r="H353" s="48">
        <f>('Sheet1 (2)'!H353-'Sheet1 (2)'!H$526)/'Sheet1 (2)'!H$527</f>
        <v>0.97223179316899766</v>
      </c>
      <c r="I353" s="48">
        <f>('Sheet1 (2)'!I353-'Sheet1 (2)'!I$526)/'Sheet1 (2)'!I$527</f>
        <v>0.66951351312312413</v>
      </c>
      <c r="J353" s="48">
        <f>('Sheet1 (2)'!J353-'Sheet1 (2)'!J$526)/'Sheet1 (2)'!J$527</f>
        <v>-0.83945425120312078</v>
      </c>
      <c r="K353" s="48">
        <f>('Sheet1 (2)'!K353-'Sheet1 (2)'!K$526)/'Sheet1 (2)'!K$527</f>
        <v>2.3765261993904625</v>
      </c>
    </row>
    <row r="354" spans="1:11" ht="15.75" customHeight="1" x14ac:dyDescent="0.2">
      <c r="A354" s="50">
        <v>21</v>
      </c>
      <c r="B354" s="48">
        <f>('Sheet1 (2)'!B354-'Sheet1 (2)'!B$526)/'Sheet1 (2)'!B$527</f>
        <v>1.1794716518179513E-2</v>
      </c>
      <c r="C354" s="48">
        <f>('Sheet1 (2)'!C354-'Sheet1 (2)'!C$526)/'Sheet1 (2)'!C$527</f>
        <v>1.0538887820422171</v>
      </c>
      <c r="D354" s="48">
        <f>('Sheet1 (2)'!D354-'Sheet1 (2)'!D$526)/'Sheet1 (2)'!D$527</f>
        <v>-0.4704097020702403</v>
      </c>
      <c r="E354" s="48">
        <f>('Sheet1 (2)'!E354-'Sheet1 (2)'!E$526)/'Sheet1 (2)'!E$527</f>
        <v>-0.57336089759139452</v>
      </c>
      <c r="F354" s="48">
        <f>('Sheet1 (2)'!F354-'Sheet1 (2)'!F$526)/'Sheet1 (2)'!F$527</f>
        <v>3.5300958634082259E-2</v>
      </c>
      <c r="G354" s="48">
        <f>('Sheet1 (2)'!G354-'Sheet1 (2)'!G$526)/'Sheet1 (2)'!G$527</f>
        <v>4.0632646608186863E-2</v>
      </c>
      <c r="H354" s="48">
        <f>('Sheet1 (2)'!H354-'Sheet1 (2)'!H$526)/'Sheet1 (2)'!H$527</f>
        <v>0.6609335145226668</v>
      </c>
      <c r="I354" s="48">
        <f>('Sheet1 (2)'!I354-'Sheet1 (2)'!I$526)/'Sheet1 (2)'!I$527</f>
        <v>-0.38251403476345397</v>
      </c>
      <c r="J354" s="48">
        <f>('Sheet1 (2)'!J354-'Sheet1 (2)'!J$526)/'Sheet1 (2)'!J$527</f>
        <v>-0.83945425120312078</v>
      </c>
      <c r="K354" s="48">
        <f>('Sheet1 (2)'!K354-'Sheet1 (2)'!K$526)/'Sheet1 (2)'!K$527</f>
        <v>0.40739630777627756</v>
      </c>
    </row>
    <row r="355" spans="1:11" ht="15.75" customHeight="1" x14ac:dyDescent="0.2">
      <c r="A355" s="49">
        <v>21</v>
      </c>
      <c r="B355" s="48">
        <f>('Sheet1 (2)'!B355-'Sheet1 (2)'!B$526)/'Sheet1 (2)'!B$527</f>
        <v>1.1794716518179513E-2</v>
      </c>
      <c r="C355" s="48">
        <f>('Sheet1 (2)'!C355-'Sheet1 (2)'!C$526)/'Sheet1 (2)'!C$527</f>
        <v>1.2633990375289095</v>
      </c>
      <c r="D355" s="48">
        <f>('Sheet1 (2)'!D355-'Sheet1 (2)'!D$526)/'Sheet1 (2)'!D$527</f>
        <v>1.4257032508898051</v>
      </c>
      <c r="E355" s="48">
        <f>('Sheet1 (2)'!E355-'Sheet1 (2)'!E$526)/'Sheet1 (2)'!E$527</f>
        <v>1.2531663979719021E-2</v>
      </c>
      <c r="F355" s="48">
        <f>('Sheet1 (2)'!F355-'Sheet1 (2)'!F$526)/'Sheet1 (2)'!F$527</f>
        <v>3.5300958634082259E-2</v>
      </c>
      <c r="G355" s="48">
        <f>('Sheet1 (2)'!G355-'Sheet1 (2)'!G$526)/'Sheet1 (2)'!G$527</f>
        <v>-0.50144115274505707</v>
      </c>
      <c r="H355" s="48">
        <f>('Sheet1 (2)'!H355-'Sheet1 (2)'!H$526)/'Sheet1 (2)'!H$527</f>
        <v>0.77600961264008317</v>
      </c>
      <c r="I355" s="48">
        <f>('Sheet1 (2)'!I355-'Sheet1 (2)'!I$526)/'Sheet1 (2)'!I$527</f>
        <v>0.2020594840304156</v>
      </c>
      <c r="J355" s="48">
        <f>('Sheet1 (2)'!J355-'Sheet1 (2)'!J$526)/'Sheet1 (2)'!J$527</f>
        <v>-0.83945425120312078</v>
      </c>
      <c r="K355" s="48">
        <f>('Sheet1 (2)'!K355-'Sheet1 (2)'!K$526)/'Sheet1 (2)'!K$527</f>
        <v>0.31062431909723032</v>
      </c>
    </row>
    <row r="356" spans="1:11" ht="15.75" customHeight="1" x14ac:dyDescent="0.2">
      <c r="A356" s="50">
        <v>21</v>
      </c>
      <c r="B356" s="48">
        <f>('Sheet1 (2)'!B356-'Sheet1 (2)'!B$526)/'Sheet1 (2)'!B$527</f>
        <v>1.1794716518179513E-2</v>
      </c>
      <c r="C356" s="48">
        <f>('Sheet1 (2)'!C356-'Sheet1 (2)'!C$526)/'Sheet1 (2)'!C$527</f>
        <v>1.5482391497651344</v>
      </c>
      <c r="D356" s="48">
        <f>('Sheet1 (2)'!D356-'Sheet1 (2)'!D$526)/'Sheet1 (2)'!D$527</f>
        <v>-0.4704097020702403</v>
      </c>
      <c r="E356" s="48">
        <f>('Sheet1 (2)'!E356-'Sheet1 (2)'!E$526)/'Sheet1 (2)'!E$527</f>
        <v>-0.9823368817469168</v>
      </c>
      <c r="F356" s="48">
        <f>('Sheet1 (2)'!F356-'Sheet1 (2)'!F$526)/'Sheet1 (2)'!F$527</f>
        <v>-1.1978791963165167</v>
      </c>
      <c r="G356" s="48">
        <f>('Sheet1 (2)'!G356-'Sheet1 (2)'!G$526)/'Sheet1 (2)'!G$527</f>
        <v>-0.50144115274505707</v>
      </c>
      <c r="H356" s="48">
        <f>('Sheet1 (2)'!H356-'Sheet1 (2)'!H$526)/'Sheet1 (2)'!H$527</f>
        <v>0.93172146145504275</v>
      </c>
      <c r="I356" s="48">
        <f>('Sheet1 (2)'!I356-'Sheet1 (2)'!I$526)/'Sheet1 (2)'!I$527</f>
        <v>0.68585874403989167</v>
      </c>
      <c r="J356" s="48">
        <f>('Sheet1 (2)'!J356-'Sheet1 (2)'!J$526)/'Sheet1 (2)'!J$527</f>
        <v>-0.83945425120312078</v>
      </c>
      <c r="K356" s="48">
        <f>('Sheet1 (2)'!K356-'Sheet1 (2)'!K$526)/'Sheet1 (2)'!K$527</f>
        <v>0.41627847694626324</v>
      </c>
    </row>
    <row r="357" spans="1:11" ht="15.75" customHeight="1" x14ac:dyDescent="0.2">
      <c r="A357" s="51">
        <v>21</v>
      </c>
      <c r="B357" s="48">
        <f>('Sheet1 (2)'!B357-'Sheet1 (2)'!B$526)/'Sheet1 (2)'!B$527</f>
        <v>1.1794716518179513E-2</v>
      </c>
      <c r="C357" s="48">
        <f>('Sheet1 (2)'!C357-'Sheet1 (2)'!C$526)/'Sheet1 (2)'!C$527</f>
        <v>1.5448672199743025</v>
      </c>
      <c r="D357" s="48">
        <f>('Sheet1 (2)'!D357-'Sheet1 (2)'!D$526)/'Sheet1 (2)'!D$527</f>
        <v>-0.4704097020702403</v>
      </c>
      <c r="E357" s="48">
        <f>('Sheet1 (2)'!E357-'Sheet1 (2)'!E$526)/'Sheet1 (2)'!E$527</f>
        <v>-0.48375379993934192</v>
      </c>
      <c r="F357" s="48">
        <f>('Sheet1 (2)'!F357-'Sheet1 (2)'!F$526)/'Sheet1 (2)'!F$527</f>
        <v>-1.1978791963165167</v>
      </c>
      <c r="G357" s="48">
        <f>('Sheet1 (2)'!G357-'Sheet1 (2)'!G$526)/'Sheet1 (2)'!G$527</f>
        <v>-0.13618901353705609</v>
      </c>
      <c r="H357" s="48">
        <f>('Sheet1 (2)'!H357-'Sheet1 (2)'!H$526)/'Sheet1 (2)'!H$527</f>
        <v>0.40229448647169058</v>
      </c>
      <c r="I357" s="48">
        <f>('Sheet1 (2)'!I357-'Sheet1 (2)'!I$526)/'Sheet1 (2)'!I$527</f>
        <v>-0.6529669988316823</v>
      </c>
      <c r="J357" s="48">
        <f>('Sheet1 (2)'!J357-'Sheet1 (2)'!J$526)/'Sheet1 (2)'!J$527</f>
        <v>0.43609566797212518</v>
      </c>
      <c r="K357" s="48">
        <f>('Sheet1 (2)'!K357-'Sheet1 (2)'!K$526)/'Sheet1 (2)'!K$527</f>
        <v>-0.4845900742103737</v>
      </c>
    </row>
    <row r="358" spans="1:11" ht="15.75" customHeight="1" x14ac:dyDescent="0.2">
      <c r="A358" s="48">
        <v>21</v>
      </c>
      <c r="B358" s="48">
        <f>('Sheet1 (2)'!B358-'Sheet1 (2)'!B$526)/'Sheet1 (2)'!B$527</f>
        <v>1.2478810076233939</v>
      </c>
      <c r="C358" s="48">
        <f>('Sheet1 (2)'!C358-'Sheet1 (2)'!C$526)/'Sheet1 (2)'!C$527</f>
        <v>3.9906060854298896E-2</v>
      </c>
      <c r="D358" s="48">
        <f>('Sheet1 (2)'!D358-'Sheet1 (2)'!D$526)/'Sheet1 (2)'!D$527</f>
        <v>-0.4704097020702403</v>
      </c>
      <c r="E358" s="48">
        <f>('Sheet1 (2)'!E358-'Sheet1 (2)'!E$526)/'Sheet1 (2)'!E$527</f>
        <v>-0.10464684833450383</v>
      </c>
      <c r="F358" s="48">
        <f>('Sheet1 (2)'!F358-'Sheet1 (2)'!F$526)/'Sheet1 (2)'!F$527</f>
        <v>1.2684811135846812</v>
      </c>
      <c r="G358" s="48">
        <f>('Sheet1 (2)'!G358-'Sheet1 (2)'!G$526)/'Sheet1 (2)'!G$527</f>
        <v>-0.22960130975997345</v>
      </c>
      <c r="H358" s="48">
        <f>('Sheet1 (2)'!H358-'Sheet1 (2)'!H$526)/'Sheet1 (2)'!H$527</f>
        <v>1.0032688109856951</v>
      </c>
      <c r="I358" s="48">
        <f>('Sheet1 (2)'!I358-'Sheet1 (2)'!I$526)/'Sheet1 (2)'!I$527</f>
        <v>0.6908067337950734</v>
      </c>
      <c r="J358" s="48">
        <f>('Sheet1 (2)'!J358-'Sheet1 (2)'!J$526)/'Sheet1 (2)'!J$527</f>
        <v>-0.7897850748609877</v>
      </c>
      <c r="K358" s="48">
        <f>('Sheet1 (2)'!K358-'Sheet1 (2)'!K$526)/'Sheet1 (2)'!K$527</f>
        <v>0.95223393762001529</v>
      </c>
    </row>
    <row r="359" spans="1:11" ht="15.75" customHeight="1" x14ac:dyDescent="0.2">
      <c r="A359" s="49">
        <v>21</v>
      </c>
      <c r="B359" s="48">
        <f>('Sheet1 (2)'!B359-'Sheet1 (2)'!B$526)/'Sheet1 (2)'!B$527</f>
        <v>1.2478810076233939</v>
      </c>
      <c r="C359" s="48">
        <f>('Sheet1 (2)'!C359-'Sheet1 (2)'!C$526)/'Sheet1 (2)'!C$527</f>
        <v>-0.54345261117358223</v>
      </c>
      <c r="D359" s="48">
        <f>('Sheet1 (2)'!D359-'Sheet1 (2)'!D$526)/'Sheet1 (2)'!D$527</f>
        <v>-0.4704097020702403</v>
      </c>
      <c r="E359" s="48">
        <f>('Sheet1 (2)'!E359-'Sheet1 (2)'!E$526)/'Sheet1 (2)'!E$527</f>
        <v>0.55706710355757727</v>
      </c>
      <c r="F359" s="48">
        <f>('Sheet1 (2)'!F359-'Sheet1 (2)'!F$526)/'Sheet1 (2)'!F$527</f>
        <v>1.2684811135846812</v>
      </c>
      <c r="G359" s="48">
        <f>('Sheet1 (2)'!G359-'Sheet1 (2)'!G$526)/'Sheet1 (2)'!G$527</f>
        <v>3.344548945807905</v>
      </c>
      <c r="H359" s="48">
        <f>('Sheet1 (2)'!H359-'Sheet1 (2)'!H$526)/'Sheet1 (2)'!H$527</f>
        <v>-0.32890654938274899</v>
      </c>
      <c r="I359" s="48">
        <f>('Sheet1 (2)'!I359-'Sheet1 (2)'!I$526)/'Sheet1 (2)'!I$527</f>
        <v>0.52663466227104483</v>
      </c>
      <c r="J359" s="48">
        <f>('Sheet1 (2)'!J359-'Sheet1 (2)'!J$526)/'Sheet1 (2)'!J$527</f>
        <v>-0.24642412261530658</v>
      </c>
      <c r="K359" s="48">
        <f>('Sheet1 (2)'!K359-'Sheet1 (2)'!K$526)/'Sheet1 (2)'!K$527</f>
        <v>1.0146075854008261</v>
      </c>
    </row>
    <row r="360" spans="1:11" ht="15.75" customHeight="1" x14ac:dyDescent="0.2">
      <c r="A360" s="50">
        <v>21</v>
      </c>
      <c r="B360" s="48">
        <f>('Sheet1 (2)'!B360-'Sheet1 (2)'!B$526)/'Sheet1 (2)'!B$527</f>
        <v>1.2478810076233939</v>
      </c>
      <c r="C360" s="48">
        <f>('Sheet1 (2)'!C360-'Sheet1 (2)'!C$526)/'Sheet1 (2)'!C$527</f>
        <v>-1.1178210046350892</v>
      </c>
      <c r="D360" s="48">
        <f>('Sheet1 (2)'!D360-'Sheet1 (2)'!D$526)/'Sheet1 (2)'!D$527</f>
        <v>-0.4704097020702403</v>
      </c>
      <c r="E360" s="48">
        <f>('Sheet1 (2)'!E360-'Sheet1 (2)'!E$526)/'Sheet1 (2)'!E$527</f>
        <v>-0.22642059642575471</v>
      </c>
      <c r="F360" s="48">
        <f>('Sheet1 (2)'!F360-'Sheet1 (2)'!F$526)/'Sheet1 (2)'!F$527</f>
        <v>3.5300958634082259E-2</v>
      </c>
      <c r="G360" s="48">
        <f>('Sheet1 (2)'!G360-'Sheet1 (2)'!G$526)/'Sheet1 (2)'!G$527</f>
        <v>0.86863165589976421</v>
      </c>
      <c r="H360" s="48">
        <f>('Sheet1 (2)'!H360-'Sheet1 (2)'!H$526)/'Sheet1 (2)'!H$527</f>
        <v>-0.19028512740437467</v>
      </c>
      <c r="I360" s="48">
        <f>('Sheet1 (2)'!I360-'Sheet1 (2)'!I$526)/'Sheet1 (2)'!I$527</f>
        <v>-1.9702194461395042</v>
      </c>
      <c r="J360" s="48">
        <f>('Sheet1 (2)'!J360-'Sheet1 (2)'!J$526)/'Sheet1 (2)'!J$527</f>
        <v>-0.40565745309928997</v>
      </c>
      <c r="K360" s="48">
        <f>('Sheet1 (2)'!K360-'Sheet1 (2)'!K$526)/'Sheet1 (2)'!K$527</f>
        <v>0.44182688641517021</v>
      </c>
    </row>
    <row r="361" spans="1:11" ht="15.75" customHeight="1" x14ac:dyDescent="0.2">
      <c r="A361" s="49">
        <v>21</v>
      </c>
      <c r="B361" s="48">
        <f>('Sheet1 (2)'!B361-'Sheet1 (2)'!B$526)/'Sheet1 (2)'!B$527</f>
        <v>1.2478810076233939</v>
      </c>
      <c r="C361" s="48">
        <f>('Sheet1 (2)'!C361-'Sheet1 (2)'!C$526)/'Sheet1 (2)'!C$527</f>
        <v>-0.63299578569466208</v>
      </c>
      <c r="D361" s="48">
        <f>('Sheet1 (2)'!D361-'Sheet1 (2)'!D$526)/'Sheet1 (2)'!D$527</f>
        <v>-0.4704097020702403</v>
      </c>
      <c r="E361" s="48">
        <f>('Sheet1 (2)'!E361-'Sheet1 (2)'!E$526)/'Sheet1 (2)'!E$527</f>
        <v>-0.23561106797981141</v>
      </c>
      <c r="F361" s="48">
        <f>('Sheet1 (2)'!F361-'Sheet1 (2)'!F$526)/'Sheet1 (2)'!F$527</f>
        <v>3.5300958634082259E-2</v>
      </c>
      <c r="G361" s="48">
        <f>('Sheet1 (2)'!G361-'Sheet1 (2)'!G$526)/'Sheet1 (2)'!G$527</f>
        <v>3.6500969293231398</v>
      </c>
      <c r="H361" s="48">
        <f>('Sheet1 (2)'!H361-'Sheet1 (2)'!H$526)/'Sheet1 (2)'!H$527</f>
        <v>0.43985496369054011</v>
      </c>
      <c r="I361" s="48">
        <f>('Sheet1 (2)'!I361-'Sheet1 (2)'!I$526)/'Sheet1 (2)'!I$527</f>
        <v>0.7707771500786853</v>
      </c>
      <c r="J361" s="48">
        <f>('Sheet1 (2)'!J361-'Sheet1 (2)'!J$526)/'Sheet1 (2)'!J$527</f>
        <v>-0.74098318245395278</v>
      </c>
      <c r="K361" s="48">
        <f>('Sheet1 (2)'!K361-'Sheet1 (2)'!K$526)/'Sheet1 (2)'!K$527</f>
        <v>-0.38997902158459136</v>
      </c>
    </row>
    <row r="362" spans="1:11" ht="15.75" customHeight="1" x14ac:dyDescent="0.2">
      <c r="A362" s="50">
        <v>21</v>
      </c>
      <c r="B362" s="48">
        <f>('Sheet1 (2)'!B362-'Sheet1 (2)'!B$526)/'Sheet1 (2)'!B$527</f>
        <v>1.2478810076233939</v>
      </c>
      <c r="C362" s="48">
        <f>('Sheet1 (2)'!C362-'Sheet1 (2)'!C$526)/'Sheet1 (2)'!C$527</f>
        <v>0.34167659024852975</v>
      </c>
      <c r="D362" s="48">
        <f>('Sheet1 (2)'!D362-'Sheet1 (2)'!D$526)/'Sheet1 (2)'!D$527</f>
        <v>-0.4704097020702403</v>
      </c>
      <c r="E362" s="48">
        <f>('Sheet1 (2)'!E362-'Sheet1 (2)'!E$526)/'Sheet1 (2)'!E$527</f>
        <v>-0.78474174333469826</v>
      </c>
      <c r="F362" s="48">
        <f>('Sheet1 (2)'!F362-'Sheet1 (2)'!F$526)/'Sheet1 (2)'!F$527</f>
        <v>-1.1978791963165167</v>
      </c>
      <c r="G362" s="48">
        <f>('Sheet1 (2)'!G362-'Sheet1 (2)'!G$526)/'Sheet1 (2)'!G$527</f>
        <v>0.14988711104720315</v>
      </c>
      <c r="H362" s="48">
        <f>('Sheet1 (2)'!H362-'Sheet1 (2)'!H$526)/'Sheet1 (2)'!H$527</f>
        <v>0.73589393266130576</v>
      </c>
      <c r="I362" s="48">
        <f>('Sheet1 (2)'!I362-'Sheet1 (2)'!I$526)/'Sheet1 (2)'!I$527</f>
        <v>-0.77785630811189377</v>
      </c>
      <c r="J362" s="48">
        <f>('Sheet1 (2)'!J362-'Sheet1 (2)'!J$526)/'Sheet1 (2)'!J$527</f>
        <v>1.3168836918167461</v>
      </c>
      <c r="K362" s="48">
        <f>('Sheet1 (2)'!K362-'Sheet1 (2)'!K$526)/'Sheet1 (2)'!K$527</f>
        <v>0.94053298100152771</v>
      </c>
    </row>
    <row r="363" spans="1:11" ht="15.75" customHeight="1" x14ac:dyDescent="0.2">
      <c r="A363" s="51">
        <v>21</v>
      </c>
      <c r="B363" s="48">
        <f>('Sheet1 (2)'!B363-'Sheet1 (2)'!B$526)/'Sheet1 (2)'!B$527</f>
        <v>1.2478810076233939</v>
      </c>
      <c r="C363" s="48">
        <f>('Sheet1 (2)'!C363-'Sheet1 (2)'!C$526)/'Sheet1 (2)'!C$527</f>
        <v>-0.94292380995648772</v>
      </c>
      <c r="D363" s="48">
        <f>('Sheet1 (2)'!D363-'Sheet1 (2)'!D$526)/'Sheet1 (2)'!D$527</f>
        <v>-0.4704097020702403</v>
      </c>
      <c r="E363" s="48">
        <f>('Sheet1 (2)'!E363-'Sheet1 (2)'!E$526)/'Sheet1 (2)'!E$527</f>
        <v>-0.92259881664554844</v>
      </c>
      <c r="F363" s="48">
        <f>('Sheet1 (2)'!F363-'Sheet1 (2)'!F$526)/'Sheet1 (2)'!F$527</f>
        <v>-1.1978791963165167</v>
      </c>
      <c r="G363" s="48">
        <f>('Sheet1 (2)'!G363-'Sheet1 (2)'!G$526)/'Sheet1 (2)'!G$527</f>
        <v>0.5380744068299026</v>
      </c>
      <c r="H363" s="48">
        <f>('Sheet1 (2)'!H363-'Sheet1 (2)'!H$526)/'Sheet1 (2)'!H$527</f>
        <v>-8.784624607798279E-2</v>
      </c>
      <c r="I363" s="48">
        <f>('Sheet1 (2)'!I363-'Sheet1 (2)'!I$526)/'Sheet1 (2)'!I$527</f>
        <v>0.61506755646826639</v>
      </c>
      <c r="J363" s="48">
        <f>('Sheet1 (2)'!J363-'Sheet1 (2)'!J$526)/'Sheet1 (2)'!J$527</f>
        <v>-0.13468768414742557</v>
      </c>
      <c r="K363" s="48">
        <f>('Sheet1 (2)'!K363-'Sheet1 (2)'!K$526)/'Sheet1 (2)'!K$527</f>
        <v>0.44314796216241886</v>
      </c>
    </row>
    <row r="364" spans="1:11" ht="15.75" customHeight="1" x14ac:dyDescent="0.2">
      <c r="A364" s="48">
        <v>22</v>
      </c>
      <c r="B364" s="48">
        <f>('Sheet1 (2)'!B364-'Sheet1 (2)'!B$526)/'Sheet1 (2)'!B$527</f>
        <v>-1.2242915745870349</v>
      </c>
      <c r="C364" s="48">
        <f>('Sheet1 (2)'!C364-'Sheet1 (2)'!C$526)/'Sheet1 (2)'!C$527</f>
        <v>-0.42678741940088055</v>
      </c>
      <c r="D364" s="48">
        <f>('Sheet1 (2)'!D364-'Sheet1 (2)'!D$526)/'Sheet1 (2)'!D$527</f>
        <v>1.4257032508898051</v>
      </c>
      <c r="E364" s="48">
        <f>('Sheet1 (2)'!E364-'Sheet1 (2)'!E$526)/'Sheet1 (2)'!E$527</f>
        <v>1.3014952994361686</v>
      </c>
      <c r="F364" s="48">
        <f>('Sheet1 (2)'!F364-'Sheet1 (2)'!F$526)/'Sheet1 (2)'!F$527</f>
        <v>1.2684811135846812</v>
      </c>
      <c r="G364" s="48">
        <f>('Sheet1 (2)'!G364-'Sheet1 (2)'!G$526)/'Sheet1 (2)'!G$527</f>
        <v>-0.50144115274505707</v>
      </c>
      <c r="H364" s="48">
        <f>('Sheet1 (2)'!H364-'Sheet1 (2)'!H$526)/'Sheet1 (2)'!H$527</f>
        <v>0.10610191795553948</v>
      </c>
      <c r="I364" s="48">
        <f>('Sheet1 (2)'!I364-'Sheet1 (2)'!I$526)/'Sheet1 (2)'!I$527</f>
        <v>0.73919957045660456</v>
      </c>
      <c r="J364" s="48">
        <f>('Sheet1 (2)'!J364-'Sheet1 (2)'!J$526)/'Sheet1 (2)'!J$527</f>
        <v>1.7833650001577466</v>
      </c>
      <c r="K364" s="48">
        <f>('Sheet1 (2)'!K364-'Sheet1 (2)'!K$526)/'Sheet1 (2)'!K$527</f>
        <v>1.6197161961908459</v>
      </c>
    </row>
    <row r="365" spans="1:11" ht="15.75" customHeight="1" x14ac:dyDescent="0.2">
      <c r="A365" s="49">
        <v>22</v>
      </c>
      <c r="B365" s="48">
        <f>('Sheet1 (2)'!B365-'Sheet1 (2)'!B$526)/'Sheet1 (2)'!B$527</f>
        <v>-1.2242915745870349</v>
      </c>
      <c r="C365" s="48">
        <f>('Sheet1 (2)'!C365-'Sheet1 (2)'!C$526)/'Sheet1 (2)'!C$527</f>
        <v>-4.6946689562474282E-2</v>
      </c>
      <c r="D365" s="48">
        <f>('Sheet1 (2)'!D365-'Sheet1 (2)'!D$526)/'Sheet1 (2)'!D$527</f>
        <v>1.4257032508898051</v>
      </c>
      <c r="E365" s="48">
        <f>('Sheet1 (2)'!E365-'Sheet1 (2)'!E$526)/'Sheet1 (2)'!E$527</f>
        <v>4.235553343068764</v>
      </c>
      <c r="F365" s="48">
        <f>('Sheet1 (2)'!F365-'Sheet1 (2)'!F$526)/'Sheet1 (2)'!F$527</f>
        <v>1.2684811135846812</v>
      </c>
      <c r="G365" s="48">
        <f>('Sheet1 (2)'!G365-'Sheet1 (2)'!G$526)/'Sheet1 (2)'!G$527</f>
        <v>-0.50144115274505707</v>
      </c>
      <c r="H365" s="48">
        <f>('Sheet1 (2)'!H365-'Sheet1 (2)'!H$526)/'Sheet1 (2)'!H$527</f>
        <v>-0.76539434137491802</v>
      </c>
      <c r="I365" s="48">
        <f>('Sheet1 (2)'!I365-'Sheet1 (2)'!I$526)/'Sheet1 (2)'!I$527</f>
        <v>0.62871721991781104</v>
      </c>
      <c r="J365" s="48">
        <f>('Sheet1 (2)'!J365-'Sheet1 (2)'!J$526)/'Sheet1 (2)'!J$527</f>
        <v>3.2126836338030818</v>
      </c>
      <c r="K365" s="48">
        <f>('Sheet1 (2)'!K365-'Sheet1 (2)'!K$526)/'Sheet1 (2)'!K$527</f>
        <v>2.0460077683354263</v>
      </c>
    </row>
    <row r="366" spans="1:11" ht="15.75" customHeight="1" x14ac:dyDescent="0.2">
      <c r="A366" s="50">
        <v>22</v>
      </c>
      <c r="B366" s="48">
        <f>('Sheet1 (2)'!B366-'Sheet1 (2)'!B$526)/'Sheet1 (2)'!B$527</f>
        <v>-1.2242915745870349</v>
      </c>
      <c r="C366" s="48">
        <f>('Sheet1 (2)'!C366-'Sheet1 (2)'!C$526)/'Sheet1 (2)'!C$527</f>
        <v>-0.83385601694420364</v>
      </c>
      <c r="D366" s="48">
        <f>('Sheet1 (2)'!D366-'Sheet1 (2)'!D$526)/'Sheet1 (2)'!D$527</f>
        <v>-0.4704097020702403</v>
      </c>
      <c r="E366" s="48">
        <f>('Sheet1 (2)'!E366-'Sheet1 (2)'!E$526)/'Sheet1 (2)'!E$527</f>
        <v>4.2400696530403216E-2</v>
      </c>
      <c r="F366" s="48">
        <f>('Sheet1 (2)'!F366-'Sheet1 (2)'!F$526)/'Sheet1 (2)'!F$527</f>
        <v>3.5300958634082259E-2</v>
      </c>
      <c r="G366" s="48">
        <f>('Sheet1 (2)'!G366-'Sheet1 (2)'!G$526)/'Sheet1 (2)'!G$527</f>
        <v>-0.26685343639126269</v>
      </c>
      <c r="H366" s="48">
        <f>('Sheet1 (2)'!H366-'Sheet1 (2)'!H$526)/'Sheet1 (2)'!H$527</f>
        <v>-1.0207953919126007</v>
      </c>
      <c r="I366" s="48">
        <f>('Sheet1 (2)'!I366-'Sheet1 (2)'!I$526)/'Sheet1 (2)'!I$527</f>
        <v>-1.2169648842958647</v>
      </c>
      <c r="J366" s="48">
        <f>('Sheet1 (2)'!J366-'Sheet1 (2)'!J$526)/'Sheet1 (2)'!J$527</f>
        <v>1.6368634323340232</v>
      </c>
      <c r="K366" s="48">
        <f>('Sheet1 (2)'!K366-'Sheet1 (2)'!K$526)/'Sheet1 (2)'!K$527</f>
        <v>0.26570092799560785</v>
      </c>
    </row>
    <row r="367" spans="1:11" ht="15.75" customHeight="1" x14ac:dyDescent="0.2">
      <c r="A367" s="49">
        <v>22</v>
      </c>
      <c r="B367" s="48">
        <f>('Sheet1 (2)'!B367-'Sheet1 (2)'!B$526)/'Sheet1 (2)'!B$527</f>
        <v>-1.2242915745870349</v>
      </c>
      <c r="C367" s="48">
        <f>('Sheet1 (2)'!C367-'Sheet1 (2)'!C$526)/'Sheet1 (2)'!C$527</f>
        <v>6.4792133320952364E-2</v>
      </c>
      <c r="D367" s="48">
        <f>('Sheet1 (2)'!D367-'Sheet1 (2)'!D$526)/'Sheet1 (2)'!D$527</f>
        <v>-0.4704097020702403</v>
      </c>
      <c r="E367" s="48">
        <f>('Sheet1 (2)'!E367-'Sheet1 (2)'!E$526)/'Sheet1 (2)'!E$527</f>
        <v>-7.7075433672333757E-2</v>
      </c>
      <c r="F367" s="48">
        <f>('Sheet1 (2)'!F367-'Sheet1 (2)'!F$526)/'Sheet1 (2)'!F$527</f>
        <v>3.5300958634082259E-2</v>
      </c>
      <c r="G367" s="48">
        <f>('Sheet1 (2)'!G367-'Sheet1 (2)'!G$526)/'Sheet1 (2)'!G$527</f>
        <v>-0.50144115274505707</v>
      </c>
      <c r="H367" s="48">
        <f>('Sheet1 (2)'!H367-'Sheet1 (2)'!H$526)/'Sheet1 (2)'!H$527</f>
        <v>-0.30593350769895045</v>
      </c>
      <c r="I367" s="48">
        <f>('Sheet1 (2)'!I367-'Sheet1 (2)'!I$526)/'Sheet1 (2)'!I$527</f>
        <v>0.56916644941463146</v>
      </c>
      <c r="J367" s="48">
        <f>('Sheet1 (2)'!J367-'Sheet1 (2)'!J$526)/'Sheet1 (2)'!J$527</f>
        <v>1.3565321708364804</v>
      </c>
      <c r="K367" s="48">
        <f>('Sheet1 (2)'!K367-'Sheet1 (2)'!K$526)/'Sheet1 (2)'!K$527</f>
        <v>-5.5044380744452857E-2</v>
      </c>
    </row>
    <row r="368" spans="1:11" ht="15.75" customHeight="1" x14ac:dyDescent="0.2">
      <c r="A368" s="50">
        <v>22</v>
      </c>
      <c r="B368" s="48">
        <f>('Sheet1 (2)'!B368-'Sheet1 (2)'!B$526)/'Sheet1 (2)'!B$527</f>
        <v>-1.2242915745870349</v>
      </c>
      <c r="C368" s="48">
        <f>('Sheet1 (2)'!C368-'Sheet1 (2)'!C$526)/'Sheet1 (2)'!C$527</f>
        <v>-9.8814580004859376E-2</v>
      </c>
      <c r="D368" s="48">
        <f>('Sheet1 (2)'!D368-'Sheet1 (2)'!D$526)/'Sheet1 (2)'!D$527</f>
        <v>-0.4704097020702403</v>
      </c>
      <c r="E368" s="48">
        <f>('Sheet1 (2)'!E368-'Sheet1 (2)'!E$526)/'Sheet1 (2)'!E$527</f>
        <v>-0.2769681899730666</v>
      </c>
      <c r="F368" s="48">
        <f>('Sheet1 (2)'!F368-'Sheet1 (2)'!F$526)/'Sheet1 (2)'!F$527</f>
        <v>-1.1978791963165167</v>
      </c>
      <c r="G368" s="48">
        <f>('Sheet1 (2)'!G368-'Sheet1 (2)'!G$526)/'Sheet1 (2)'!G$527</f>
        <v>-0.50144115274505707</v>
      </c>
      <c r="H368" s="48">
        <f>('Sheet1 (2)'!H368-'Sheet1 (2)'!H$526)/'Sheet1 (2)'!H$527</f>
        <v>-0.49868080818991017</v>
      </c>
      <c r="I368" s="48">
        <f>('Sheet1 (2)'!I368-'Sheet1 (2)'!I$526)/'Sheet1 (2)'!I$527</f>
        <v>-0.48825150840169446</v>
      </c>
      <c r="J368" s="48">
        <f>('Sheet1 (2)'!J368-'Sheet1 (2)'!J$526)/'Sheet1 (2)'!J$527</f>
        <v>-0.83945425120312078</v>
      </c>
      <c r="K368" s="48">
        <f>('Sheet1 (2)'!K368-'Sheet1 (2)'!K$526)/'Sheet1 (2)'!K$527</f>
        <v>-1.3935073021797537</v>
      </c>
    </row>
    <row r="369" spans="1:11" ht="15.75" customHeight="1" x14ac:dyDescent="0.2">
      <c r="A369" s="51">
        <v>22</v>
      </c>
      <c r="B369" s="48">
        <f>('Sheet1 (2)'!B369-'Sheet1 (2)'!B$526)/'Sheet1 (2)'!B$527</f>
        <v>-1.2242915745870349</v>
      </c>
      <c r="C369" s="48">
        <f>('Sheet1 (2)'!C369-'Sheet1 (2)'!C$526)/'Sheet1 (2)'!C$527</f>
        <v>-0.75281499384394324</v>
      </c>
      <c r="D369" s="48">
        <f>('Sheet1 (2)'!D369-'Sheet1 (2)'!D$526)/'Sheet1 (2)'!D$527</f>
        <v>1.4257032508898051</v>
      </c>
      <c r="E369" s="48">
        <f>('Sheet1 (2)'!E369-'Sheet1 (2)'!E$526)/'Sheet1 (2)'!E$527</f>
        <v>8.6055436412172337E-2</v>
      </c>
      <c r="F369" s="48">
        <f>('Sheet1 (2)'!F369-'Sheet1 (2)'!F$526)/'Sheet1 (2)'!F$527</f>
        <v>-1.1978791963165167</v>
      </c>
      <c r="G369" s="48">
        <f>('Sheet1 (2)'!G369-'Sheet1 (2)'!G$526)/'Sheet1 (2)'!G$527</f>
        <v>-0.19234918312868421</v>
      </c>
      <c r="H369" s="48">
        <f>('Sheet1 (2)'!H369-'Sheet1 (2)'!H$526)/'Sheet1 (2)'!H$527</f>
        <v>-1.2914247844755284</v>
      </c>
      <c r="I369" s="48">
        <f>('Sheet1 (2)'!I369-'Sheet1 (2)'!I$526)/'Sheet1 (2)'!I$527</f>
        <v>0.65575013547517547</v>
      </c>
      <c r="J369" s="48">
        <f>('Sheet1 (2)'!J369-'Sheet1 (2)'!J$526)/'Sheet1 (2)'!J$527</f>
        <v>-0.30999821243003289</v>
      </c>
      <c r="K369" s="48">
        <f>('Sheet1 (2)'!K369-'Sheet1 (2)'!K$526)/'Sheet1 (2)'!K$527</f>
        <v>0.80452858231322011</v>
      </c>
    </row>
    <row r="370" spans="1:11" ht="15.75" customHeight="1" x14ac:dyDescent="0.2">
      <c r="A370" s="48">
        <v>22</v>
      </c>
      <c r="B370" s="48">
        <f>('Sheet1 (2)'!B370-'Sheet1 (2)'!B$526)/'Sheet1 (2)'!B$527</f>
        <v>1.1794716518179513E-2</v>
      </c>
      <c r="C370" s="48">
        <f>('Sheet1 (2)'!C370-'Sheet1 (2)'!C$526)/'Sheet1 (2)'!C$527</f>
        <v>-1.1633745204020667</v>
      </c>
      <c r="D370" s="48">
        <f>('Sheet1 (2)'!D370-'Sheet1 (2)'!D$526)/'Sheet1 (2)'!D$527</f>
        <v>-0.4704097020702403</v>
      </c>
      <c r="E370" s="48">
        <f>('Sheet1 (2)'!E370-'Sheet1 (2)'!E$526)/'Sheet1 (2)'!E$527</f>
        <v>-5.8492791283943583E-3</v>
      </c>
      <c r="F370" s="48">
        <f>('Sheet1 (2)'!F370-'Sheet1 (2)'!F$526)/'Sheet1 (2)'!F$527</f>
        <v>1.2684811135846812</v>
      </c>
      <c r="G370" s="48">
        <f>('Sheet1 (2)'!G370-'Sheet1 (2)'!G$526)/'Sheet1 (2)'!G$527</f>
        <v>-0.50144115274505707</v>
      </c>
      <c r="H370" s="48">
        <f>('Sheet1 (2)'!H370-'Sheet1 (2)'!H$526)/'Sheet1 (2)'!H$527</f>
        <v>0.33085605800778189</v>
      </c>
      <c r="I370" s="48">
        <f>('Sheet1 (2)'!I370-'Sheet1 (2)'!I$526)/'Sheet1 (2)'!I$527</f>
        <v>0.22262568447106768</v>
      </c>
      <c r="J370" s="48">
        <f>('Sheet1 (2)'!J370-'Sheet1 (2)'!J$526)/'Sheet1 (2)'!J$527</f>
        <v>-0.16842895281852632</v>
      </c>
      <c r="K370" s="48">
        <f>('Sheet1 (2)'!K370-'Sheet1 (2)'!K$526)/'Sheet1 (2)'!K$527</f>
        <v>2.1947988997448351</v>
      </c>
    </row>
    <row r="371" spans="1:11" ht="15.75" customHeight="1" x14ac:dyDescent="0.2">
      <c r="A371" s="49">
        <v>22</v>
      </c>
      <c r="B371" s="48">
        <f>('Sheet1 (2)'!B371-'Sheet1 (2)'!B$526)/'Sheet1 (2)'!B$527</f>
        <v>1.1794716518179513E-2</v>
      </c>
      <c r="C371" s="48">
        <f>('Sheet1 (2)'!C371-'Sheet1 (2)'!C$526)/'Sheet1 (2)'!C$527</f>
        <v>1.5891415269424689</v>
      </c>
      <c r="D371" s="48">
        <f>('Sheet1 (2)'!D371-'Sheet1 (2)'!D$526)/'Sheet1 (2)'!D$527</f>
        <v>1.4257032508898051</v>
      </c>
      <c r="E371" s="48">
        <f>('Sheet1 (2)'!E371-'Sheet1 (2)'!E$526)/'Sheet1 (2)'!E$527</f>
        <v>1.0510549495881241</v>
      </c>
      <c r="F371" s="48">
        <f>('Sheet1 (2)'!F371-'Sheet1 (2)'!F$526)/'Sheet1 (2)'!F$527</f>
        <v>1.2684811135846812</v>
      </c>
      <c r="G371" s="48">
        <f>('Sheet1 (2)'!G371-'Sheet1 (2)'!G$526)/'Sheet1 (2)'!G$527</f>
        <v>-0.50144115274505707</v>
      </c>
      <c r="H371" s="48">
        <f>('Sheet1 (2)'!H371-'Sheet1 (2)'!H$526)/'Sheet1 (2)'!H$527</f>
        <v>1.5319413853074886</v>
      </c>
      <c r="I371" s="48">
        <f>('Sheet1 (2)'!I371-'Sheet1 (2)'!I$526)/'Sheet1 (2)'!I$527</f>
        <v>0.65192309703110862</v>
      </c>
      <c r="J371" s="48">
        <f>('Sheet1 (2)'!J371-'Sheet1 (2)'!J$526)/'Sheet1 (2)'!J$527</f>
        <v>-0.83945425120312078</v>
      </c>
      <c r="K371" s="48">
        <f>('Sheet1 (2)'!K371-'Sheet1 (2)'!K$526)/'Sheet1 (2)'!K$527</f>
        <v>1.5034949679608978</v>
      </c>
    </row>
    <row r="372" spans="1:11" ht="15.75" customHeight="1" x14ac:dyDescent="0.2">
      <c r="A372" s="50">
        <v>22</v>
      </c>
      <c r="B372" s="48">
        <f>('Sheet1 (2)'!B372-'Sheet1 (2)'!B$526)/'Sheet1 (2)'!B$527</f>
        <v>1.1794716518179513E-2</v>
      </c>
      <c r="C372" s="48">
        <f>('Sheet1 (2)'!C372-'Sheet1 (2)'!C$526)/'Sheet1 (2)'!C$527</f>
        <v>1.9711891203379337</v>
      </c>
      <c r="D372" s="48">
        <f>('Sheet1 (2)'!D372-'Sheet1 (2)'!D$526)/'Sheet1 (2)'!D$527</f>
        <v>-0.4704097020702403</v>
      </c>
      <c r="E372" s="48">
        <f>('Sheet1 (2)'!E372-'Sheet1 (2)'!E$526)/'Sheet1 (2)'!E$527</f>
        <v>-0.41252764539540265</v>
      </c>
      <c r="F372" s="48">
        <f>('Sheet1 (2)'!F372-'Sheet1 (2)'!F$526)/'Sheet1 (2)'!F$527</f>
        <v>3.5300958634082259E-2</v>
      </c>
      <c r="G372" s="48">
        <f>('Sheet1 (2)'!G372-'Sheet1 (2)'!G$526)/'Sheet1 (2)'!G$527</f>
        <v>-0.50144115274505707</v>
      </c>
      <c r="H372" s="48">
        <f>('Sheet1 (2)'!H372-'Sheet1 (2)'!H$526)/'Sheet1 (2)'!H$527</f>
        <v>1.1690209056883307</v>
      </c>
      <c r="I372" s="48">
        <f>('Sheet1 (2)'!I372-'Sheet1 (2)'!I$526)/'Sheet1 (2)'!I$527</f>
        <v>-0.61150240631853348</v>
      </c>
      <c r="J372" s="48">
        <f>('Sheet1 (2)'!J372-'Sheet1 (2)'!J$526)/'Sheet1 (2)'!J$527</f>
        <v>-0.83945425120312078</v>
      </c>
      <c r="K372" s="48">
        <f>('Sheet1 (2)'!K372-'Sheet1 (2)'!K$526)/'Sheet1 (2)'!K$527</f>
        <v>0.83694615532542793</v>
      </c>
    </row>
    <row r="373" spans="1:11" ht="15.75" customHeight="1" x14ac:dyDescent="0.2">
      <c r="A373" s="49">
        <v>22</v>
      </c>
      <c r="B373" s="48">
        <f>('Sheet1 (2)'!B373-'Sheet1 (2)'!B$526)/'Sheet1 (2)'!B$527</f>
        <v>1.1794716518179513E-2</v>
      </c>
      <c r="C373" s="48">
        <f>('Sheet1 (2)'!C373-'Sheet1 (2)'!C$526)/'Sheet1 (2)'!C$527</f>
        <v>1.8728314073723753</v>
      </c>
      <c r="D373" s="48">
        <f>('Sheet1 (2)'!D373-'Sheet1 (2)'!D$526)/'Sheet1 (2)'!D$527</f>
        <v>-0.4704097020702403</v>
      </c>
      <c r="E373" s="48">
        <f>('Sheet1 (2)'!E373-'Sheet1 (2)'!E$526)/'Sheet1 (2)'!E$527</f>
        <v>-0.15059920610478728</v>
      </c>
      <c r="F373" s="48">
        <f>('Sheet1 (2)'!F373-'Sheet1 (2)'!F$526)/'Sheet1 (2)'!F$527</f>
        <v>3.5300958634082259E-2</v>
      </c>
      <c r="G373" s="48">
        <f>('Sheet1 (2)'!G373-'Sheet1 (2)'!G$526)/'Sheet1 (2)'!G$527</f>
        <v>-0.50144115274505707</v>
      </c>
      <c r="H373" s="48">
        <f>('Sheet1 (2)'!H373-'Sheet1 (2)'!H$526)/'Sheet1 (2)'!H$527</f>
        <v>1.014653468639841</v>
      </c>
      <c r="I373" s="48">
        <f>('Sheet1 (2)'!I373-'Sheet1 (2)'!I$526)/'Sheet1 (2)'!I$527</f>
        <v>0.52934077970460114</v>
      </c>
      <c r="J373" s="48">
        <f>('Sheet1 (2)'!J373-'Sheet1 (2)'!J$526)/'Sheet1 (2)'!J$527</f>
        <v>-0.83945425120312078</v>
      </c>
      <c r="K373" s="48">
        <f>('Sheet1 (2)'!K373-'Sheet1 (2)'!K$526)/'Sheet1 (2)'!K$527</f>
        <v>0.5482610656998228</v>
      </c>
    </row>
    <row r="374" spans="1:11" ht="15.75" customHeight="1" x14ac:dyDescent="0.2">
      <c r="A374" s="50">
        <v>22</v>
      </c>
      <c r="B374" s="48">
        <f>('Sheet1 (2)'!B374-'Sheet1 (2)'!B$526)/'Sheet1 (2)'!B$527</f>
        <v>1.1794716518179513E-2</v>
      </c>
      <c r="C374" s="48">
        <f>('Sheet1 (2)'!C374-'Sheet1 (2)'!C$526)/'Sheet1 (2)'!C$527</f>
        <v>1.917708439977144</v>
      </c>
      <c r="D374" s="48">
        <f>('Sheet1 (2)'!D374-'Sheet1 (2)'!D$526)/'Sheet1 (2)'!D$527</f>
        <v>-0.4704097020702403</v>
      </c>
      <c r="E374" s="48">
        <f>('Sheet1 (2)'!E374-'Sheet1 (2)'!E$526)/'Sheet1 (2)'!E$527</f>
        <v>-0.57336089759139452</v>
      </c>
      <c r="F374" s="48">
        <f>('Sheet1 (2)'!F374-'Sheet1 (2)'!F$526)/'Sheet1 (2)'!F$527</f>
        <v>-1.1978791963165167</v>
      </c>
      <c r="G374" s="48">
        <f>('Sheet1 (2)'!G374-'Sheet1 (2)'!G$526)/'Sheet1 (2)'!G$527</f>
        <v>-0.50144115274505707</v>
      </c>
      <c r="H374" s="48">
        <f>('Sheet1 (2)'!H374-'Sheet1 (2)'!H$526)/'Sheet1 (2)'!H$527</f>
        <v>1.0385036558113327</v>
      </c>
      <c r="I374" s="48">
        <f>('Sheet1 (2)'!I374-'Sheet1 (2)'!I$526)/'Sheet1 (2)'!I$527</f>
        <v>0.46945269305942838</v>
      </c>
      <c r="J374" s="48">
        <f>('Sheet1 (2)'!J374-'Sheet1 (2)'!J$526)/'Sheet1 (2)'!J$527</f>
        <v>-0.83945425120312078</v>
      </c>
      <c r="K374" s="48">
        <f>('Sheet1 (2)'!K374-'Sheet1 (2)'!K$526)/'Sheet1 (2)'!K$527</f>
        <v>1.2825937514647714</v>
      </c>
    </row>
    <row r="375" spans="1:11" ht="15.75" customHeight="1" x14ac:dyDescent="0.2">
      <c r="A375" s="51">
        <v>22</v>
      </c>
      <c r="B375" s="48">
        <f>('Sheet1 (2)'!B375-'Sheet1 (2)'!B$526)/'Sheet1 (2)'!B$527</f>
        <v>1.1794716518179513E-2</v>
      </c>
      <c r="C375" s="48">
        <f>('Sheet1 (2)'!C375-'Sheet1 (2)'!C$526)/'Sheet1 (2)'!C$527</f>
        <v>1.6034857418591379</v>
      </c>
      <c r="D375" s="48">
        <f>('Sheet1 (2)'!D375-'Sheet1 (2)'!D$526)/'Sheet1 (2)'!D$527</f>
        <v>-0.4704097020702403</v>
      </c>
      <c r="E375" s="48">
        <f>('Sheet1 (2)'!E375-'Sheet1 (2)'!E$526)/'Sheet1 (2)'!E$527</f>
        <v>-0.44239667794608684</v>
      </c>
      <c r="F375" s="48">
        <f>('Sheet1 (2)'!F375-'Sheet1 (2)'!F$526)/'Sheet1 (2)'!F$527</f>
        <v>-1.1978791963165167</v>
      </c>
      <c r="G375" s="48">
        <f>('Sheet1 (2)'!G375-'Sheet1 (2)'!G$526)/'Sheet1 (2)'!G$527</f>
        <v>-0.50144115274505707</v>
      </c>
      <c r="H375" s="48">
        <f>('Sheet1 (2)'!H375-'Sheet1 (2)'!H$526)/'Sheet1 (2)'!H$527</f>
        <v>0.4580912444168686</v>
      </c>
      <c r="I375" s="48">
        <f>('Sheet1 (2)'!I375-'Sheet1 (2)'!I$526)/'Sheet1 (2)'!I$527</f>
        <v>-0.57671332443224377</v>
      </c>
      <c r="J375" s="48">
        <f>('Sheet1 (2)'!J375-'Sheet1 (2)'!J$526)/'Sheet1 (2)'!J$527</f>
        <v>-0.48427225706422949</v>
      </c>
      <c r="K375" s="48">
        <f>('Sheet1 (2)'!K375-'Sheet1 (2)'!K$526)/'Sheet1 (2)'!K$527</f>
        <v>1.2417402793135761</v>
      </c>
    </row>
    <row r="376" spans="1:11" ht="15.75" customHeight="1" x14ac:dyDescent="0.2">
      <c r="A376" s="48">
        <v>22</v>
      </c>
      <c r="B376" s="48">
        <f>('Sheet1 (2)'!B376-'Sheet1 (2)'!B$526)/'Sheet1 (2)'!B$527</f>
        <v>1.2478810076233939</v>
      </c>
      <c r="C376" s="48">
        <f>('Sheet1 (2)'!C376-'Sheet1 (2)'!C$526)/'Sheet1 (2)'!C$527</f>
        <v>-0.55119832459105023</v>
      </c>
      <c r="D376" s="48">
        <f>('Sheet1 (2)'!D376-'Sheet1 (2)'!D$526)/'Sheet1 (2)'!D$527</f>
        <v>-0.4704097020702403</v>
      </c>
      <c r="E376" s="48">
        <f>('Sheet1 (2)'!E376-'Sheet1 (2)'!E$526)/'Sheet1 (2)'!E$527</f>
        <v>-5.8492791283943583E-3</v>
      </c>
      <c r="F376" s="48">
        <f>('Sheet1 (2)'!F376-'Sheet1 (2)'!F$526)/'Sheet1 (2)'!F$527</f>
        <v>1.2684811135846812</v>
      </c>
      <c r="G376" s="48">
        <f>('Sheet1 (2)'!G376-'Sheet1 (2)'!G$526)/'Sheet1 (2)'!G$527</f>
        <v>-0.50144115274505707</v>
      </c>
      <c r="H376" s="48">
        <f>('Sheet1 (2)'!H376-'Sheet1 (2)'!H$526)/'Sheet1 (2)'!H$527</f>
        <v>0.26904517762566232</v>
      </c>
      <c r="I376" s="48">
        <f>('Sheet1 (2)'!I376-'Sheet1 (2)'!I$526)/'Sheet1 (2)'!I$527</f>
        <v>0.76028042266661167</v>
      </c>
      <c r="J376" s="48">
        <f>('Sheet1 (2)'!J376-'Sheet1 (2)'!J$526)/'Sheet1 (2)'!J$527</f>
        <v>-7.2878458021572778E-2</v>
      </c>
      <c r="K376" s="48">
        <f>('Sheet1 (2)'!K376-'Sheet1 (2)'!K$526)/'Sheet1 (2)'!K$527</f>
        <v>1.777111456604674</v>
      </c>
    </row>
    <row r="377" spans="1:11" ht="15.75" customHeight="1" x14ac:dyDescent="0.2">
      <c r="A377" s="49">
        <v>22</v>
      </c>
      <c r="B377" s="48">
        <f>('Sheet1 (2)'!B377-'Sheet1 (2)'!B$526)/'Sheet1 (2)'!B$527</f>
        <v>1.2478810076233939</v>
      </c>
      <c r="C377" s="48">
        <f>('Sheet1 (2)'!C377-'Sheet1 (2)'!C$526)/'Sheet1 (2)'!C$527</f>
        <v>-6.3515143411629019E-2</v>
      </c>
      <c r="D377" s="48">
        <f>('Sheet1 (2)'!D377-'Sheet1 (2)'!D$526)/'Sheet1 (2)'!D$527</f>
        <v>5.2179291568098956</v>
      </c>
      <c r="E377" s="48">
        <f>('Sheet1 (2)'!E377-'Sheet1 (2)'!E$526)/'Sheet1 (2)'!E$527</f>
        <v>2.6157327316662737</v>
      </c>
      <c r="F377" s="48">
        <f>('Sheet1 (2)'!F377-'Sheet1 (2)'!F$526)/'Sheet1 (2)'!F$527</f>
        <v>1.2684811135846812</v>
      </c>
      <c r="G377" s="48">
        <f>('Sheet1 (2)'!G377-'Sheet1 (2)'!G$526)/'Sheet1 (2)'!G$527</f>
        <v>1.858337791936995</v>
      </c>
      <c r="H377" s="48">
        <f>('Sheet1 (2)'!H377-'Sheet1 (2)'!H$526)/'Sheet1 (2)'!H$527</f>
        <v>-0.85917415314357037</v>
      </c>
      <c r="I377" s="48">
        <f>('Sheet1 (2)'!I377-'Sheet1 (2)'!I$526)/'Sheet1 (2)'!I$527</f>
        <v>1.0922699408159162</v>
      </c>
      <c r="J377" s="48">
        <f>('Sheet1 (2)'!J377-'Sheet1 (2)'!J$526)/'Sheet1 (2)'!J$527</f>
        <v>-0.72385631720531451</v>
      </c>
      <c r="K377" s="48">
        <f>('Sheet1 (2)'!K377-'Sheet1 (2)'!K$526)/'Sheet1 (2)'!K$527</f>
        <v>1.7886345761033398</v>
      </c>
    </row>
    <row r="378" spans="1:11" ht="15.75" customHeight="1" x14ac:dyDescent="0.2">
      <c r="A378" s="50">
        <v>22</v>
      </c>
      <c r="B378" s="48">
        <f>('Sheet1 (2)'!B378-'Sheet1 (2)'!B$526)/'Sheet1 (2)'!B$527</f>
        <v>1.2478810076233939</v>
      </c>
      <c r="C378" s="48">
        <f>('Sheet1 (2)'!C378-'Sheet1 (2)'!C$526)/'Sheet1 (2)'!C$527</f>
        <v>-0.83923908497468669</v>
      </c>
      <c r="D378" s="48">
        <f>('Sheet1 (2)'!D378-'Sheet1 (2)'!D$526)/'Sheet1 (2)'!D$527</f>
        <v>1.4257032508898051</v>
      </c>
      <c r="E378" s="48">
        <f>('Sheet1 (2)'!E378-'Sheet1 (2)'!E$526)/'Sheet1 (2)'!E$527</f>
        <v>0.56855519300014823</v>
      </c>
      <c r="F378" s="48">
        <f>('Sheet1 (2)'!F378-'Sheet1 (2)'!F$526)/'Sheet1 (2)'!F$527</f>
        <v>3.5300958634082259E-2</v>
      </c>
      <c r="G378" s="48">
        <f>('Sheet1 (2)'!G378-'Sheet1 (2)'!G$526)/'Sheet1 (2)'!G$527</f>
        <v>-0.50144115274505707</v>
      </c>
      <c r="H378" s="48">
        <f>('Sheet1 (2)'!H378-'Sheet1 (2)'!H$526)/'Sheet1 (2)'!H$527</f>
        <v>0.24509819142991934</v>
      </c>
      <c r="I378" s="48">
        <f>('Sheet1 (2)'!I378-'Sheet1 (2)'!I$526)/'Sheet1 (2)'!I$527</f>
        <v>-1.8203684910846598</v>
      </c>
      <c r="J378" s="48">
        <f>('Sheet1 (2)'!J378-'Sheet1 (2)'!J$526)/'Sheet1 (2)'!J$527</f>
        <v>-0.58583078779756692</v>
      </c>
      <c r="K378" s="48">
        <f>('Sheet1 (2)'!K378-'Sheet1 (2)'!K$526)/'Sheet1 (2)'!K$527</f>
        <v>0.44342379116459124</v>
      </c>
    </row>
    <row r="379" spans="1:11" ht="15.75" customHeight="1" x14ac:dyDescent="0.2">
      <c r="A379" s="49">
        <v>22</v>
      </c>
      <c r="B379" s="48">
        <f>('Sheet1 (2)'!B379-'Sheet1 (2)'!B$526)/'Sheet1 (2)'!B$527</f>
        <v>1.2478810076233939</v>
      </c>
      <c r="C379" s="48">
        <f>('Sheet1 (2)'!C379-'Sheet1 (2)'!C$526)/'Sheet1 (2)'!C$527</f>
        <v>-0.30223676429147511</v>
      </c>
      <c r="D379" s="48">
        <f>('Sheet1 (2)'!D379-'Sheet1 (2)'!D$526)/'Sheet1 (2)'!D$527</f>
        <v>-0.4704097020702403</v>
      </c>
      <c r="E379" s="48">
        <f>('Sheet1 (2)'!E379-'Sheet1 (2)'!E$526)/'Sheet1 (2)'!E$527</f>
        <v>-0.38265861284471847</v>
      </c>
      <c r="F379" s="48">
        <f>('Sheet1 (2)'!F379-'Sheet1 (2)'!F$526)/'Sheet1 (2)'!F$527</f>
        <v>3.5300958634082259E-2</v>
      </c>
      <c r="G379" s="48">
        <f>('Sheet1 (2)'!G379-'Sheet1 (2)'!G$526)/'Sheet1 (2)'!G$527</f>
        <v>0.19175044686690612</v>
      </c>
      <c r="H379" s="48">
        <f>('Sheet1 (2)'!H379-'Sheet1 (2)'!H$526)/'Sheet1 (2)'!H$527</f>
        <v>-0.59982377434439571</v>
      </c>
      <c r="I379" s="48">
        <f>('Sheet1 (2)'!I379-'Sheet1 (2)'!I$526)/'Sheet1 (2)'!I$527</f>
        <v>0.3631949205664633</v>
      </c>
      <c r="J379" s="48">
        <f>('Sheet1 (2)'!J379-'Sheet1 (2)'!J$526)/'Sheet1 (2)'!J$527</f>
        <v>-0.53919468740006338</v>
      </c>
      <c r="K379" s="48">
        <f>('Sheet1 (2)'!K379-'Sheet1 (2)'!K$526)/'Sheet1 (2)'!K$527</f>
        <v>0.23872963692057339</v>
      </c>
    </row>
    <row r="380" spans="1:11" ht="15.75" customHeight="1" x14ac:dyDescent="0.2">
      <c r="A380" s="50">
        <v>22</v>
      </c>
      <c r="B380" s="48">
        <f>('Sheet1 (2)'!B380-'Sheet1 (2)'!B$526)/'Sheet1 (2)'!B$527</f>
        <v>1.2478810076233939</v>
      </c>
      <c r="C380" s="48">
        <f>('Sheet1 (2)'!C380-'Sheet1 (2)'!C$526)/'Sheet1 (2)'!C$527</f>
        <v>-0.39676208184966227</v>
      </c>
      <c r="D380" s="48">
        <f>('Sheet1 (2)'!D380-'Sheet1 (2)'!D$526)/'Sheet1 (2)'!D$527</f>
        <v>-0.4704097020702403</v>
      </c>
      <c r="E380" s="48">
        <f>('Sheet1 (2)'!E380-'Sheet1 (2)'!E$526)/'Sheet1 (2)'!E$527</f>
        <v>-0.65377752368939046</v>
      </c>
      <c r="F380" s="48">
        <f>('Sheet1 (2)'!F380-'Sheet1 (2)'!F$526)/'Sheet1 (2)'!F$527</f>
        <v>-1.1978791963165167</v>
      </c>
      <c r="G380" s="48">
        <f>('Sheet1 (2)'!G380-'Sheet1 (2)'!G$526)/'Sheet1 (2)'!G$527</f>
        <v>0.24716395332155763</v>
      </c>
      <c r="H380" s="48">
        <f>('Sheet1 (2)'!H380-'Sheet1 (2)'!H$526)/'Sheet1 (2)'!H$527</f>
        <v>-0.86549977213867257</v>
      </c>
      <c r="I380" s="48">
        <f>('Sheet1 (2)'!I380-'Sheet1 (2)'!I$526)/'Sheet1 (2)'!I$527</f>
        <v>-0.5326885585570279</v>
      </c>
      <c r="J380" s="48">
        <f>('Sheet1 (2)'!J380-'Sheet1 (2)'!J$526)/'Sheet1 (2)'!J$527</f>
        <v>0.33698819876142261</v>
      </c>
      <c r="K380" s="48">
        <f>('Sheet1 (2)'!K380-'Sheet1 (2)'!K$526)/'Sheet1 (2)'!K$527</f>
        <v>-0.42189896992813997</v>
      </c>
    </row>
    <row r="381" spans="1:11" ht="15.75" customHeight="1" x14ac:dyDescent="0.2">
      <c r="A381" s="51">
        <v>22</v>
      </c>
      <c r="B381" s="48">
        <f>('Sheet1 (2)'!B381-'Sheet1 (2)'!B$526)/'Sheet1 (2)'!B$527</f>
        <v>1.2478810076233939</v>
      </c>
      <c r="C381" s="48">
        <f>('Sheet1 (2)'!C381-'Sheet1 (2)'!C$526)/'Sheet1 (2)'!C$527</f>
        <v>-0.86332235481848107</v>
      </c>
      <c r="D381" s="48">
        <f>('Sheet1 (2)'!D381-'Sheet1 (2)'!D$526)/'Sheet1 (2)'!D$527</f>
        <v>1.4257032508898051</v>
      </c>
      <c r="E381" s="48">
        <f>('Sheet1 (2)'!E381-'Sheet1 (2)'!E$526)/'Sheet1 (2)'!E$527</f>
        <v>3.341192425662332E-3</v>
      </c>
      <c r="F381" s="48">
        <f>('Sheet1 (2)'!F381-'Sheet1 (2)'!F$526)/'Sheet1 (2)'!F$527</f>
        <v>-1.1978791963165167</v>
      </c>
      <c r="G381" s="48">
        <f>('Sheet1 (2)'!G381-'Sheet1 (2)'!G$526)/'Sheet1 (2)'!G$527</f>
        <v>-0.23378346119051321</v>
      </c>
      <c r="H381" s="48">
        <f>('Sheet1 (2)'!H381-'Sheet1 (2)'!H$526)/'Sheet1 (2)'!H$527</f>
        <v>-0.3558356131047537</v>
      </c>
      <c r="I381" s="48">
        <f>('Sheet1 (2)'!I381-'Sheet1 (2)'!I$526)/'Sheet1 (2)'!I$527</f>
        <v>0.43886900190931954</v>
      </c>
      <c r="J381" s="48">
        <f>('Sheet1 (2)'!J381-'Sheet1 (2)'!J$526)/'Sheet1 (2)'!J$527</f>
        <v>1.5105158224908153</v>
      </c>
      <c r="K381" s="48">
        <f>('Sheet1 (2)'!K381-'Sheet1 (2)'!K$526)/'Sheet1 (2)'!K$527</f>
        <v>0.27729125729012477</v>
      </c>
    </row>
    <row r="382" spans="1:11" ht="15.75" customHeight="1" x14ac:dyDescent="0.2">
      <c r="A382" s="48">
        <v>23</v>
      </c>
      <c r="B382" s="48">
        <f>('Sheet1 (2)'!B382-'Sheet1 (2)'!B$526)/'Sheet1 (2)'!B$527</f>
        <v>-1.2242915745870349</v>
      </c>
      <c r="C382" s="48">
        <f>('Sheet1 (2)'!C382-'Sheet1 (2)'!C$526)/'Sheet1 (2)'!C$527</f>
        <v>-0.27970288077418631</v>
      </c>
      <c r="D382" s="48">
        <f>('Sheet1 (2)'!D382-'Sheet1 (2)'!D$526)/'Sheet1 (2)'!D$527</f>
        <v>-0.4704097020702403</v>
      </c>
      <c r="E382" s="48">
        <f>('Sheet1 (2)'!E382-'Sheet1 (2)'!E$526)/'Sheet1 (2)'!E$527</f>
        <v>-0.49294427149339864</v>
      </c>
      <c r="F382" s="48">
        <f>('Sheet1 (2)'!F382-'Sheet1 (2)'!F$526)/'Sheet1 (2)'!F$527</f>
        <v>1.2684811135846812</v>
      </c>
      <c r="G382" s="48">
        <f>('Sheet1 (2)'!G382-'Sheet1 (2)'!G$526)/'Sheet1 (2)'!G$527</f>
        <v>-0.50144115274505707</v>
      </c>
      <c r="H382" s="48">
        <f>('Sheet1 (2)'!H382-'Sheet1 (2)'!H$526)/'Sheet1 (2)'!H$527</f>
        <v>-0.26307216253518501</v>
      </c>
      <c r="I382" s="48">
        <f>('Sheet1 (2)'!I382-'Sheet1 (2)'!I$526)/'Sheet1 (2)'!I$527</f>
        <v>0.60752904297991817</v>
      </c>
      <c r="J382" s="48">
        <f>('Sheet1 (2)'!J382-'Sheet1 (2)'!J$526)/'Sheet1 (2)'!J$527</f>
        <v>-0.83945425120312078</v>
      </c>
      <c r="K382" s="48">
        <f>('Sheet1 (2)'!K382-'Sheet1 (2)'!K$526)/'Sheet1 (2)'!K$527</f>
        <v>-0.33534502894691837</v>
      </c>
    </row>
    <row r="383" spans="1:11" ht="15.75" customHeight="1" x14ac:dyDescent="0.2">
      <c r="A383" s="49">
        <v>23</v>
      </c>
      <c r="B383" s="48">
        <f>('Sheet1 (2)'!B383-'Sheet1 (2)'!B$526)/'Sheet1 (2)'!B$527</f>
        <v>-1.2242915745870349</v>
      </c>
      <c r="C383" s="48">
        <f>('Sheet1 (2)'!C383-'Sheet1 (2)'!C$526)/'Sheet1 (2)'!C$527</f>
        <v>-0.56365147850210506</v>
      </c>
      <c r="D383" s="48">
        <f>('Sheet1 (2)'!D383-'Sheet1 (2)'!D$526)/'Sheet1 (2)'!D$527</f>
        <v>-0.4704097020702403</v>
      </c>
      <c r="E383" s="48">
        <f>('Sheet1 (2)'!E383-'Sheet1 (2)'!E$526)/'Sheet1 (2)'!E$527</f>
        <v>0.60991231499340326</v>
      </c>
      <c r="F383" s="48">
        <f>('Sheet1 (2)'!F383-'Sheet1 (2)'!F$526)/'Sheet1 (2)'!F$527</f>
        <v>1.2684811135846812</v>
      </c>
      <c r="G383" s="48">
        <f>('Sheet1 (2)'!G383-'Sheet1 (2)'!G$526)/'Sheet1 (2)'!G$527</f>
        <v>0.39673987948524958</v>
      </c>
      <c r="H383" s="48">
        <f>('Sheet1 (2)'!H383-'Sheet1 (2)'!H$526)/'Sheet1 (2)'!H$527</f>
        <v>-0.25875672566972152</v>
      </c>
      <c r="I383" s="48">
        <f>('Sheet1 (2)'!I383-'Sheet1 (2)'!I$526)/'Sheet1 (2)'!I$527</f>
        <v>-0.15387808970634378</v>
      </c>
      <c r="J383" s="48">
        <f>('Sheet1 (2)'!J383-'Sheet1 (2)'!J$526)/'Sheet1 (2)'!J$527</f>
        <v>-0.83945425120312078</v>
      </c>
      <c r="K383" s="48">
        <f>('Sheet1 (2)'!K383-'Sheet1 (2)'!K$526)/'Sheet1 (2)'!K$527</f>
        <v>0.91688456966594023</v>
      </c>
    </row>
    <row r="384" spans="1:11" ht="15.75" customHeight="1" x14ac:dyDescent="0.2">
      <c r="A384" s="50">
        <v>23</v>
      </c>
      <c r="B384" s="48">
        <f>('Sheet1 (2)'!B384-'Sheet1 (2)'!B$526)/'Sheet1 (2)'!B$527</f>
        <v>-1.2242915745870349</v>
      </c>
      <c r="C384" s="48">
        <f>('Sheet1 (2)'!C384-'Sheet1 (2)'!C$526)/'Sheet1 (2)'!C$527</f>
        <v>0.13126518795540348</v>
      </c>
      <c r="D384" s="48">
        <f>('Sheet1 (2)'!D384-'Sheet1 (2)'!D$526)/'Sheet1 (2)'!D$527</f>
        <v>1.4257032508898051</v>
      </c>
      <c r="E384" s="48">
        <f>('Sheet1 (2)'!E384-'Sheet1 (2)'!E$526)/'Sheet1 (2)'!E$527</f>
        <v>-0.24020630375683985</v>
      </c>
      <c r="F384" s="48">
        <f>('Sheet1 (2)'!F384-'Sheet1 (2)'!F$526)/'Sheet1 (2)'!F$527</f>
        <v>3.5300958634082259E-2</v>
      </c>
      <c r="G384" s="48">
        <f>('Sheet1 (2)'!G384-'Sheet1 (2)'!G$526)/'Sheet1 (2)'!G$527</f>
        <v>-0.25456619329941993</v>
      </c>
      <c r="H384" s="48">
        <f>('Sheet1 (2)'!H384-'Sheet1 (2)'!H$526)/'Sheet1 (2)'!H$527</f>
        <v>-0.63995364878562477</v>
      </c>
      <c r="I384" s="48">
        <f>('Sheet1 (2)'!I384-'Sheet1 (2)'!I$526)/'Sheet1 (2)'!I$527</f>
        <v>-3.7734897932822767E-2</v>
      </c>
      <c r="J384" s="48">
        <f>('Sheet1 (2)'!J384-'Sheet1 (2)'!J$526)/'Sheet1 (2)'!J$527</f>
        <v>-0.33839435124413547</v>
      </c>
      <c r="K384" s="48">
        <f>('Sheet1 (2)'!K384-'Sheet1 (2)'!K$526)/'Sheet1 (2)'!K$527</f>
        <v>0.1860080784494155</v>
      </c>
    </row>
    <row r="385" spans="1:11" ht="15.75" customHeight="1" x14ac:dyDescent="0.2">
      <c r="A385" s="49">
        <v>23</v>
      </c>
      <c r="B385" s="48">
        <f>('Sheet1 (2)'!B385-'Sheet1 (2)'!B$526)/'Sheet1 (2)'!B$527</f>
        <v>-1.2242915745870349</v>
      </c>
      <c r="C385" s="48">
        <f>('Sheet1 (2)'!C385-'Sheet1 (2)'!C$526)/'Sheet1 (2)'!C$527</f>
        <v>-1.100431945386108</v>
      </c>
      <c r="D385" s="48">
        <f>('Sheet1 (2)'!D385-'Sheet1 (2)'!D$526)/'Sheet1 (2)'!D$527</f>
        <v>-0.4704097020702403</v>
      </c>
      <c r="E385" s="48">
        <f>('Sheet1 (2)'!E385-'Sheet1 (2)'!E$526)/'Sheet1 (2)'!E$527</f>
        <v>-0.83758695477052425</v>
      </c>
      <c r="F385" s="48">
        <f>('Sheet1 (2)'!F385-'Sheet1 (2)'!F$526)/'Sheet1 (2)'!F$527</f>
        <v>3.5300958634082259E-2</v>
      </c>
      <c r="G385" s="48">
        <f>('Sheet1 (2)'!G385-'Sheet1 (2)'!G$526)/'Sheet1 (2)'!G$527</f>
        <v>-0.30338640999878191</v>
      </c>
      <c r="H385" s="48">
        <f>('Sheet1 (2)'!H385-'Sheet1 (2)'!H$526)/'Sheet1 (2)'!H$527</f>
        <v>-1.2661714872628187</v>
      </c>
      <c r="I385" s="48">
        <f>('Sheet1 (2)'!I385-'Sheet1 (2)'!I$526)/'Sheet1 (2)'!I$527</f>
        <v>0.68718859272792809</v>
      </c>
      <c r="J385" s="48">
        <f>('Sheet1 (2)'!J385-'Sheet1 (2)'!J$526)/'Sheet1 (2)'!J$527</f>
        <v>-0.42226050582553881</v>
      </c>
      <c r="K385" s="48">
        <f>('Sheet1 (2)'!K385-'Sheet1 (2)'!K$526)/'Sheet1 (2)'!K$527</f>
        <v>-0.22610593016750377</v>
      </c>
    </row>
    <row r="386" spans="1:11" ht="15.75" customHeight="1" x14ac:dyDescent="0.2">
      <c r="A386" s="50">
        <v>23</v>
      </c>
      <c r="B386" s="48">
        <f>('Sheet1 (2)'!B386-'Sheet1 (2)'!B$526)/'Sheet1 (2)'!B$527</f>
        <v>-1.2242915745870349</v>
      </c>
      <c r="C386" s="48">
        <f>('Sheet1 (2)'!C386-'Sheet1 (2)'!C$526)/'Sheet1 (2)'!C$527</f>
        <v>-1.3861026337094469</v>
      </c>
      <c r="D386" s="48">
        <f>('Sheet1 (2)'!D386-'Sheet1 (2)'!D$526)/'Sheet1 (2)'!D$527</f>
        <v>-0.4704097020702403</v>
      </c>
      <c r="E386" s="48">
        <f>('Sheet1 (2)'!E386-'Sheet1 (2)'!E$526)/'Sheet1 (2)'!E$527</f>
        <v>-0.92949167031109103</v>
      </c>
      <c r="F386" s="48">
        <f>('Sheet1 (2)'!F386-'Sheet1 (2)'!F$526)/'Sheet1 (2)'!F$527</f>
        <v>-1.1978791963165167</v>
      </c>
      <c r="G386" s="48">
        <f>('Sheet1 (2)'!G386-'Sheet1 (2)'!G$526)/'Sheet1 (2)'!G$527</f>
        <v>0.24251237673044715</v>
      </c>
      <c r="H386" s="48">
        <f>('Sheet1 (2)'!H386-'Sheet1 (2)'!H$526)/'Sheet1 (2)'!H$527</f>
        <v>-1.1462982409999563</v>
      </c>
      <c r="I386" s="48">
        <f>('Sheet1 (2)'!I386-'Sheet1 (2)'!I$526)/'Sheet1 (2)'!I$527</f>
        <v>-0.43020389913033497</v>
      </c>
      <c r="J386" s="48">
        <f>('Sheet1 (2)'!J386-'Sheet1 (2)'!J$526)/'Sheet1 (2)'!J$527</f>
        <v>-0.48931256581805893</v>
      </c>
      <c r="K386" s="48">
        <f>('Sheet1 (2)'!K386-'Sheet1 (2)'!K$526)/'Sheet1 (2)'!K$527</f>
        <v>-0.11701126386774466</v>
      </c>
    </row>
    <row r="387" spans="1:11" ht="15.75" customHeight="1" x14ac:dyDescent="0.2">
      <c r="A387" s="51">
        <v>23</v>
      </c>
      <c r="B387" s="48">
        <f>('Sheet1 (2)'!B387-'Sheet1 (2)'!B$526)/'Sheet1 (2)'!B$527</f>
        <v>-1.2242915745870349</v>
      </c>
      <c r="C387" s="48">
        <f>('Sheet1 (2)'!C387-'Sheet1 (2)'!C$526)/'Sheet1 (2)'!C$527</f>
        <v>-1.0930575350045966</v>
      </c>
      <c r="D387" s="48">
        <f>('Sheet1 (2)'!D387-'Sheet1 (2)'!D$526)/'Sheet1 (2)'!D$527</f>
        <v>-0.4704097020702403</v>
      </c>
      <c r="E387" s="48">
        <f>('Sheet1 (2)'!E387-'Sheet1 (2)'!E$526)/'Sheet1 (2)'!E$527</f>
        <v>-0.74797985711847148</v>
      </c>
      <c r="F387" s="48">
        <f>('Sheet1 (2)'!F387-'Sheet1 (2)'!F$526)/'Sheet1 (2)'!F$527</f>
        <v>-1.1978791963165167</v>
      </c>
      <c r="G387" s="48">
        <f>('Sheet1 (2)'!G387-'Sheet1 (2)'!G$526)/'Sheet1 (2)'!G$527</f>
        <v>-0.29783865810112709</v>
      </c>
      <c r="H387" s="48">
        <f>('Sheet1 (2)'!H387-'Sheet1 (2)'!H$526)/'Sheet1 (2)'!H$527</f>
        <v>-1.0278634736922481</v>
      </c>
      <c r="I387" s="48">
        <f>('Sheet1 (2)'!I387-'Sheet1 (2)'!I$526)/'Sheet1 (2)'!I$527</f>
        <v>0.66473712071222879</v>
      </c>
      <c r="J387" s="48">
        <f>('Sheet1 (2)'!J387-'Sheet1 (2)'!J$526)/'Sheet1 (2)'!J$527</f>
        <v>-0.34197229839180704</v>
      </c>
      <c r="K387" s="48">
        <f>('Sheet1 (2)'!K387-'Sheet1 (2)'!K$526)/'Sheet1 (2)'!K$527</f>
        <v>-0.72829766192954615</v>
      </c>
    </row>
    <row r="388" spans="1:11" ht="15.75" customHeight="1" x14ac:dyDescent="0.2">
      <c r="A388" s="48">
        <v>23</v>
      </c>
      <c r="B388" s="48">
        <f>('Sheet1 (2)'!B388-'Sheet1 (2)'!B$526)/'Sheet1 (2)'!B$527</f>
        <v>1.1794716518179513E-2</v>
      </c>
      <c r="C388" s="48">
        <f>('Sheet1 (2)'!C388-'Sheet1 (2)'!C$526)/'Sheet1 (2)'!C$527</f>
        <v>-1.5022277340609413</v>
      </c>
      <c r="D388" s="48">
        <f>('Sheet1 (2)'!D388-'Sheet1 (2)'!D$526)/'Sheet1 (2)'!D$527</f>
        <v>-0.4704097020702403</v>
      </c>
      <c r="E388" s="48">
        <f>('Sheet1 (2)'!E388-'Sheet1 (2)'!E$526)/'Sheet1 (2)'!E$527</f>
        <v>-0.74797985711847148</v>
      </c>
      <c r="F388" s="48">
        <f>('Sheet1 (2)'!F388-'Sheet1 (2)'!F$526)/'Sheet1 (2)'!F$527</f>
        <v>1.2684811135846812</v>
      </c>
      <c r="G388" s="48">
        <f>('Sheet1 (2)'!G388-'Sheet1 (2)'!G$526)/'Sheet1 (2)'!G$527</f>
        <v>-0.50144115274505707</v>
      </c>
      <c r="H388" s="48">
        <f>('Sheet1 (2)'!H388-'Sheet1 (2)'!H$526)/'Sheet1 (2)'!H$527</f>
        <v>-0.30303162621431501</v>
      </c>
      <c r="I388" s="48">
        <f>('Sheet1 (2)'!I388-'Sheet1 (2)'!I$526)/'Sheet1 (2)'!I$527</f>
        <v>0.51842067128043545</v>
      </c>
      <c r="J388" s="48">
        <f>('Sheet1 (2)'!J388-'Sheet1 (2)'!J$526)/'Sheet1 (2)'!J$527</f>
        <v>-0.12474978488295768</v>
      </c>
      <c r="K388" s="48">
        <f>('Sheet1 (2)'!K388-'Sheet1 (2)'!K$526)/'Sheet1 (2)'!K$527</f>
        <v>2.4374241197220679</v>
      </c>
    </row>
    <row r="389" spans="1:11" ht="15.75" customHeight="1" x14ac:dyDescent="0.2">
      <c r="A389" s="49">
        <v>23</v>
      </c>
      <c r="B389" s="48">
        <f>('Sheet1 (2)'!B389-'Sheet1 (2)'!B$526)/'Sheet1 (2)'!B$527</f>
        <v>1.1794716518179513E-2</v>
      </c>
      <c r="C389" s="48">
        <f>('Sheet1 (2)'!C389-'Sheet1 (2)'!C$526)/'Sheet1 (2)'!C$527</f>
        <v>0.75807334059598308</v>
      </c>
      <c r="D389" s="48">
        <f>('Sheet1 (2)'!D389-'Sheet1 (2)'!D$526)/'Sheet1 (2)'!D$527</f>
        <v>1.4257032508898051</v>
      </c>
      <c r="E389" s="48">
        <f>('Sheet1 (2)'!E389-'Sheet1 (2)'!E$526)/'Sheet1 (2)'!E$527</f>
        <v>-8.6265905226390452E-2</v>
      </c>
      <c r="F389" s="48">
        <f>('Sheet1 (2)'!F389-'Sheet1 (2)'!F$526)/'Sheet1 (2)'!F$527</f>
        <v>1.2684811135846812</v>
      </c>
      <c r="G389" s="48">
        <f>('Sheet1 (2)'!G389-'Sheet1 (2)'!G$526)/'Sheet1 (2)'!G$527</f>
        <v>-0.50144115274505707</v>
      </c>
      <c r="H389" s="48">
        <f>('Sheet1 (2)'!H389-'Sheet1 (2)'!H$526)/'Sheet1 (2)'!H$527</f>
        <v>0.51838290179229884</v>
      </c>
      <c r="I389" s="48">
        <f>('Sheet1 (2)'!I389-'Sheet1 (2)'!I$526)/'Sheet1 (2)'!I$527</f>
        <v>0.66537904577804585</v>
      </c>
      <c r="J389" s="48">
        <f>('Sheet1 (2)'!J389-'Sheet1 (2)'!J$526)/'Sheet1 (2)'!J$527</f>
        <v>-0.83945425120312078</v>
      </c>
      <c r="K389" s="48">
        <f>('Sheet1 (2)'!K389-'Sheet1 (2)'!K$526)/'Sheet1 (2)'!K$527</f>
        <v>1.6355449107851379</v>
      </c>
    </row>
    <row r="390" spans="1:11" ht="15.75" customHeight="1" x14ac:dyDescent="0.2">
      <c r="A390" s="50">
        <v>23</v>
      </c>
      <c r="B390" s="48">
        <f>('Sheet1 (2)'!B390-'Sheet1 (2)'!B$526)/'Sheet1 (2)'!B$527</f>
        <v>1.1794716518179513E-2</v>
      </c>
      <c r="C390" s="48">
        <f>('Sheet1 (2)'!C390-'Sheet1 (2)'!C$526)/'Sheet1 (2)'!C$527</f>
        <v>1.222127001866028</v>
      </c>
      <c r="D390" s="48">
        <f>('Sheet1 (2)'!D390-'Sheet1 (2)'!D$526)/'Sheet1 (2)'!D$527</f>
        <v>-0.4704097020702403</v>
      </c>
      <c r="E390" s="48">
        <f>('Sheet1 (2)'!E390-'Sheet1 (2)'!E$526)/'Sheet1 (2)'!E$527</f>
        <v>-0.77784888966915566</v>
      </c>
      <c r="F390" s="48">
        <f>('Sheet1 (2)'!F390-'Sheet1 (2)'!F$526)/'Sheet1 (2)'!F$527</f>
        <v>3.5300958634082259E-2</v>
      </c>
      <c r="G390" s="48">
        <f>('Sheet1 (2)'!G390-'Sheet1 (2)'!G$526)/'Sheet1 (2)'!G$527</f>
        <v>-0.50144115274505707</v>
      </c>
      <c r="H390" s="48">
        <f>('Sheet1 (2)'!H390-'Sheet1 (2)'!H$526)/'Sheet1 (2)'!H$527</f>
        <v>0.8321726461920439</v>
      </c>
      <c r="I390" s="48">
        <f>('Sheet1 (2)'!I390-'Sheet1 (2)'!I$526)/'Sheet1 (2)'!I$527</f>
        <v>0.64171074202825029</v>
      </c>
      <c r="J390" s="48">
        <f>('Sheet1 (2)'!J390-'Sheet1 (2)'!J$526)/'Sheet1 (2)'!J$527</f>
        <v>-0.83945425120312078</v>
      </c>
      <c r="K390" s="48">
        <f>('Sheet1 (2)'!K390-'Sheet1 (2)'!K$526)/'Sheet1 (2)'!K$527</f>
        <v>0.17406436644139628</v>
      </c>
    </row>
    <row r="391" spans="1:11" ht="15.75" customHeight="1" x14ac:dyDescent="0.2">
      <c r="A391" s="49">
        <v>23</v>
      </c>
      <c r="B391" s="48">
        <f>('Sheet1 (2)'!B391-'Sheet1 (2)'!B$526)/'Sheet1 (2)'!B$527</f>
        <v>1.1794716518179513E-2</v>
      </c>
      <c r="C391" s="48">
        <f>('Sheet1 (2)'!C391-'Sheet1 (2)'!C$526)/'Sheet1 (2)'!C$527</f>
        <v>0.91030504634533627</v>
      </c>
      <c r="D391" s="48">
        <f>('Sheet1 (2)'!D391-'Sheet1 (2)'!D$526)/'Sheet1 (2)'!D$527</f>
        <v>-0.4704097020702403</v>
      </c>
      <c r="E391" s="48">
        <f>('Sheet1 (2)'!E391-'Sheet1 (2)'!E$526)/'Sheet1 (2)'!E$527</f>
        <v>-0.5021347430474552</v>
      </c>
      <c r="F391" s="48">
        <f>('Sheet1 (2)'!F391-'Sheet1 (2)'!F$526)/'Sheet1 (2)'!F$527</f>
        <v>3.5300958634082259E-2</v>
      </c>
      <c r="G391" s="48">
        <f>('Sheet1 (2)'!G391-'Sheet1 (2)'!G$526)/'Sheet1 (2)'!G$527</f>
        <v>-0.50144115274505707</v>
      </c>
      <c r="H391" s="48">
        <f>('Sheet1 (2)'!H391-'Sheet1 (2)'!H$526)/'Sheet1 (2)'!H$527</f>
        <v>-0.18715243990204281</v>
      </c>
      <c r="I391" s="48">
        <f>('Sheet1 (2)'!I391-'Sheet1 (2)'!I$526)/'Sheet1 (2)'!I$527</f>
        <v>-0.71524426211802861</v>
      </c>
      <c r="J391" s="48">
        <f>('Sheet1 (2)'!J391-'Sheet1 (2)'!J$526)/'Sheet1 (2)'!J$527</f>
        <v>-0.83945425120312078</v>
      </c>
      <c r="K391" s="48">
        <f>('Sheet1 (2)'!K391-'Sheet1 (2)'!K$526)/'Sheet1 (2)'!K$527</f>
        <v>-1.1989276597259053</v>
      </c>
    </row>
    <row r="392" spans="1:11" ht="15.75" customHeight="1" x14ac:dyDescent="0.2">
      <c r="A392" s="50">
        <v>23</v>
      </c>
      <c r="B392" s="48">
        <f>('Sheet1 (2)'!B392-'Sheet1 (2)'!B$526)/'Sheet1 (2)'!B$527</f>
        <v>1.1794716518179513E-2</v>
      </c>
      <c r="C392" s="48">
        <f>('Sheet1 (2)'!C392-'Sheet1 (2)'!C$526)/'Sheet1 (2)'!C$527</f>
        <v>0.77291216282878472</v>
      </c>
      <c r="D392" s="48">
        <f>('Sheet1 (2)'!D392-'Sheet1 (2)'!D$526)/'Sheet1 (2)'!D$527</f>
        <v>-0.4704097020702403</v>
      </c>
      <c r="E392" s="48">
        <f>('Sheet1 (2)'!E392-'Sheet1 (2)'!E$526)/'Sheet1 (2)'!E$527</f>
        <v>-0.90881310931446346</v>
      </c>
      <c r="F392" s="48">
        <f>('Sheet1 (2)'!F392-'Sheet1 (2)'!F$526)/'Sheet1 (2)'!F$527</f>
        <v>-1.1978791963165167</v>
      </c>
      <c r="G392" s="48">
        <f>('Sheet1 (2)'!G392-'Sheet1 (2)'!G$526)/'Sheet1 (2)'!G$527</f>
        <v>-0.50144115274505707</v>
      </c>
      <c r="H392" s="48">
        <f>('Sheet1 (2)'!H392-'Sheet1 (2)'!H$526)/'Sheet1 (2)'!H$527</f>
        <v>0.10709162013497586</v>
      </c>
      <c r="I392" s="48">
        <f>('Sheet1 (2)'!I392-'Sheet1 (2)'!I$526)/'Sheet1 (2)'!I$527</f>
        <v>0.64652309534822161</v>
      </c>
      <c r="J392" s="48">
        <f>('Sheet1 (2)'!J392-'Sheet1 (2)'!J$526)/'Sheet1 (2)'!J$527</f>
        <v>0.40460197911441925</v>
      </c>
      <c r="K392" s="48">
        <f>('Sheet1 (2)'!K392-'Sheet1 (2)'!K$526)/'Sheet1 (2)'!K$527</f>
        <v>0.76082159054477683</v>
      </c>
    </row>
    <row r="393" spans="1:11" ht="15.75" customHeight="1" x14ac:dyDescent="0.2">
      <c r="A393" s="51">
        <v>23</v>
      </c>
      <c r="B393" s="48">
        <f>('Sheet1 (2)'!B393-'Sheet1 (2)'!B$526)/'Sheet1 (2)'!B$527</f>
        <v>1.1794716518179513E-2</v>
      </c>
      <c r="C393" s="48">
        <f>('Sheet1 (2)'!C393-'Sheet1 (2)'!C$526)/'Sheet1 (2)'!C$527</f>
        <v>0.93990439282476945</v>
      </c>
      <c r="D393" s="48">
        <f>('Sheet1 (2)'!D393-'Sheet1 (2)'!D$526)/'Sheet1 (2)'!D$527</f>
        <v>-0.4704097020702403</v>
      </c>
      <c r="E393" s="48">
        <f>('Sheet1 (2)'!E393-'Sheet1 (2)'!E$526)/'Sheet1 (2)'!E$527</f>
        <v>-0.83069410110498165</v>
      </c>
      <c r="F393" s="48">
        <f>('Sheet1 (2)'!F393-'Sheet1 (2)'!F$526)/'Sheet1 (2)'!F$527</f>
        <v>-1.1978791963165167</v>
      </c>
      <c r="G393" s="48">
        <f>('Sheet1 (2)'!G393-'Sheet1 (2)'!G$526)/'Sheet1 (2)'!G$527</f>
        <v>-0.50144115274505707</v>
      </c>
      <c r="H393" s="48">
        <f>('Sheet1 (2)'!H393-'Sheet1 (2)'!H$526)/'Sheet1 (2)'!H$527</f>
        <v>0.15702302876932189</v>
      </c>
      <c r="I393" s="48">
        <f>('Sheet1 (2)'!I393-'Sheet1 (2)'!I$526)/'Sheet1 (2)'!I$527</f>
        <v>0.64889900563512559</v>
      </c>
      <c r="J393" s="48">
        <f>('Sheet1 (2)'!J393-'Sheet1 (2)'!J$526)/'Sheet1 (2)'!J$527</f>
        <v>1.6933480721358876</v>
      </c>
      <c r="K393" s="48">
        <f>('Sheet1 (2)'!K393-'Sheet1 (2)'!K$526)/'Sheet1 (2)'!K$527</f>
        <v>0.78060195268104782</v>
      </c>
    </row>
    <row r="394" spans="1:11" ht="15.75" customHeight="1" x14ac:dyDescent="0.2">
      <c r="A394" s="48">
        <v>23</v>
      </c>
      <c r="B394" s="48">
        <f>('Sheet1 (2)'!B394-'Sheet1 (2)'!B$526)/'Sheet1 (2)'!B$527</f>
        <v>1.2478810076233939</v>
      </c>
      <c r="C394" s="48">
        <f>('Sheet1 (2)'!C394-'Sheet1 (2)'!C$526)/'Sheet1 (2)'!C$527</f>
        <v>-0.62890671449600466</v>
      </c>
      <c r="D394" s="48">
        <f>('Sheet1 (2)'!D394-'Sheet1 (2)'!D$526)/'Sheet1 (2)'!D$527</f>
        <v>-0.4704097020702403</v>
      </c>
      <c r="E394" s="48">
        <f>('Sheet1 (2)'!E394-'Sheet1 (2)'!E$526)/'Sheet1 (2)'!E$527</f>
        <v>-0.65377752368939046</v>
      </c>
      <c r="F394" s="48">
        <f>('Sheet1 (2)'!F394-'Sheet1 (2)'!F$526)/'Sheet1 (2)'!F$527</f>
        <v>1.2684811135846812</v>
      </c>
      <c r="G394" s="48">
        <f>('Sheet1 (2)'!G394-'Sheet1 (2)'!G$526)/'Sheet1 (2)'!G$527</f>
        <v>-0.50144115274505707</v>
      </c>
      <c r="H394" s="48">
        <f>('Sheet1 (2)'!H394-'Sheet1 (2)'!H$526)/'Sheet1 (2)'!H$527</f>
        <v>-2.0906409948518164E-2</v>
      </c>
      <c r="I394" s="48">
        <f>('Sheet1 (2)'!I394-'Sheet1 (2)'!I$526)/'Sheet1 (2)'!I$527</f>
        <v>0.63393503563474629</v>
      </c>
      <c r="J394" s="48">
        <f>('Sheet1 (2)'!J394-'Sheet1 (2)'!J$526)/'Sheet1 (2)'!J$527</f>
        <v>-0.83945425120312078</v>
      </c>
      <c r="K394" s="48">
        <f>('Sheet1 (2)'!K394-'Sheet1 (2)'!K$526)/'Sheet1 (2)'!K$527</f>
        <v>-0.12379083692793581</v>
      </c>
    </row>
    <row r="395" spans="1:11" ht="15.75" customHeight="1" x14ac:dyDescent="0.2">
      <c r="A395" s="49">
        <v>23</v>
      </c>
      <c r="B395" s="48">
        <f>('Sheet1 (2)'!B395-'Sheet1 (2)'!B$526)/'Sheet1 (2)'!B$527</f>
        <v>1.2478810076233939</v>
      </c>
      <c r="C395" s="48">
        <f>('Sheet1 (2)'!C395-'Sheet1 (2)'!C$526)/'Sheet1 (2)'!C$527</f>
        <v>-0.20680811730795895</v>
      </c>
      <c r="D395" s="48">
        <f>('Sheet1 (2)'!D395-'Sheet1 (2)'!D$526)/'Sheet1 (2)'!D$527</f>
        <v>-0.4704097020702403</v>
      </c>
      <c r="E395" s="48">
        <f>('Sheet1 (2)'!E395-'Sheet1 (2)'!E$526)/'Sheet1 (2)'!E$527</f>
        <v>-0.49524188938191277</v>
      </c>
      <c r="F395" s="48">
        <f>('Sheet1 (2)'!F395-'Sheet1 (2)'!F$526)/'Sheet1 (2)'!F$527</f>
        <v>1.2684811135846812</v>
      </c>
      <c r="G395" s="48">
        <f>('Sheet1 (2)'!G395-'Sheet1 (2)'!G$526)/'Sheet1 (2)'!G$527</f>
        <v>-0.50144115274505707</v>
      </c>
      <c r="H395" s="48">
        <f>('Sheet1 (2)'!H395-'Sheet1 (2)'!H$526)/'Sheet1 (2)'!H$527</f>
        <v>-0.69372224851843967</v>
      </c>
      <c r="I395" s="48">
        <f>('Sheet1 (2)'!I395-'Sheet1 (2)'!I$526)/'Sheet1 (2)'!I$527</f>
        <v>0.6300884547649237</v>
      </c>
      <c r="J395" s="48">
        <f>('Sheet1 (2)'!J395-'Sheet1 (2)'!J$526)/'Sheet1 (2)'!J$527</f>
        <v>0.23984330064651771</v>
      </c>
      <c r="K395" s="48">
        <f>('Sheet1 (2)'!K395-'Sheet1 (2)'!K$526)/'Sheet1 (2)'!K$527</f>
        <v>1.2011451965951212</v>
      </c>
    </row>
    <row r="396" spans="1:11" ht="15.75" customHeight="1" x14ac:dyDescent="0.2">
      <c r="A396" s="50">
        <v>23</v>
      </c>
      <c r="B396" s="48">
        <f>('Sheet1 (2)'!B396-'Sheet1 (2)'!B$526)/'Sheet1 (2)'!B$527</f>
        <v>1.2478810076233939</v>
      </c>
      <c r="C396" s="48">
        <f>('Sheet1 (2)'!C396-'Sheet1 (2)'!C$526)/'Sheet1 (2)'!C$527</f>
        <v>-1.3400635585083047</v>
      </c>
      <c r="D396" s="48">
        <f>('Sheet1 (2)'!D396-'Sheet1 (2)'!D$526)/'Sheet1 (2)'!D$527</f>
        <v>-0.4704097020702403</v>
      </c>
      <c r="E396" s="48">
        <f>('Sheet1 (2)'!E396-'Sheet1 (2)'!E$526)/'Sheet1 (2)'!E$527</f>
        <v>-0.72959891401035815</v>
      </c>
      <c r="F396" s="48">
        <f>('Sheet1 (2)'!F396-'Sheet1 (2)'!F$526)/'Sheet1 (2)'!F$527</f>
        <v>3.5300958634082259E-2</v>
      </c>
      <c r="G396" s="48">
        <f>('Sheet1 (2)'!G396-'Sheet1 (2)'!G$526)/'Sheet1 (2)'!G$527</f>
        <v>4.2446353786445155</v>
      </c>
      <c r="H396" s="48">
        <f>('Sheet1 (2)'!H396-'Sheet1 (2)'!H$526)/'Sheet1 (2)'!H$527</f>
        <v>-1.3040623306497254</v>
      </c>
      <c r="I396" s="48">
        <f>('Sheet1 (2)'!I396-'Sheet1 (2)'!I$526)/'Sheet1 (2)'!I$527</f>
        <v>-6.2296101803144384E-2</v>
      </c>
      <c r="J396" s="48">
        <f>('Sheet1 (2)'!J396-'Sheet1 (2)'!J$526)/'Sheet1 (2)'!J$527</f>
        <v>-0.4168795463158752</v>
      </c>
      <c r="K396" s="48">
        <f>('Sheet1 (2)'!K396-'Sheet1 (2)'!K$526)/'Sheet1 (2)'!K$527</f>
        <v>0.11243723703218822</v>
      </c>
    </row>
    <row r="397" spans="1:11" ht="15.75" customHeight="1" x14ac:dyDescent="0.2">
      <c r="A397" s="49">
        <v>23</v>
      </c>
      <c r="B397" s="48">
        <f>('Sheet1 (2)'!B397-'Sheet1 (2)'!B$526)/'Sheet1 (2)'!B$527</f>
        <v>1.2478810076233939</v>
      </c>
      <c r="C397" s="48">
        <f>('Sheet1 (2)'!C397-'Sheet1 (2)'!C$526)/'Sheet1 (2)'!C$527</f>
        <v>-0.11970135129405218</v>
      </c>
      <c r="D397" s="48">
        <f>('Sheet1 (2)'!D397-'Sheet1 (2)'!D$526)/'Sheet1 (2)'!D$527</f>
        <v>1.4257032508898051</v>
      </c>
      <c r="E397" s="48">
        <f>('Sheet1 (2)'!E397-'Sheet1 (2)'!E$526)/'Sheet1 (2)'!E$527</f>
        <v>-0.28615866152712333</v>
      </c>
      <c r="F397" s="48">
        <f>('Sheet1 (2)'!F397-'Sheet1 (2)'!F$526)/'Sheet1 (2)'!F$527</f>
        <v>3.5300958634082259E-2</v>
      </c>
      <c r="G397" s="48">
        <f>('Sheet1 (2)'!G397-'Sheet1 (2)'!G$526)/'Sheet1 (2)'!G$527</f>
        <v>0.66499890079093793</v>
      </c>
      <c r="H397" s="48">
        <f>('Sheet1 (2)'!H397-'Sheet1 (2)'!H$526)/'Sheet1 (2)'!H$527</f>
        <v>0.75069588110984387</v>
      </c>
      <c r="I397" s="48">
        <f>('Sheet1 (2)'!I397-'Sheet1 (2)'!I$526)/'Sheet1 (2)'!I$527</f>
        <v>-1.6451641297351438</v>
      </c>
      <c r="J397" s="48">
        <f>('Sheet1 (2)'!J397-'Sheet1 (2)'!J$526)/'Sheet1 (2)'!J$527</f>
        <v>0.882317344581241</v>
      </c>
      <c r="K397" s="48">
        <f>('Sheet1 (2)'!K397-'Sheet1 (2)'!K$526)/'Sheet1 (2)'!K$527</f>
        <v>-0.10545447712440373</v>
      </c>
    </row>
    <row r="398" spans="1:11" ht="15.75" customHeight="1" x14ac:dyDescent="0.2">
      <c r="A398" s="50">
        <v>23</v>
      </c>
      <c r="B398" s="48">
        <f>('Sheet1 (2)'!B398-'Sheet1 (2)'!B$526)/'Sheet1 (2)'!B$527</f>
        <v>1.2478810076233939</v>
      </c>
      <c r="C398" s="48">
        <f>('Sheet1 (2)'!C398-'Sheet1 (2)'!C$526)/'Sheet1 (2)'!C$527</f>
        <v>-0.47029353825800735</v>
      </c>
      <c r="D398" s="48">
        <f>('Sheet1 (2)'!D398-'Sheet1 (2)'!D$526)/'Sheet1 (2)'!D$527</f>
        <v>-0.4704097020702403</v>
      </c>
      <c r="E398" s="48">
        <f>('Sheet1 (2)'!E398-'Sheet1 (2)'!E$526)/'Sheet1 (2)'!E$527</f>
        <v>-0.96855117441583183</v>
      </c>
      <c r="F398" s="48">
        <f>('Sheet1 (2)'!F398-'Sheet1 (2)'!F$526)/'Sheet1 (2)'!F$527</f>
        <v>-1.1978791963165167</v>
      </c>
      <c r="G398" s="48">
        <f>('Sheet1 (2)'!G398-'Sheet1 (2)'!G$526)/'Sheet1 (2)'!G$527</f>
        <v>-0.23207258105983786</v>
      </c>
      <c r="H398" s="48">
        <f>('Sheet1 (2)'!H398-'Sheet1 (2)'!H$526)/'Sheet1 (2)'!H$527</f>
        <v>0.67273468076761489</v>
      </c>
      <c r="I398" s="48">
        <f>('Sheet1 (2)'!I398-'Sheet1 (2)'!I$526)/'Sheet1 (2)'!I$527</f>
        <v>0.28485782169834534</v>
      </c>
      <c r="J398" s="48">
        <f>('Sheet1 (2)'!J398-'Sheet1 (2)'!J$526)/'Sheet1 (2)'!J$527</f>
        <v>-9.2791043991430233E-2</v>
      </c>
      <c r="K398" s="48">
        <f>('Sheet1 (2)'!K398-'Sheet1 (2)'!K$526)/'Sheet1 (2)'!K$527</f>
        <v>-0.29546634596568377</v>
      </c>
    </row>
    <row r="399" spans="1:11" ht="15.75" customHeight="1" x14ac:dyDescent="0.2">
      <c r="A399" s="51">
        <v>23</v>
      </c>
      <c r="B399" s="48">
        <f>('Sheet1 (2)'!B399-'Sheet1 (2)'!B$526)/'Sheet1 (2)'!B$527</f>
        <v>1.2478810076233939</v>
      </c>
      <c r="C399" s="48">
        <f>('Sheet1 (2)'!C399-'Sheet1 (2)'!C$526)/'Sheet1 (2)'!C$527</f>
        <v>0.21919056882753976</v>
      </c>
      <c r="D399" s="48">
        <f>('Sheet1 (2)'!D399-'Sheet1 (2)'!D$526)/'Sheet1 (2)'!D$527</f>
        <v>-0.4704097020702403</v>
      </c>
      <c r="E399" s="48">
        <f>('Sheet1 (2)'!E399-'Sheet1 (2)'!E$526)/'Sheet1 (2)'!E$527</f>
        <v>-0.83988457265903826</v>
      </c>
      <c r="F399" s="48">
        <f>('Sheet1 (2)'!F399-'Sheet1 (2)'!F$526)/'Sheet1 (2)'!F$527</f>
        <v>-1.1978791963165167</v>
      </c>
      <c r="G399" s="48">
        <f>('Sheet1 (2)'!G399-'Sheet1 (2)'!G$526)/'Sheet1 (2)'!G$527</f>
        <v>-0.50144115274505707</v>
      </c>
      <c r="H399" s="48">
        <f>('Sheet1 (2)'!H399-'Sheet1 (2)'!H$526)/'Sheet1 (2)'!H$527</f>
        <v>-0.225421065640804</v>
      </c>
      <c r="I399" s="48">
        <f>('Sheet1 (2)'!I399-'Sheet1 (2)'!I$526)/'Sheet1 (2)'!I$527</f>
        <v>-0.78641495054724864</v>
      </c>
      <c r="J399" s="48">
        <f>('Sheet1 (2)'!J399-'Sheet1 (2)'!J$526)/'Sheet1 (2)'!J$527</f>
        <v>-0.50474694450553481</v>
      </c>
      <c r="K399" s="48">
        <f>('Sheet1 (2)'!K399-'Sheet1 (2)'!K$526)/'Sheet1 (2)'!K$527</f>
        <v>-0.84448483832875021</v>
      </c>
    </row>
    <row r="400" spans="1:11" ht="15.75" customHeight="1" x14ac:dyDescent="0.2">
      <c r="A400" s="48">
        <v>24</v>
      </c>
      <c r="B400" s="48">
        <f>('Sheet1 (2)'!B400-'Sheet1 (2)'!B$526)/'Sheet1 (2)'!B$527</f>
        <v>-1.2242915745870349</v>
      </c>
      <c r="C400" s="48">
        <f>('Sheet1 (2)'!C400-'Sheet1 (2)'!C$526)/'Sheet1 (2)'!C$527</f>
        <v>-0.72565795598153315</v>
      </c>
      <c r="D400" s="48">
        <f>('Sheet1 (2)'!D400-'Sheet1 (2)'!D$526)/'Sheet1 (2)'!D$527</f>
        <v>-0.4704097020702403</v>
      </c>
      <c r="E400" s="48">
        <f>('Sheet1 (2)'!E400-'Sheet1 (2)'!E$526)/'Sheet1 (2)'!E$527</f>
        <v>0.26067439593924924</v>
      </c>
      <c r="F400" s="48">
        <f>('Sheet1 (2)'!F400-'Sheet1 (2)'!F$526)/'Sheet1 (2)'!F$527</f>
        <v>1.2684811135846812</v>
      </c>
      <c r="G400" s="48">
        <f>('Sheet1 (2)'!G400-'Sheet1 (2)'!G$526)/'Sheet1 (2)'!G$527</f>
        <v>-0.50144115274505707</v>
      </c>
      <c r="H400" s="48">
        <f>('Sheet1 (2)'!H400-'Sheet1 (2)'!H$526)/'Sheet1 (2)'!H$527</f>
        <v>0.11045287281989537</v>
      </c>
      <c r="I400" s="48">
        <f>('Sheet1 (2)'!I400-'Sheet1 (2)'!I$526)/'Sheet1 (2)'!I$527</f>
        <v>0.63052920882292418</v>
      </c>
      <c r="J400" s="48">
        <f>('Sheet1 (2)'!J400-'Sheet1 (2)'!J$526)/'Sheet1 (2)'!J$527</f>
        <v>-0.54909845503442267</v>
      </c>
      <c r="K400" s="48">
        <f>('Sheet1 (2)'!K400-'Sheet1 (2)'!K$526)/'Sheet1 (2)'!K$527</f>
        <v>-0.67750958526403249</v>
      </c>
    </row>
    <row r="401" spans="1:11" ht="15.75" customHeight="1" x14ac:dyDescent="0.2">
      <c r="A401" s="49">
        <v>24</v>
      </c>
      <c r="B401" s="48">
        <f>('Sheet1 (2)'!B401-'Sheet1 (2)'!B$526)/'Sheet1 (2)'!B$527</f>
        <v>-1.2242915745870349</v>
      </c>
      <c r="C401" s="48">
        <f>('Sheet1 (2)'!C401-'Sheet1 (2)'!C$526)/'Sheet1 (2)'!C$527</f>
        <v>2.3972237900434852E-2</v>
      </c>
      <c r="D401" s="48">
        <f>('Sheet1 (2)'!D401-'Sheet1 (2)'!D$526)/'Sheet1 (2)'!D$527</f>
        <v>-0.4704097020702403</v>
      </c>
      <c r="E401" s="48">
        <f>('Sheet1 (2)'!E401-'Sheet1 (2)'!E$526)/'Sheet1 (2)'!E$527</f>
        <v>1.7656141129160308</v>
      </c>
      <c r="F401" s="48">
        <f>('Sheet1 (2)'!F401-'Sheet1 (2)'!F$526)/'Sheet1 (2)'!F$527</f>
        <v>1.2684811135846812</v>
      </c>
      <c r="G401" s="48">
        <f>('Sheet1 (2)'!G401-'Sheet1 (2)'!G$526)/'Sheet1 (2)'!G$527</f>
        <v>-0.45386918022266737</v>
      </c>
      <c r="H401" s="48">
        <f>('Sheet1 (2)'!H401-'Sheet1 (2)'!H$526)/'Sheet1 (2)'!H$527</f>
        <v>-0.98011396393087424</v>
      </c>
      <c r="I401" s="48">
        <f>('Sheet1 (2)'!I401-'Sheet1 (2)'!I$526)/'Sheet1 (2)'!I$527</f>
        <v>0.64639635491094238</v>
      </c>
      <c r="J401" s="48">
        <f>('Sheet1 (2)'!J401-'Sheet1 (2)'!J$526)/'Sheet1 (2)'!J$527</f>
        <v>3.2178751031697432</v>
      </c>
      <c r="K401" s="48">
        <f>('Sheet1 (2)'!K401-'Sheet1 (2)'!K$526)/'Sheet1 (2)'!K$527</f>
        <v>-0.37210911303921929</v>
      </c>
    </row>
    <row r="402" spans="1:11" ht="15.75" customHeight="1" x14ac:dyDescent="0.2">
      <c r="A402" s="50">
        <v>24</v>
      </c>
      <c r="B402" s="48">
        <f>('Sheet1 (2)'!B402-'Sheet1 (2)'!B$526)/'Sheet1 (2)'!B$527</f>
        <v>-1.2242915745870349</v>
      </c>
      <c r="C402" s="48">
        <f>('Sheet1 (2)'!C402-'Sheet1 (2)'!C$526)/'Sheet1 (2)'!C$527</f>
        <v>-0.80863402117088423</v>
      </c>
      <c r="D402" s="48">
        <f>('Sheet1 (2)'!D402-'Sheet1 (2)'!D$526)/'Sheet1 (2)'!D$527</f>
        <v>1.4257032508898051</v>
      </c>
      <c r="E402" s="48">
        <f>('Sheet1 (2)'!E402-'Sheet1 (2)'!E$526)/'Sheet1 (2)'!E$527</f>
        <v>-0.30224198674672237</v>
      </c>
      <c r="F402" s="48">
        <f>('Sheet1 (2)'!F402-'Sheet1 (2)'!F$526)/'Sheet1 (2)'!F$527</f>
        <v>3.5300958634082259E-2</v>
      </c>
      <c r="G402" s="48">
        <f>('Sheet1 (2)'!G402-'Sheet1 (2)'!G$526)/'Sheet1 (2)'!G$527</f>
        <v>0.94157534710076118</v>
      </c>
      <c r="H402" s="48">
        <f>('Sheet1 (2)'!H402-'Sheet1 (2)'!H$526)/'Sheet1 (2)'!H$527</f>
        <v>-0.99871429597599537</v>
      </c>
      <c r="I402" s="48">
        <f>('Sheet1 (2)'!I402-'Sheet1 (2)'!I$526)/'Sheet1 (2)'!I$527</f>
        <v>0.81740892941513887</v>
      </c>
      <c r="J402" s="48">
        <f>('Sheet1 (2)'!J402-'Sheet1 (2)'!J$526)/'Sheet1 (2)'!J$527</f>
        <v>0.20806879620664753</v>
      </c>
      <c r="K402" s="48">
        <f>('Sheet1 (2)'!K402-'Sheet1 (2)'!K$526)/'Sheet1 (2)'!K$527</f>
        <v>-0.60791720215004208</v>
      </c>
    </row>
    <row r="403" spans="1:11" ht="15.75" customHeight="1" x14ac:dyDescent="0.2">
      <c r="A403" s="49">
        <v>24</v>
      </c>
      <c r="B403" s="48">
        <f>('Sheet1 (2)'!B403-'Sheet1 (2)'!B$526)/'Sheet1 (2)'!B$527</f>
        <v>-1.2242915745870349</v>
      </c>
      <c r="C403" s="48">
        <f>('Sheet1 (2)'!C403-'Sheet1 (2)'!C$526)/'Sheet1 (2)'!C$527</f>
        <v>-0.58638750029543074</v>
      </c>
      <c r="D403" s="48">
        <f>('Sheet1 (2)'!D403-'Sheet1 (2)'!D$526)/'Sheet1 (2)'!D$527</f>
        <v>-0.4704097020702403</v>
      </c>
      <c r="E403" s="48">
        <f>('Sheet1 (2)'!E403-'Sheet1 (2)'!E$526)/'Sheet1 (2)'!E$527</f>
        <v>-0.34819434451700582</v>
      </c>
      <c r="F403" s="48">
        <f>('Sheet1 (2)'!F403-'Sheet1 (2)'!F$526)/'Sheet1 (2)'!F$527</f>
        <v>3.5300958634082259E-2</v>
      </c>
      <c r="G403" s="48">
        <f>('Sheet1 (2)'!G403-'Sheet1 (2)'!G$526)/'Sheet1 (2)'!G$527</f>
        <v>-0.46406317433460803</v>
      </c>
      <c r="H403" s="48">
        <f>('Sheet1 (2)'!H403-'Sheet1 (2)'!H$526)/'Sheet1 (2)'!H$527</f>
        <v>-0.28700685403900283</v>
      </c>
      <c r="I403" s="48">
        <f>('Sheet1 (2)'!I403-'Sheet1 (2)'!I$526)/'Sheet1 (2)'!I$527</f>
        <v>-1.7693766369898316</v>
      </c>
      <c r="J403" s="48">
        <f>('Sheet1 (2)'!J403-'Sheet1 (2)'!J$526)/'Sheet1 (2)'!J$527</f>
        <v>0.87972514984233885</v>
      </c>
      <c r="K403" s="48">
        <f>('Sheet1 (2)'!K403-'Sheet1 (2)'!K$526)/'Sheet1 (2)'!K$527</f>
        <v>-1.2253583970972877E-2</v>
      </c>
    </row>
    <row r="404" spans="1:11" ht="15.75" customHeight="1" x14ac:dyDescent="0.2">
      <c r="A404" s="50">
        <v>24</v>
      </c>
      <c r="B404" s="48">
        <f>('Sheet1 (2)'!B404-'Sheet1 (2)'!B$526)/'Sheet1 (2)'!B$527</f>
        <v>-1.2242915745870349</v>
      </c>
      <c r="C404" s="48">
        <f>('Sheet1 (2)'!C404-'Sheet1 (2)'!C$526)/'Sheet1 (2)'!C$527</f>
        <v>-0.60208105674024004</v>
      </c>
      <c r="D404" s="48">
        <f>('Sheet1 (2)'!D404-'Sheet1 (2)'!D$526)/'Sheet1 (2)'!D$527</f>
        <v>-0.4704097020702403</v>
      </c>
      <c r="E404" s="48">
        <f>('Sheet1 (2)'!E404-'Sheet1 (2)'!E$526)/'Sheet1 (2)'!E$527</f>
        <v>-0.7801465075576699</v>
      </c>
      <c r="F404" s="48">
        <f>('Sheet1 (2)'!F404-'Sheet1 (2)'!F$526)/'Sheet1 (2)'!F$527</f>
        <v>-1.1978791963165167</v>
      </c>
      <c r="G404" s="48">
        <f>('Sheet1 (2)'!G404-'Sheet1 (2)'!G$526)/'Sheet1 (2)'!G$527</f>
        <v>-0.47425716844654864</v>
      </c>
      <c r="H404" s="48">
        <f>('Sheet1 (2)'!H404-'Sheet1 (2)'!H$526)/'Sheet1 (2)'!H$527</f>
        <v>-0.88711230370527017</v>
      </c>
      <c r="I404" s="48">
        <f>('Sheet1 (2)'!I404-'Sheet1 (2)'!I$526)/'Sheet1 (2)'!I$527</f>
        <v>0.57102741099285581</v>
      </c>
      <c r="J404" s="48">
        <f>('Sheet1 (2)'!J404-'Sheet1 (2)'!J$526)/'Sheet1 (2)'!J$527</f>
        <v>-0.19855664618845767</v>
      </c>
      <c r="K404" s="48">
        <f>('Sheet1 (2)'!K404-'Sheet1 (2)'!K$526)/'Sheet1 (2)'!K$527</f>
        <v>-0.9857605929553791</v>
      </c>
    </row>
    <row r="405" spans="1:11" ht="15.75" customHeight="1" x14ac:dyDescent="0.2">
      <c r="A405" s="51">
        <v>24</v>
      </c>
      <c r="B405" s="48">
        <f>('Sheet1 (2)'!B405-'Sheet1 (2)'!B$526)/'Sheet1 (2)'!B$527</f>
        <v>-1.2242915745870349</v>
      </c>
      <c r="C405" s="48">
        <f>('Sheet1 (2)'!C405-'Sheet1 (2)'!C$526)/'Sheet1 (2)'!C$527</f>
        <v>-0.53342503321472601</v>
      </c>
      <c r="D405" s="48">
        <f>('Sheet1 (2)'!D405-'Sheet1 (2)'!D$526)/'Sheet1 (2)'!D$527</f>
        <v>-0.4704097020702403</v>
      </c>
      <c r="E405" s="48">
        <f>('Sheet1 (2)'!E405-'Sheet1 (2)'!E$526)/'Sheet1 (2)'!E$527</f>
        <v>-0.17357538498992889</v>
      </c>
      <c r="F405" s="48">
        <f>('Sheet1 (2)'!F405-'Sheet1 (2)'!F$526)/'Sheet1 (2)'!F$527</f>
        <v>-1.1978791963165167</v>
      </c>
      <c r="G405" s="48">
        <f>('Sheet1 (2)'!G405-'Sheet1 (2)'!G$526)/'Sheet1 (2)'!G$527</f>
        <v>-0.50144115274505707</v>
      </c>
      <c r="H405" s="48">
        <f>('Sheet1 (2)'!H405-'Sheet1 (2)'!H$526)/'Sheet1 (2)'!H$527</f>
        <v>-1.1137426652024005</v>
      </c>
      <c r="I405" s="48">
        <f>('Sheet1 (2)'!I405-'Sheet1 (2)'!I$526)/'Sheet1 (2)'!I$527</f>
        <v>-0.49515665531036857</v>
      </c>
      <c r="J405" s="48">
        <f>('Sheet1 (2)'!J405-'Sheet1 (2)'!J$526)/'Sheet1 (2)'!J$527</f>
        <v>-0.83945425120312078</v>
      </c>
      <c r="K405" s="48">
        <f>('Sheet1 (2)'!K405-'Sheet1 (2)'!K$526)/'Sheet1 (2)'!K$527</f>
        <v>-0.7369776527555072</v>
      </c>
    </row>
    <row r="406" spans="1:11" ht="15.75" customHeight="1" x14ac:dyDescent="0.2">
      <c r="A406" s="48">
        <v>24</v>
      </c>
      <c r="B406" s="48">
        <f>('Sheet1 (2)'!B406-'Sheet1 (2)'!B$526)/'Sheet1 (2)'!B$527</f>
        <v>1.1794716518179513E-2</v>
      </c>
      <c r="C406" s="48">
        <f>('Sheet1 (2)'!C406-'Sheet1 (2)'!C$526)/'Sheet1 (2)'!C$527</f>
        <v>-0.6406752015293421</v>
      </c>
      <c r="D406" s="48">
        <f>('Sheet1 (2)'!D406-'Sheet1 (2)'!D$526)/'Sheet1 (2)'!D$527</f>
        <v>-0.4704097020702403</v>
      </c>
      <c r="E406" s="48">
        <f>('Sheet1 (2)'!E406-'Sheet1 (2)'!E$526)/'Sheet1 (2)'!E$527</f>
        <v>-0.43550382428054424</v>
      </c>
      <c r="F406" s="48">
        <f>('Sheet1 (2)'!F406-'Sheet1 (2)'!F$526)/'Sheet1 (2)'!F$527</f>
        <v>1.2684811135846812</v>
      </c>
      <c r="G406" s="48">
        <f>('Sheet1 (2)'!G406-'Sheet1 (2)'!G$526)/'Sheet1 (2)'!G$527</f>
        <v>-0.50144115274505707</v>
      </c>
      <c r="H406" s="48">
        <f>('Sheet1 (2)'!H406-'Sheet1 (2)'!H$526)/'Sheet1 (2)'!H$527</f>
        <v>0.59168640378512338</v>
      </c>
      <c r="I406" s="48">
        <f>('Sheet1 (2)'!I406-'Sheet1 (2)'!I$526)/'Sheet1 (2)'!I$527</f>
        <v>0.63644432862404443</v>
      </c>
      <c r="J406" s="48">
        <f>('Sheet1 (2)'!J406-'Sheet1 (2)'!J$526)/'Sheet1 (2)'!J$527</f>
        <v>0.59891558014850954</v>
      </c>
      <c r="K406" s="48">
        <f>('Sheet1 (2)'!K406-'Sheet1 (2)'!K$526)/'Sheet1 (2)'!K$527</f>
        <v>1.2912235694128589</v>
      </c>
    </row>
    <row r="407" spans="1:11" ht="15.75" customHeight="1" x14ac:dyDescent="0.2">
      <c r="A407" s="49">
        <v>24</v>
      </c>
      <c r="B407" s="48">
        <f>('Sheet1 (2)'!B407-'Sheet1 (2)'!B$526)/'Sheet1 (2)'!B$527</f>
        <v>1.1794716518179513E-2</v>
      </c>
      <c r="C407" s="48">
        <f>('Sheet1 (2)'!C407-'Sheet1 (2)'!C$526)/'Sheet1 (2)'!C$527</f>
        <v>0.93344174179766415</v>
      </c>
      <c r="D407" s="48">
        <f>('Sheet1 (2)'!D407-'Sheet1 (2)'!D$526)/'Sheet1 (2)'!D$527</f>
        <v>1.4257032508898051</v>
      </c>
      <c r="E407" s="48">
        <f>('Sheet1 (2)'!E407-'Sheet1 (2)'!E$526)/'Sheet1 (2)'!E$527</f>
        <v>9.0650672189200782E-2</v>
      </c>
      <c r="F407" s="48">
        <f>('Sheet1 (2)'!F407-'Sheet1 (2)'!F$526)/'Sheet1 (2)'!F$527</f>
        <v>1.2684811135846812</v>
      </c>
      <c r="G407" s="48">
        <f>('Sheet1 (2)'!G407-'Sheet1 (2)'!G$526)/'Sheet1 (2)'!G$527</f>
        <v>0.3876566178022407</v>
      </c>
      <c r="H407" s="48">
        <f>('Sheet1 (2)'!H407-'Sheet1 (2)'!H$526)/'Sheet1 (2)'!H$527</f>
        <v>-0.2306941262803941</v>
      </c>
      <c r="I407" s="48">
        <f>('Sheet1 (2)'!I407-'Sheet1 (2)'!I$526)/'Sheet1 (2)'!I$527</f>
        <v>0.64730040158672753</v>
      </c>
      <c r="J407" s="48">
        <f>('Sheet1 (2)'!J407-'Sheet1 (2)'!J$526)/'Sheet1 (2)'!J$527</f>
        <v>-0.83945425120312078</v>
      </c>
      <c r="K407" s="48">
        <f>('Sheet1 (2)'!K407-'Sheet1 (2)'!K$526)/'Sheet1 (2)'!K$527</f>
        <v>8.0573120553426525E-2</v>
      </c>
    </row>
    <row r="408" spans="1:11" ht="15.75" customHeight="1" x14ac:dyDescent="0.2">
      <c r="A408" s="50">
        <v>24</v>
      </c>
      <c r="B408" s="48">
        <f>('Sheet1 (2)'!B408-'Sheet1 (2)'!B$526)/'Sheet1 (2)'!B$527</f>
        <v>1.1794716518179513E-2</v>
      </c>
      <c r="C408" s="48">
        <f>('Sheet1 (2)'!C408-'Sheet1 (2)'!C$526)/'Sheet1 (2)'!C$527</f>
        <v>0.27741823813532113</v>
      </c>
      <c r="D408" s="48">
        <f>('Sheet1 (2)'!D408-'Sheet1 (2)'!D$526)/'Sheet1 (2)'!D$527</f>
        <v>1.4257032508898051</v>
      </c>
      <c r="E408" s="48">
        <f>('Sheet1 (2)'!E408-'Sheet1 (2)'!E$526)/'Sheet1 (2)'!E$527</f>
        <v>0.11822208685137085</v>
      </c>
      <c r="F408" s="48">
        <f>('Sheet1 (2)'!F408-'Sheet1 (2)'!F$526)/'Sheet1 (2)'!F$527</f>
        <v>3.5300958634082259E-2</v>
      </c>
      <c r="G408" s="48">
        <f>('Sheet1 (2)'!G408-'Sheet1 (2)'!G$526)/'Sheet1 (2)'!G$527</f>
        <v>-0.44089500589837932</v>
      </c>
      <c r="H408" s="48">
        <f>('Sheet1 (2)'!H408-'Sheet1 (2)'!H$526)/'Sheet1 (2)'!H$527</f>
        <v>0.79968862173586774</v>
      </c>
      <c r="I408" s="48">
        <f>('Sheet1 (2)'!I408-'Sheet1 (2)'!I$526)/'Sheet1 (2)'!I$527</f>
        <v>0.61635495900313519</v>
      </c>
      <c r="J408" s="48">
        <f>('Sheet1 (2)'!J408-'Sheet1 (2)'!J$526)/'Sheet1 (2)'!J$527</f>
        <v>-0.83945425120312078</v>
      </c>
      <c r="K408" s="48">
        <f>('Sheet1 (2)'!K408-'Sheet1 (2)'!K$526)/'Sheet1 (2)'!K$527</f>
        <v>0.2269071235578734</v>
      </c>
    </row>
    <row r="409" spans="1:11" ht="15.75" customHeight="1" x14ac:dyDescent="0.2">
      <c r="A409" s="49">
        <v>24</v>
      </c>
      <c r="B409" s="48">
        <f>('Sheet1 (2)'!B409-'Sheet1 (2)'!B$526)/'Sheet1 (2)'!B$527</f>
        <v>1.1794716518179513E-2</v>
      </c>
      <c r="C409" s="48">
        <f>('Sheet1 (2)'!C409-'Sheet1 (2)'!C$526)/'Sheet1 (2)'!C$527</f>
        <v>0.65656410365304874</v>
      </c>
      <c r="D409" s="48">
        <f>('Sheet1 (2)'!D409-'Sheet1 (2)'!D$526)/'Sheet1 (2)'!D$527</f>
        <v>-0.4704097020702403</v>
      </c>
      <c r="E409" s="48">
        <f>('Sheet1 (2)'!E409-'Sheet1 (2)'!E$526)/'Sheet1 (2)'!E$527</f>
        <v>-5.4099254787191929E-2</v>
      </c>
      <c r="F409" s="48">
        <f>('Sheet1 (2)'!F409-'Sheet1 (2)'!F$526)/'Sheet1 (2)'!F$527</f>
        <v>3.5300958634082259E-2</v>
      </c>
      <c r="G409" s="48">
        <f>('Sheet1 (2)'!G409-'Sheet1 (2)'!G$526)/'Sheet1 (2)'!G$527</f>
        <v>-0.50144115274505707</v>
      </c>
      <c r="H409" s="48">
        <f>('Sheet1 (2)'!H409-'Sheet1 (2)'!H$526)/'Sheet1 (2)'!H$527</f>
        <v>1.9208899474149124E-2</v>
      </c>
      <c r="I409" s="48">
        <f>('Sheet1 (2)'!I409-'Sheet1 (2)'!I$526)/'Sheet1 (2)'!I$527</f>
        <v>-0.69623065999773392</v>
      </c>
      <c r="J409" s="48">
        <f>('Sheet1 (2)'!J409-'Sheet1 (2)'!J$526)/'Sheet1 (2)'!J$527</f>
        <v>-0.83945425120312078</v>
      </c>
      <c r="K409" s="48">
        <f>('Sheet1 (2)'!K409-'Sheet1 (2)'!K$526)/'Sheet1 (2)'!K$527</f>
        <v>-0.53645275890991095</v>
      </c>
    </row>
    <row r="410" spans="1:11" ht="15.75" customHeight="1" x14ac:dyDescent="0.2">
      <c r="A410" s="50">
        <v>24</v>
      </c>
      <c r="B410" s="48">
        <f>('Sheet1 (2)'!B410-'Sheet1 (2)'!B$526)/'Sheet1 (2)'!B$527</f>
        <v>1.1794716518179513E-2</v>
      </c>
      <c r="C410" s="48">
        <f>('Sheet1 (2)'!C410-'Sheet1 (2)'!C$526)/'Sheet1 (2)'!C$527</f>
        <v>1.1310003576012875</v>
      </c>
      <c r="D410" s="48">
        <f>('Sheet1 (2)'!D410-'Sheet1 (2)'!D$526)/'Sheet1 (2)'!D$527</f>
        <v>-0.4704097020702403</v>
      </c>
      <c r="E410" s="48">
        <f>('Sheet1 (2)'!E410-'Sheet1 (2)'!E$526)/'Sheet1 (2)'!E$527</f>
        <v>-0.71581320667927306</v>
      </c>
      <c r="F410" s="48">
        <f>('Sheet1 (2)'!F410-'Sheet1 (2)'!F$526)/'Sheet1 (2)'!F$527</f>
        <v>-1.1978791963165167</v>
      </c>
      <c r="G410" s="48">
        <f>('Sheet1 (2)'!G410-'Sheet1 (2)'!G$526)/'Sheet1 (2)'!G$527</f>
        <v>-0.50144115274505707</v>
      </c>
      <c r="H410" s="48">
        <f>('Sheet1 (2)'!H410-'Sheet1 (2)'!H$526)/'Sheet1 (2)'!H$527</f>
        <v>0.51851434396048635</v>
      </c>
      <c r="I410" s="48">
        <f>('Sheet1 (2)'!I410-'Sheet1 (2)'!I$526)/'Sheet1 (2)'!I$527</f>
        <v>0.6335819315314617</v>
      </c>
      <c r="J410" s="48">
        <f>('Sheet1 (2)'!J410-'Sheet1 (2)'!J$526)/'Sheet1 (2)'!J$527</f>
        <v>-0.83945425120312078</v>
      </c>
      <c r="K410" s="48">
        <f>('Sheet1 (2)'!K410-'Sheet1 (2)'!K$526)/'Sheet1 (2)'!K$527</f>
        <v>-3.8422214421578851E-2</v>
      </c>
    </row>
    <row r="411" spans="1:11" ht="15.75" customHeight="1" x14ac:dyDescent="0.2">
      <c r="A411" s="51">
        <v>24</v>
      </c>
      <c r="B411" s="48">
        <f>('Sheet1 (2)'!B411-'Sheet1 (2)'!B$526)/'Sheet1 (2)'!B$527</f>
        <v>1.1794716518179513E-2</v>
      </c>
      <c r="C411" s="48">
        <f>('Sheet1 (2)'!C411-'Sheet1 (2)'!C$526)/'Sheet1 (2)'!C$527</f>
        <v>1.1068355113335822</v>
      </c>
      <c r="D411" s="48">
        <f>('Sheet1 (2)'!D411-'Sheet1 (2)'!D$526)/'Sheet1 (2)'!D$527</f>
        <v>-0.4704097020702403</v>
      </c>
      <c r="E411" s="48">
        <f>('Sheet1 (2)'!E411-'Sheet1 (2)'!E$526)/'Sheet1 (2)'!E$527</f>
        <v>-0.86056313365566584</v>
      </c>
      <c r="F411" s="48">
        <f>('Sheet1 (2)'!F411-'Sheet1 (2)'!F$526)/'Sheet1 (2)'!F$527</f>
        <v>-1.1978791963165167</v>
      </c>
      <c r="G411" s="48">
        <f>('Sheet1 (2)'!G411-'Sheet1 (2)'!G$526)/'Sheet1 (2)'!G$527</f>
        <v>-0.39826557597571849</v>
      </c>
      <c r="H411" s="48">
        <f>('Sheet1 (2)'!H411-'Sheet1 (2)'!H$526)/'Sheet1 (2)'!H$527</f>
        <v>0.12410275764007975</v>
      </c>
      <c r="I411" s="48">
        <f>('Sheet1 (2)'!I411-'Sheet1 (2)'!I$526)/'Sheet1 (2)'!I$527</f>
        <v>0.65684923808193174</v>
      </c>
      <c r="J411" s="48">
        <f>('Sheet1 (2)'!J411-'Sheet1 (2)'!J$526)/'Sheet1 (2)'!J$527</f>
        <v>-0.83945425120312078</v>
      </c>
      <c r="K411" s="48">
        <f>('Sheet1 (2)'!K411-'Sheet1 (2)'!K$526)/'Sheet1 (2)'!K$527</f>
        <v>-0.36081308436639264</v>
      </c>
    </row>
    <row r="412" spans="1:11" ht="15.75" customHeight="1" x14ac:dyDescent="0.2">
      <c r="A412" s="48">
        <v>24</v>
      </c>
      <c r="B412" s="48">
        <f>('Sheet1 (2)'!B412-'Sheet1 (2)'!B$526)/'Sheet1 (2)'!B$527</f>
        <v>1.2478810076233939</v>
      </c>
      <c r="C412" s="48">
        <f>('Sheet1 (2)'!C412-'Sheet1 (2)'!C$526)/'Sheet1 (2)'!C$527</f>
        <v>-0.67106870547603115</v>
      </c>
      <c r="D412" s="48">
        <f>('Sheet1 (2)'!D412-'Sheet1 (2)'!D$526)/'Sheet1 (2)'!D$527</f>
        <v>-0.4704097020702403</v>
      </c>
      <c r="E412" s="48">
        <f>('Sheet1 (2)'!E412-'Sheet1 (2)'!E$526)/'Sheet1 (2)'!E$527</f>
        <v>1.4784118768517596</v>
      </c>
      <c r="F412" s="48">
        <f>('Sheet1 (2)'!F412-'Sheet1 (2)'!F$526)/'Sheet1 (2)'!F$527</f>
        <v>1.2684811135846812</v>
      </c>
      <c r="G412" s="48">
        <f>('Sheet1 (2)'!G412-'Sheet1 (2)'!G$526)/'Sheet1 (2)'!G$527</f>
        <v>-0.50144115274505707</v>
      </c>
      <c r="H412" s="48">
        <f>('Sheet1 (2)'!H412-'Sheet1 (2)'!H$526)/'Sheet1 (2)'!H$527</f>
        <v>-0.13037247892219572</v>
      </c>
      <c r="I412" s="48">
        <f>('Sheet1 (2)'!I412-'Sheet1 (2)'!I$526)/'Sheet1 (2)'!I$527</f>
        <v>0.63659805316000806</v>
      </c>
      <c r="J412" s="48">
        <f>('Sheet1 (2)'!J412-'Sheet1 (2)'!J$526)/'Sheet1 (2)'!J$527</f>
        <v>-0.83945425120312078</v>
      </c>
      <c r="K412" s="48">
        <f>('Sheet1 (2)'!K412-'Sheet1 (2)'!K$526)/'Sheet1 (2)'!K$527</f>
        <v>-0.83092434551858085</v>
      </c>
    </row>
    <row r="413" spans="1:11" ht="15.75" customHeight="1" x14ac:dyDescent="0.2">
      <c r="A413" s="49">
        <v>24</v>
      </c>
      <c r="B413" s="48">
        <f>('Sheet1 (2)'!B413-'Sheet1 (2)'!B$526)/'Sheet1 (2)'!B$527</f>
        <v>1.2478810076233939</v>
      </c>
      <c r="C413" s="48">
        <f>('Sheet1 (2)'!C413-'Sheet1 (2)'!C$526)/'Sheet1 (2)'!C$527</f>
        <v>-0.32453653757756756</v>
      </c>
      <c r="D413" s="48">
        <f>('Sheet1 (2)'!D413-'Sheet1 (2)'!D$526)/'Sheet1 (2)'!D$527</f>
        <v>-0.4704097020702403</v>
      </c>
      <c r="E413" s="48">
        <f>('Sheet1 (2)'!E413-'Sheet1 (2)'!E$526)/'Sheet1 (2)'!E$527</f>
        <v>-0.14600397032775883</v>
      </c>
      <c r="F413" s="48">
        <f>('Sheet1 (2)'!F413-'Sheet1 (2)'!F$526)/'Sheet1 (2)'!F$527</f>
        <v>1.2684811135846812</v>
      </c>
      <c r="G413" s="48">
        <f>('Sheet1 (2)'!G413-'Sheet1 (2)'!G$526)/'Sheet1 (2)'!G$527</f>
        <v>-0.50144115274505707</v>
      </c>
      <c r="H413" s="48">
        <f>('Sheet1 (2)'!H413-'Sheet1 (2)'!H$526)/'Sheet1 (2)'!H$527</f>
        <v>-0.75841607915016274</v>
      </c>
      <c r="I413" s="48">
        <f>('Sheet1 (2)'!I413-'Sheet1 (2)'!I$526)/'Sheet1 (2)'!I$527</f>
        <v>0.6707734447342012</v>
      </c>
      <c r="J413" s="48">
        <f>('Sheet1 (2)'!J413-'Sheet1 (2)'!J$526)/'Sheet1 (2)'!J$527</f>
        <v>-0.83945425120312078</v>
      </c>
      <c r="K413" s="48">
        <f>('Sheet1 (2)'!K413-'Sheet1 (2)'!K$526)/'Sheet1 (2)'!K$527</f>
        <v>-0.93817101675813286</v>
      </c>
    </row>
    <row r="414" spans="1:11" ht="15.75" customHeight="1" x14ac:dyDescent="0.2">
      <c r="A414" s="50">
        <v>24</v>
      </c>
      <c r="B414" s="48">
        <f>('Sheet1 (2)'!B414-'Sheet1 (2)'!B$526)/'Sheet1 (2)'!B$527</f>
        <v>1.2478810076233939</v>
      </c>
      <c r="C414" s="48">
        <f>('Sheet1 (2)'!C414-'Sheet1 (2)'!C$526)/'Sheet1 (2)'!C$527</f>
        <v>-1.0495278882832826</v>
      </c>
      <c r="D414" s="48">
        <f>('Sheet1 (2)'!D414-'Sheet1 (2)'!D$526)/'Sheet1 (2)'!D$527</f>
        <v>-0.4704097020702403</v>
      </c>
      <c r="E414" s="48">
        <f>('Sheet1 (2)'!E414-'Sheet1 (2)'!E$526)/'Sheet1 (2)'!E$527</f>
        <v>-4.2611165344621116E-2</v>
      </c>
      <c r="F414" s="48">
        <f>('Sheet1 (2)'!F414-'Sheet1 (2)'!F$526)/'Sheet1 (2)'!F$527</f>
        <v>3.5300958634082259E-2</v>
      </c>
      <c r="G414" s="48">
        <f>('Sheet1 (2)'!G414-'Sheet1 (2)'!G$526)/'Sheet1 (2)'!G$527</f>
        <v>0.76888734428139127</v>
      </c>
      <c r="H414" s="48">
        <f>('Sheet1 (2)'!H414-'Sheet1 (2)'!H$526)/'Sheet1 (2)'!H$527</f>
        <v>-0.28038001509175342</v>
      </c>
      <c r="I414" s="48">
        <f>('Sheet1 (2)'!I414-'Sheet1 (2)'!I$526)/'Sheet1 (2)'!I$527</f>
        <v>-1.9241152155063179</v>
      </c>
      <c r="J414" s="48">
        <f>('Sheet1 (2)'!J414-'Sheet1 (2)'!J$526)/'Sheet1 (2)'!J$527</f>
        <v>-0.18368886828368741</v>
      </c>
      <c r="K414" s="48">
        <f>('Sheet1 (2)'!K414-'Sheet1 (2)'!K$526)/'Sheet1 (2)'!K$527</f>
        <v>-0.66615281001009785</v>
      </c>
    </row>
    <row r="415" spans="1:11" ht="15.75" customHeight="1" x14ac:dyDescent="0.2">
      <c r="A415" s="49">
        <v>24</v>
      </c>
      <c r="B415" s="48">
        <f>('Sheet1 (2)'!B415-'Sheet1 (2)'!B$526)/'Sheet1 (2)'!B$527</f>
        <v>1.2478810076233939</v>
      </c>
      <c r="C415" s="48">
        <f>('Sheet1 (2)'!C415-'Sheet1 (2)'!C$526)/'Sheet1 (2)'!C$527</f>
        <v>-0.13711774114834288</v>
      </c>
      <c r="D415" s="48">
        <f>('Sheet1 (2)'!D415-'Sheet1 (2)'!D$526)/'Sheet1 (2)'!D$527</f>
        <v>-0.4704097020702403</v>
      </c>
      <c r="E415" s="48">
        <f>('Sheet1 (2)'!E415-'Sheet1 (2)'!E$526)/'Sheet1 (2)'!E$527</f>
        <v>2.4019753422289833E-2</v>
      </c>
      <c r="F415" s="48">
        <f>('Sheet1 (2)'!F415-'Sheet1 (2)'!F$526)/'Sheet1 (2)'!F$527</f>
        <v>3.5300958634082259E-2</v>
      </c>
      <c r="G415" s="48">
        <f>('Sheet1 (2)'!G415-'Sheet1 (2)'!G$526)/'Sheet1 (2)'!G$527</f>
        <v>-0.50144115274505707</v>
      </c>
      <c r="H415" s="48">
        <f>('Sheet1 (2)'!H415-'Sheet1 (2)'!H$526)/'Sheet1 (2)'!H$527</f>
        <v>-0.89486871747307328</v>
      </c>
      <c r="I415" s="48">
        <f>('Sheet1 (2)'!I415-'Sheet1 (2)'!I$526)/'Sheet1 (2)'!I$527</f>
        <v>0.55970342211807356</v>
      </c>
      <c r="J415" s="48">
        <f>('Sheet1 (2)'!J415-'Sheet1 (2)'!J$526)/'Sheet1 (2)'!J$527</f>
        <v>0.42657545026068577</v>
      </c>
      <c r="K415" s="48">
        <f>('Sheet1 (2)'!K415-'Sheet1 (2)'!K$526)/'Sheet1 (2)'!K$527</f>
        <v>-0.46826364759600053</v>
      </c>
    </row>
    <row r="416" spans="1:11" ht="15.75" customHeight="1" x14ac:dyDescent="0.2">
      <c r="A416" s="50">
        <v>24</v>
      </c>
      <c r="B416" s="48">
        <f>('Sheet1 (2)'!B416-'Sheet1 (2)'!B$526)/'Sheet1 (2)'!B$527</f>
        <v>1.2478810076233939</v>
      </c>
      <c r="C416" s="48">
        <f>('Sheet1 (2)'!C416-'Sheet1 (2)'!C$526)/'Sheet1 (2)'!C$527</f>
        <v>2.561115395487636E-2</v>
      </c>
      <c r="D416" s="48">
        <f>('Sheet1 (2)'!D416-'Sheet1 (2)'!D$526)/'Sheet1 (2)'!D$527</f>
        <v>-0.4704097020702403</v>
      </c>
      <c r="E416" s="48">
        <f>('Sheet1 (2)'!E416-'Sheet1 (2)'!E$526)/'Sheet1 (2)'!E$527</f>
        <v>-0.76636080022658493</v>
      </c>
      <c r="F416" s="48">
        <f>('Sheet1 (2)'!F416-'Sheet1 (2)'!F$526)/'Sheet1 (2)'!F$527</f>
        <v>-1.1978791963165167</v>
      </c>
      <c r="G416" s="48">
        <f>('Sheet1 (2)'!G416-'Sheet1 (2)'!G$526)/'Sheet1 (2)'!G$527</f>
        <v>-0.50144115274505707</v>
      </c>
      <c r="H416" s="48">
        <f>('Sheet1 (2)'!H416-'Sheet1 (2)'!H$526)/'Sheet1 (2)'!H$527</f>
        <v>-0.32285202834458016</v>
      </c>
      <c r="I416" s="48">
        <f>('Sheet1 (2)'!I416-'Sheet1 (2)'!I$526)/'Sheet1 (2)'!I$527</f>
        <v>-0.75116695469204697</v>
      </c>
      <c r="J416" s="48">
        <f>('Sheet1 (2)'!J416-'Sheet1 (2)'!J$526)/'Sheet1 (2)'!J$527</f>
        <v>-0.83945425120312078</v>
      </c>
      <c r="K416" s="48">
        <f>('Sheet1 (2)'!K416-'Sheet1 (2)'!K$526)/'Sheet1 (2)'!K$527</f>
        <v>-0.98054343255243992</v>
      </c>
    </row>
    <row r="417" spans="1:11" ht="15.75" customHeight="1" x14ac:dyDescent="0.2">
      <c r="A417" s="51">
        <v>24</v>
      </c>
      <c r="B417" s="48">
        <f>('Sheet1 (2)'!B417-'Sheet1 (2)'!B$526)/'Sheet1 (2)'!B$527</f>
        <v>1.2478810076233939</v>
      </c>
      <c r="C417" s="48">
        <f>('Sheet1 (2)'!C417-'Sheet1 (2)'!C$526)/'Sheet1 (2)'!C$527</f>
        <v>-0.9138911551756268</v>
      </c>
      <c r="D417" s="48">
        <f>('Sheet1 (2)'!D417-'Sheet1 (2)'!D$526)/'Sheet1 (2)'!D$527</f>
        <v>-0.4704097020702403</v>
      </c>
      <c r="E417" s="48">
        <f>('Sheet1 (2)'!E417-'Sheet1 (2)'!E$526)/'Sheet1 (2)'!E$527</f>
        <v>-0.77555127178064154</v>
      </c>
      <c r="F417" s="48">
        <f>('Sheet1 (2)'!F417-'Sheet1 (2)'!F$526)/'Sheet1 (2)'!F$527</f>
        <v>-1.1978791963165167</v>
      </c>
      <c r="G417" s="48">
        <f>('Sheet1 (2)'!G417-'Sheet1 (2)'!G$526)/'Sheet1 (2)'!G$527</f>
        <v>-0.44184549485986568</v>
      </c>
      <c r="H417" s="48">
        <f>('Sheet1 (2)'!H417-'Sheet1 (2)'!H$526)/'Sheet1 (2)'!H$527</f>
        <v>-1.2667247483994166</v>
      </c>
      <c r="I417" s="48">
        <f>('Sheet1 (2)'!I417-'Sheet1 (2)'!I$526)/'Sheet1 (2)'!I$527</f>
        <v>0.63456380366154419</v>
      </c>
      <c r="J417" s="48">
        <f>('Sheet1 (2)'!J417-'Sheet1 (2)'!J$526)/'Sheet1 (2)'!J$527</f>
        <v>-0.83115416036838752</v>
      </c>
      <c r="K417" s="48">
        <f>('Sheet1 (2)'!K417-'Sheet1 (2)'!K$526)/'Sheet1 (2)'!K$527</f>
        <v>-0.89861133092019319</v>
      </c>
    </row>
    <row r="418" spans="1:11" ht="15.75" customHeight="1" x14ac:dyDescent="0.2">
      <c r="A418" s="48">
        <v>25</v>
      </c>
      <c r="B418" s="48">
        <f>('Sheet1 (2)'!B418-'Sheet1 (2)'!B$526)/'Sheet1 (2)'!B$527</f>
        <v>-1.2242915745870349</v>
      </c>
      <c r="C418" s="48">
        <f>('Sheet1 (2)'!C418-'Sheet1 (2)'!C$526)/'Sheet1 (2)'!C$527</f>
        <v>-0.85607426409459164</v>
      </c>
      <c r="D418" s="48">
        <f>('Sheet1 (2)'!D418-'Sheet1 (2)'!D$526)/'Sheet1 (2)'!D$527</f>
        <v>-0.4704097020702403</v>
      </c>
      <c r="E418" s="48">
        <f>('Sheet1 (2)'!E418-'Sheet1 (2)'!E$526)/'Sheet1 (2)'!E$527</f>
        <v>-0.43780144216905859</v>
      </c>
      <c r="F418" s="48">
        <f>('Sheet1 (2)'!F418-'Sheet1 (2)'!F$526)/'Sheet1 (2)'!F$527</f>
        <v>1.2684811135846812</v>
      </c>
      <c r="G418" s="48">
        <f>('Sheet1 (2)'!G418-'Sheet1 (2)'!G$526)/'Sheet1 (2)'!G$527</f>
        <v>-0.50144115274505707</v>
      </c>
      <c r="H418" s="48">
        <f>('Sheet1 (2)'!H418-'Sheet1 (2)'!H$526)/'Sheet1 (2)'!H$527</f>
        <v>-7.5830151872593579E-2</v>
      </c>
      <c r="I418" s="48">
        <f>('Sheet1 (2)'!I418-'Sheet1 (2)'!I$526)/'Sheet1 (2)'!I$527</f>
        <v>0.77238905063365859</v>
      </c>
      <c r="J418" s="48">
        <f>('Sheet1 (2)'!J418-'Sheet1 (2)'!J$526)/'Sheet1 (2)'!J$527</f>
        <v>-0.5298527343461753</v>
      </c>
      <c r="K418" s="48">
        <f>('Sheet1 (2)'!K418-'Sheet1 (2)'!K$526)/'Sheet1 (2)'!K$527</f>
        <v>0.1125240424113752</v>
      </c>
    </row>
    <row r="419" spans="1:11" ht="15.75" customHeight="1" x14ac:dyDescent="0.2">
      <c r="A419" s="49">
        <v>25</v>
      </c>
      <c r="B419" s="48">
        <f>('Sheet1 (2)'!B419-'Sheet1 (2)'!B$526)/'Sheet1 (2)'!B$527</f>
        <v>-1.2242915745870349</v>
      </c>
      <c r="C419" s="48">
        <f>('Sheet1 (2)'!C419-'Sheet1 (2)'!C$526)/'Sheet1 (2)'!C$527</f>
        <v>-8.4367378432312665E-2</v>
      </c>
      <c r="D419" s="48">
        <f>('Sheet1 (2)'!D419-'Sheet1 (2)'!D$526)/'Sheet1 (2)'!D$527</f>
        <v>-0.4704097020702403</v>
      </c>
      <c r="E419" s="48">
        <f>('Sheet1 (2)'!E419-'Sheet1 (2)'!E$526)/'Sheet1 (2)'!E$527</f>
        <v>-9.7753994668961258E-2</v>
      </c>
      <c r="F419" s="48">
        <f>('Sheet1 (2)'!F419-'Sheet1 (2)'!F$526)/'Sheet1 (2)'!F$527</f>
        <v>1.2684811135846812</v>
      </c>
      <c r="G419" s="48">
        <f>('Sheet1 (2)'!G419-'Sheet1 (2)'!G$526)/'Sheet1 (2)'!G$527</f>
        <v>-0.50144115274505707</v>
      </c>
      <c r="H419" s="48">
        <f>('Sheet1 (2)'!H419-'Sheet1 (2)'!H$526)/'Sheet1 (2)'!H$527</f>
        <v>-0.63635745139773903</v>
      </c>
      <c r="I419" s="48">
        <f>('Sheet1 (2)'!I419-'Sheet1 (2)'!I$526)/'Sheet1 (2)'!I$527</f>
        <v>0.65250394685752089</v>
      </c>
      <c r="J419" s="48">
        <f>('Sheet1 (2)'!J419-'Sheet1 (2)'!J$526)/'Sheet1 (2)'!J$527</f>
        <v>4.2068008765105809</v>
      </c>
      <c r="K419" s="48">
        <f>('Sheet1 (2)'!K419-'Sheet1 (2)'!K$526)/'Sheet1 (2)'!K$527</f>
        <v>0.59051530980448053</v>
      </c>
    </row>
    <row r="420" spans="1:11" ht="15.75" customHeight="1" x14ac:dyDescent="0.2">
      <c r="A420" s="50">
        <v>25</v>
      </c>
      <c r="B420" s="48">
        <f>('Sheet1 (2)'!B420-'Sheet1 (2)'!B$526)/'Sheet1 (2)'!B$527</f>
        <v>-1.2242915745870349</v>
      </c>
      <c r="C420" s="48">
        <f>('Sheet1 (2)'!C420-'Sheet1 (2)'!C$526)/'Sheet1 (2)'!C$527</f>
        <v>1.5967735492654775E-2</v>
      </c>
      <c r="D420" s="48">
        <f>('Sheet1 (2)'!D420-'Sheet1 (2)'!D$526)/'Sheet1 (2)'!D$527</f>
        <v>-0.4704097020702403</v>
      </c>
      <c r="E420" s="48">
        <f>('Sheet1 (2)'!E420-'Sheet1 (2)'!E$526)/'Sheet1 (2)'!E$527</f>
        <v>-0.47686094627379938</v>
      </c>
      <c r="F420" s="48">
        <f>('Sheet1 (2)'!F420-'Sheet1 (2)'!F$526)/'Sheet1 (2)'!F$527</f>
        <v>3.5300958634082259E-2</v>
      </c>
      <c r="G420" s="48">
        <f>('Sheet1 (2)'!G420-'Sheet1 (2)'!G$526)/'Sheet1 (2)'!G$527</f>
        <v>-0.36552123125251523</v>
      </c>
      <c r="H420" s="48">
        <f>('Sheet1 (2)'!H420-'Sheet1 (2)'!H$526)/'Sheet1 (2)'!H$527</f>
        <v>-0.81704639126462708</v>
      </c>
      <c r="I420" s="48">
        <f>('Sheet1 (2)'!I420-'Sheet1 (2)'!I$526)/'Sheet1 (2)'!I$527</f>
        <v>0.72856550429532252</v>
      </c>
      <c r="J420" s="48">
        <f>('Sheet1 (2)'!J420-'Sheet1 (2)'!J$526)/'Sheet1 (2)'!J$527</f>
        <v>-0.83945425120312078</v>
      </c>
      <c r="K420" s="48">
        <f>('Sheet1 (2)'!K420-'Sheet1 (2)'!K$526)/'Sheet1 (2)'!K$527</f>
        <v>0.2805792565171531</v>
      </c>
    </row>
    <row r="421" spans="1:11" ht="15.75" customHeight="1" x14ac:dyDescent="0.2">
      <c r="A421" s="49">
        <v>25</v>
      </c>
      <c r="B421" s="48">
        <f>('Sheet1 (2)'!B421-'Sheet1 (2)'!B$526)/'Sheet1 (2)'!B$527</f>
        <v>-1.2242915745870349</v>
      </c>
      <c r="C421" s="48">
        <f>('Sheet1 (2)'!C421-'Sheet1 (2)'!C$526)/'Sheet1 (2)'!C$527</f>
        <v>-0.43302795621693396</v>
      </c>
      <c r="D421" s="48">
        <f>('Sheet1 (2)'!D421-'Sheet1 (2)'!D$526)/'Sheet1 (2)'!D$527</f>
        <v>-0.4704097020702403</v>
      </c>
      <c r="E421" s="48">
        <f>('Sheet1 (2)'!E421-'Sheet1 (2)'!E$526)/'Sheet1 (2)'!E$527</f>
        <v>-0.71351558879075894</v>
      </c>
      <c r="F421" s="48">
        <f>('Sheet1 (2)'!F421-'Sheet1 (2)'!F$526)/'Sheet1 (2)'!F$527</f>
        <v>3.5300958634082259E-2</v>
      </c>
      <c r="G421" s="48">
        <f>('Sheet1 (2)'!G421-'Sheet1 (2)'!G$526)/'Sheet1 (2)'!G$527</f>
        <v>-0.3189201153122152</v>
      </c>
      <c r="H421" s="48">
        <f>('Sheet1 (2)'!H421-'Sheet1 (2)'!H$526)/'Sheet1 (2)'!H$527</f>
        <v>7.0175462075573E-2</v>
      </c>
      <c r="I421" s="48">
        <f>('Sheet1 (2)'!I421-'Sheet1 (2)'!I$526)/'Sheet1 (2)'!I$527</f>
        <v>-2.1834335920485941</v>
      </c>
      <c r="J421" s="48">
        <f>('Sheet1 (2)'!J421-'Sheet1 (2)'!J$526)/'Sheet1 (2)'!J$527</f>
        <v>-0.13035470145525166</v>
      </c>
      <c r="K421" s="48">
        <f>('Sheet1 (2)'!K421-'Sheet1 (2)'!K$526)/'Sheet1 (2)'!K$527</f>
        <v>0.49637742917570887</v>
      </c>
    </row>
    <row r="422" spans="1:11" ht="15.75" customHeight="1" x14ac:dyDescent="0.2">
      <c r="A422" s="50">
        <v>25</v>
      </c>
      <c r="B422" s="48">
        <f>('Sheet1 (2)'!B422-'Sheet1 (2)'!B$526)/'Sheet1 (2)'!B$527</f>
        <v>-1.2242915745870349</v>
      </c>
      <c r="C422" s="48">
        <f>('Sheet1 (2)'!C422-'Sheet1 (2)'!C$526)/'Sheet1 (2)'!C$527</f>
        <v>0.20851141245802837</v>
      </c>
      <c r="D422" s="48">
        <f>('Sheet1 (2)'!D422-'Sheet1 (2)'!D$526)/'Sheet1 (2)'!D$527</f>
        <v>-0.4704097020702403</v>
      </c>
      <c r="E422" s="48">
        <f>('Sheet1 (2)'!E422-'Sheet1 (2)'!E$526)/'Sheet1 (2)'!E$527</f>
        <v>-0.96165832075028934</v>
      </c>
      <c r="F422" s="48">
        <f>('Sheet1 (2)'!F422-'Sheet1 (2)'!F$526)/'Sheet1 (2)'!F$527</f>
        <v>-1.1978791963165167</v>
      </c>
      <c r="G422" s="48">
        <f>('Sheet1 (2)'!G422-'Sheet1 (2)'!G$526)/'Sheet1 (2)'!G$527</f>
        <v>-0.50144115274505707</v>
      </c>
      <c r="H422" s="48">
        <f>('Sheet1 (2)'!H422-'Sheet1 (2)'!H$526)/'Sheet1 (2)'!H$527</f>
        <v>-0.41147524140860886</v>
      </c>
      <c r="I422" s="48">
        <f>('Sheet1 (2)'!I422-'Sheet1 (2)'!I$526)/'Sheet1 (2)'!I$527</f>
        <v>0.51095892937392962</v>
      </c>
      <c r="J422" s="48">
        <f>('Sheet1 (2)'!J422-'Sheet1 (2)'!J$526)/'Sheet1 (2)'!J$527</f>
        <v>-0.83945425120312078</v>
      </c>
      <c r="K422" s="48">
        <f>('Sheet1 (2)'!K422-'Sheet1 (2)'!K$526)/'Sheet1 (2)'!K$527</f>
        <v>0.52985366834918635</v>
      </c>
    </row>
    <row r="423" spans="1:11" ht="15.75" customHeight="1" x14ac:dyDescent="0.2">
      <c r="A423" s="51">
        <v>25</v>
      </c>
      <c r="B423" s="48">
        <f>('Sheet1 (2)'!B423-'Sheet1 (2)'!B$526)/'Sheet1 (2)'!B$527</f>
        <v>-1.2242915745870349</v>
      </c>
      <c r="C423" s="48">
        <f>('Sheet1 (2)'!C423-'Sheet1 (2)'!C$526)/'Sheet1 (2)'!C$527</f>
        <v>0.10861191771171694</v>
      </c>
      <c r="D423" s="48">
        <f>('Sheet1 (2)'!D423-'Sheet1 (2)'!D$526)/'Sheet1 (2)'!D$527</f>
        <v>-0.4704097020702403</v>
      </c>
      <c r="E423" s="48">
        <f>('Sheet1 (2)'!E423-'Sheet1 (2)'!E$526)/'Sheet1 (2)'!E$527</f>
        <v>-0.69283702779413137</v>
      </c>
      <c r="F423" s="48">
        <f>('Sheet1 (2)'!F423-'Sheet1 (2)'!F$526)/'Sheet1 (2)'!F$527</f>
        <v>-1.1978791963165167</v>
      </c>
      <c r="G423" s="48">
        <f>('Sheet1 (2)'!G423-'Sheet1 (2)'!G$526)/'Sheet1 (2)'!G$527</f>
        <v>-0.50144115274505707</v>
      </c>
      <c r="H423" s="48">
        <f>('Sheet1 (2)'!H423-'Sheet1 (2)'!H$526)/'Sheet1 (2)'!H$527</f>
        <v>-0.5854512794847766</v>
      </c>
      <c r="I423" s="48">
        <f>('Sheet1 (2)'!I423-'Sheet1 (2)'!I$526)/'Sheet1 (2)'!I$527</f>
        <v>-0.75287184950980734</v>
      </c>
      <c r="J423" s="48">
        <f>('Sheet1 (2)'!J423-'Sheet1 (2)'!J$526)/'Sheet1 (2)'!J$527</f>
        <v>-0.83945425120312078</v>
      </c>
      <c r="K423" s="48">
        <f>('Sheet1 (2)'!K423-'Sheet1 (2)'!K$526)/'Sheet1 (2)'!K$527</f>
        <v>0.195540622106676</v>
      </c>
    </row>
    <row r="424" spans="1:11" ht="15.75" customHeight="1" x14ac:dyDescent="0.2">
      <c r="A424" s="48">
        <v>25</v>
      </c>
      <c r="B424" s="48">
        <f>('Sheet1 (2)'!B424-'Sheet1 (2)'!B$526)/'Sheet1 (2)'!B$527</f>
        <v>1.1794716518179513E-2</v>
      </c>
      <c r="C424" s="48">
        <f>('Sheet1 (2)'!C424-'Sheet1 (2)'!C$526)/'Sheet1 (2)'!C$527</f>
        <v>-4.8797779450242607E-2</v>
      </c>
      <c r="D424" s="48">
        <f>('Sheet1 (2)'!D424-'Sheet1 (2)'!D$526)/'Sheet1 (2)'!D$527</f>
        <v>-0.4704097020702403</v>
      </c>
      <c r="E424" s="48">
        <f>('Sheet1 (2)'!E424-'Sheet1 (2)'!E$526)/'Sheet1 (2)'!E$527</f>
        <v>-0.60322993014207882</v>
      </c>
      <c r="F424" s="48">
        <f>('Sheet1 (2)'!F424-'Sheet1 (2)'!F$526)/'Sheet1 (2)'!F$527</f>
        <v>1.2684811135846812</v>
      </c>
      <c r="G424" s="48">
        <f>('Sheet1 (2)'!G424-'Sheet1 (2)'!G$526)/'Sheet1 (2)'!G$527</f>
        <v>-0.50144115274505707</v>
      </c>
      <c r="H424" s="48">
        <f>('Sheet1 (2)'!H424-'Sheet1 (2)'!H$526)/'Sheet1 (2)'!H$527</f>
        <v>1.2492361104573362</v>
      </c>
      <c r="I424" s="48">
        <f>('Sheet1 (2)'!I424-'Sheet1 (2)'!I$526)/'Sheet1 (2)'!I$527</f>
        <v>0.66275287815226291</v>
      </c>
      <c r="J424" s="48">
        <f>('Sheet1 (2)'!J424-'Sheet1 (2)'!J$526)/'Sheet1 (2)'!J$527</f>
        <v>0.86810722544730068</v>
      </c>
      <c r="K424" s="48">
        <f>('Sheet1 (2)'!K424-'Sheet1 (2)'!K$526)/'Sheet1 (2)'!K$527</f>
        <v>2.2620989114038048</v>
      </c>
    </row>
    <row r="425" spans="1:11" ht="15.75" customHeight="1" x14ac:dyDescent="0.2">
      <c r="A425" s="49">
        <v>25</v>
      </c>
      <c r="B425" s="48">
        <f>('Sheet1 (2)'!B425-'Sheet1 (2)'!B$526)/'Sheet1 (2)'!B$527</f>
        <v>1.1794716518179513E-2</v>
      </c>
      <c r="C425" s="48">
        <f>('Sheet1 (2)'!C425-'Sheet1 (2)'!C$526)/'Sheet1 (2)'!C$527</f>
        <v>1.5214505777788678</v>
      </c>
      <c r="D425" s="48">
        <f>('Sheet1 (2)'!D425-'Sheet1 (2)'!D$526)/'Sheet1 (2)'!D$527</f>
        <v>-0.4704097020702403</v>
      </c>
      <c r="E425" s="48">
        <f>('Sheet1 (2)'!E425-'Sheet1 (2)'!E$526)/'Sheet1 (2)'!E$527</f>
        <v>0.10443637952028571</v>
      </c>
      <c r="F425" s="48">
        <f>('Sheet1 (2)'!F425-'Sheet1 (2)'!F$526)/'Sheet1 (2)'!F$527</f>
        <v>1.2684811135846812</v>
      </c>
      <c r="G425" s="48">
        <f>('Sheet1 (2)'!G425-'Sheet1 (2)'!G$526)/'Sheet1 (2)'!G$527</f>
        <v>-0.50144115274505707</v>
      </c>
      <c r="H425" s="48">
        <f>('Sheet1 (2)'!H425-'Sheet1 (2)'!H$526)/'Sheet1 (2)'!H$527</f>
        <v>1.1911690743477723</v>
      </c>
      <c r="I425" s="48">
        <f>('Sheet1 (2)'!I425-'Sheet1 (2)'!I$526)/'Sheet1 (2)'!I$527</f>
        <v>0.64181634535171972</v>
      </c>
      <c r="J425" s="48">
        <f>('Sheet1 (2)'!J425-'Sheet1 (2)'!J$526)/'Sheet1 (2)'!J$527</f>
        <v>-0.83945425120312078</v>
      </c>
      <c r="K425" s="48">
        <f>('Sheet1 (2)'!K425-'Sheet1 (2)'!K$526)/'Sheet1 (2)'!K$527</f>
        <v>1.4745497145177136</v>
      </c>
    </row>
    <row r="426" spans="1:11" ht="15.75" customHeight="1" x14ac:dyDescent="0.2">
      <c r="A426" s="50">
        <v>25</v>
      </c>
      <c r="B426" s="48">
        <f>('Sheet1 (2)'!B426-'Sheet1 (2)'!B$526)/'Sheet1 (2)'!B$527</f>
        <v>1.1794716518179513E-2</v>
      </c>
      <c r="C426" s="48">
        <f>('Sheet1 (2)'!C426-'Sheet1 (2)'!C$526)/'Sheet1 (2)'!C$527</f>
        <v>0.99055015099198085</v>
      </c>
      <c r="D426" s="48">
        <f>('Sheet1 (2)'!D426-'Sheet1 (2)'!D$526)/'Sheet1 (2)'!D$527</f>
        <v>-0.4704097020702403</v>
      </c>
      <c r="E426" s="48">
        <f>('Sheet1 (2)'!E426-'Sheet1 (2)'!E$526)/'Sheet1 (2)'!E$527</f>
        <v>-0.66296799524344718</v>
      </c>
      <c r="F426" s="48">
        <f>('Sheet1 (2)'!F426-'Sheet1 (2)'!F$526)/'Sheet1 (2)'!F$527</f>
        <v>3.5300958634082259E-2</v>
      </c>
      <c r="G426" s="48">
        <f>('Sheet1 (2)'!G426-'Sheet1 (2)'!G$526)/'Sheet1 (2)'!G$527</f>
        <v>-0.50144115274505707</v>
      </c>
      <c r="H426" s="48">
        <f>('Sheet1 (2)'!H426-'Sheet1 (2)'!H$526)/'Sheet1 (2)'!H$527</f>
        <v>-0.20679272356975495</v>
      </c>
      <c r="I426" s="48">
        <f>('Sheet1 (2)'!I426-'Sheet1 (2)'!I$526)/'Sheet1 (2)'!I$527</f>
        <v>-0.55439417231656063</v>
      </c>
      <c r="J426" s="48">
        <f>('Sheet1 (2)'!J426-'Sheet1 (2)'!J$526)/'Sheet1 (2)'!J$527</f>
        <v>-0.83945425120312078</v>
      </c>
      <c r="K426" s="48">
        <f>('Sheet1 (2)'!K426-'Sheet1 (2)'!K$526)/'Sheet1 (2)'!K$527</f>
        <v>0.32190745096593371</v>
      </c>
    </row>
    <row r="427" spans="1:11" ht="15.75" customHeight="1" x14ac:dyDescent="0.2">
      <c r="A427" s="49">
        <v>25</v>
      </c>
      <c r="B427" s="48">
        <f>('Sheet1 (2)'!B427-'Sheet1 (2)'!B$526)/'Sheet1 (2)'!B$527</f>
        <v>1.1794716518179513E-2</v>
      </c>
      <c r="C427" s="48">
        <f>('Sheet1 (2)'!C427-'Sheet1 (2)'!C$526)/'Sheet1 (2)'!C$527</f>
        <v>0.95497009262665022</v>
      </c>
      <c r="D427" s="48">
        <f>('Sheet1 (2)'!D427-'Sheet1 (2)'!D$526)/'Sheet1 (2)'!D$527</f>
        <v>-0.4704097020702403</v>
      </c>
      <c r="E427" s="48">
        <f>('Sheet1 (2)'!E427-'Sheet1 (2)'!E$526)/'Sheet1 (2)'!E$527</f>
        <v>-0.72270606034481566</v>
      </c>
      <c r="F427" s="48">
        <f>('Sheet1 (2)'!F427-'Sheet1 (2)'!F$526)/'Sheet1 (2)'!F$527</f>
        <v>3.5300958634082259E-2</v>
      </c>
      <c r="G427" s="48">
        <f>('Sheet1 (2)'!G427-'Sheet1 (2)'!G$526)/'Sheet1 (2)'!G$527</f>
        <v>-0.50144115274505707</v>
      </c>
      <c r="H427" s="48">
        <f>('Sheet1 (2)'!H427-'Sheet1 (2)'!H$526)/'Sheet1 (2)'!H$527</f>
        <v>0.71086007998204537</v>
      </c>
      <c r="I427" s="48">
        <f>('Sheet1 (2)'!I427-'Sheet1 (2)'!I$526)/'Sheet1 (2)'!I$527</f>
        <v>0.63320147693707018</v>
      </c>
      <c r="J427" s="48">
        <f>('Sheet1 (2)'!J427-'Sheet1 (2)'!J$526)/'Sheet1 (2)'!J$527</f>
        <v>-0.83945425120312078</v>
      </c>
      <c r="K427" s="48">
        <f>('Sheet1 (2)'!K427-'Sheet1 (2)'!K$526)/'Sheet1 (2)'!K$527</f>
        <v>1.6277005672875395</v>
      </c>
    </row>
    <row r="428" spans="1:11" ht="15.75" customHeight="1" x14ac:dyDescent="0.2">
      <c r="A428" s="50">
        <v>25</v>
      </c>
      <c r="B428" s="48">
        <f>('Sheet1 (2)'!B428-'Sheet1 (2)'!B$526)/'Sheet1 (2)'!B$527</f>
        <v>1.1794716518179513E-2</v>
      </c>
      <c r="C428" s="48">
        <f>('Sheet1 (2)'!C428-'Sheet1 (2)'!C$526)/'Sheet1 (2)'!C$527</f>
        <v>1.445892504837055</v>
      </c>
      <c r="D428" s="48">
        <f>('Sheet1 (2)'!D428-'Sheet1 (2)'!D$526)/'Sheet1 (2)'!D$527</f>
        <v>-0.4704097020702403</v>
      </c>
      <c r="E428" s="48">
        <f>('Sheet1 (2)'!E428-'Sheet1 (2)'!E$526)/'Sheet1 (2)'!E$527</f>
        <v>-0.79163459700024075</v>
      </c>
      <c r="F428" s="48">
        <f>('Sheet1 (2)'!F428-'Sheet1 (2)'!F$526)/'Sheet1 (2)'!F$527</f>
        <v>-1.1978791963165167</v>
      </c>
      <c r="G428" s="48">
        <f>('Sheet1 (2)'!G428-'Sheet1 (2)'!G$526)/'Sheet1 (2)'!G$527</f>
        <v>-0.50144115274505707</v>
      </c>
      <c r="H428" s="48">
        <f>('Sheet1 (2)'!H428-'Sheet1 (2)'!H$526)/'Sheet1 (2)'!H$527</f>
        <v>0.75783514582251654</v>
      </c>
      <c r="I428" s="48">
        <f>('Sheet1 (2)'!I428-'Sheet1 (2)'!I$526)/'Sheet1 (2)'!I$527</f>
        <v>0.65229834062595882</v>
      </c>
      <c r="J428" s="48">
        <f>('Sheet1 (2)'!J428-'Sheet1 (2)'!J$526)/'Sheet1 (2)'!J$527</f>
        <v>-0.83945425120312078</v>
      </c>
      <c r="K428" s="48">
        <f>('Sheet1 (2)'!K428-'Sheet1 (2)'!K$526)/'Sheet1 (2)'!K$527</f>
        <v>1.3756634534007142</v>
      </c>
    </row>
    <row r="429" spans="1:11" ht="15.75" customHeight="1" x14ac:dyDescent="0.2">
      <c r="A429" s="51">
        <v>25</v>
      </c>
      <c r="B429" s="48">
        <f>('Sheet1 (2)'!B429-'Sheet1 (2)'!B$526)/'Sheet1 (2)'!B$527</f>
        <v>1.1794716518179513E-2</v>
      </c>
      <c r="C429" s="48">
        <f>('Sheet1 (2)'!C429-'Sheet1 (2)'!C$526)/'Sheet1 (2)'!C$527</f>
        <v>1.2372003784219734</v>
      </c>
      <c r="D429" s="48">
        <f>('Sheet1 (2)'!D429-'Sheet1 (2)'!D$526)/'Sheet1 (2)'!D$527</f>
        <v>-0.4704097020702403</v>
      </c>
      <c r="E429" s="48">
        <f>('Sheet1 (2)'!E429-'Sheet1 (2)'!E$526)/'Sheet1 (2)'!E$527</f>
        <v>-0.9731464101928603</v>
      </c>
      <c r="F429" s="48">
        <f>('Sheet1 (2)'!F429-'Sheet1 (2)'!F$526)/'Sheet1 (2)'!F$527</f>
        <v>-1.1978791963165167</v>
      </c>
      <c r="G429" s="48">
        <f>('Sheet1 (2)'!G429-'Sheet1 (2)'!G$526)/'Sheet1 (2)'!G$527</f>
        <v>-0.50144115274505707</v>
      </c>
      <c r="H429" s="48">
        <f>('Sheet1 (2)'!H429-'Sheet1 (2)'!H$526)/'Sheet1 (2)'!H$527</f>
        <v>-0.15882662258492913</v>
      </c>
      <c r="I429" s="48">
        <f>('Sheet1 (2)'!I429-'Sheet1 (2)'!I$526)/'Sheet1 (2)'!I$527</f>
        <v>-0.6699638333755592</v>
      </c>
      <c r="J429" s="48">
        <f>('Sheet1 (2)'!J429-'Sheet1 (2)'!J$526)/'Sheet1 (2)'!J$527</f>
        <v>-0.83945425120312078</v>
      </c>
      <c r="K429" s="48">
        <f>('Sheet1 (2)'!K429-'Sheet1 (2)'!K$526)/'Sheet1 (2)'!K$527</f>
        <v>0.65771352852366283</v>
      </c>
    </row>
    <row r="430" spans="1:11" ht="15.75" customHeight="1" x14ac:dyDescent="0.2">
      <c r="A430" s="48">
        <v>25</v>
      </c>
      <c r="B430" s="48">
        <f>('Sheet1 (2)'!B430-'Sheet1 (2)'!B$526)/'Sheet1 (2)'!B$527</f>
        <v>1.2478810076233939</v>
      </c>
      <c r="C430" s="48">
        <f>('Sheet1 (2)'!C430-'Sheet1 (2)'!C$526)/'Sheet1 (2)'!C$527</f>
        <v>-0.57623400586191653</v>
      </c>
      <c r="D430" s="48">
        <f>('Sheet1 (2)'!D430-'Sheet1 (2)'!D$526)/'Sheet1 (2)'!D$527</f>
        <v>-0.4704097020702403</v>
      </c>
      <c r="E430" s="48">
        <f>('Sheet1 (2)'!E430-'Sheet1 (2)'!E$526)/'Sheet1 (2)'!E$527</f>
        <v>-0.49983712515894108</v>
      </c>
      <c r="F430" s="48">
        <f>('Sheet1 (2)'!F430-'Sheet1 (2)'!F$526)/'Sheet1 (2)'!F$527</f>
        <v>1.2684811135846812</v>
      </c>
      <c r="G430" s="48">
        <f>('Sheet1 (2)'!G430-'Sheet1 (2)'!G$526)/'Sheet1 (2)'!G$527</f>
        <v>-0.50144115274505707</v>
      </c>
      <c r="H430" s="48">
        <f>('Sheet1 (2)'!H430-'Sheet1 (2)'!H$526)/'Sheet1 (2)'!H$527</f>
        <v>-3.3229044354560457E-2</v>
      </c>
      <c r="I430" s="48">
        <f>('Sheet1 (2)'!I430-'Sheet1 (2)'!I$526)/'Sheet1 (2)'!I$527</f>
        <v>0.71471323390102093</v>
      </c>
      <c r="J430" s="48">
        <f>('Sheet1 (2)'!J430-'Sheet1 (2)'!J$526)/'Sheet1 (2)'!J$527</f>
        <v>-0.83945425120312078</v>
      </c>
      <c r="K430" s="48">
        <f>('Sheet1 (2)'!K430-'Sheet1 (2)'!K$526)/'Sheet1 (2)'!K$527</f>
        <v>0.24934542417524988</v>
      </c>
    </row>
    <row r="431" spans="1:11" ht="15.75" customHeight="1" x14ac:dyDescent="0.2">
      <c r="A431" s="49">
        <v>25</v>
      </c>
      <c r="B431" s="48">
        <f>('Sheet1 (2)'!B431-'Sheet1 (2)'!B$526)/'Sheet1 (2)'!B$527</f>
        <v>1.2478810076233939</v>
      </c>
      <c r="C431" s="48">
        <f>('Sheet1 (2)'!C431-'Sheet1 (2)'!C$526)/'Sheet1 (2)'!C$527</f>
        <v>-9.8978819861710546E-2</v>
      </c>
      <c r="D431" s="48">
        <f>('Sheet1 (2)'!D431-'Sheet1 (2)'!D$526)/'Sheet1 (2)'!D$527</f>
        <v>-0.4704097020702403</v>
      </c>
      <c r="E431" s="48">
        <f>('Sheet1 (2)'!E431-'Sheet1 (2)'!E$526)/'Sheet1 (2)'!E$527</f>
        <v>0.10443637952028571</v>
      </c>
      <c r="F431" s="48">
        <f>('Sheet1 (2)'!F431-'Sheet1 (2)'!F$526)/'Sheet1 (2)'!F$527</f>
        <v>1.2684811135846812</v>
      </c>
      <c r="G431" s="48">
        <f>('Sheet1 (2)'!G431-'Sheet1 (2)'!G$526)/'Sheet1 (2)'!G$527</f>
        <v>0.65910586922972292</v>
      </c>
      <c r="H431" s="48">
        <f>('Sheet1 (2)'!H431-'Sheet1 (2)'!H$526)/'Sheet1 (2)'!H$527</f>
        <v>-0.71910687539488716</v>
      </c>
      <c r="I431" s="48">
        <f>('Sheet1 (2)'!I431-'Sheet1 (2)'!I$526)/'Sheet1 (2)'!I$527</f>
        <v>0.69315018921730376</v>
      </c>
      <c r="J431" s="48">
        <f>('Sheet1 (2)'!J431-'Sheet1 (2)'!J$526)/'Sheet1 (2)'!J$527</f>
        <v>-0.65592206059574487</v>
      </c>
      <c r="K431" s="48">
        <f>('Sheet1 (2)'!K431-'Sheet1 (2)'!K$526)/'Sheet1 (2)'!K$527</f>
        <v>0.57525916621625772</v>
      </c>
    </row>
    <row r="432" spans="1:11" ht="15.75" customHeight="1" x14ac:dyDescent="0.2">
      <c r="A432" s="50">
        <v>25</v>
      </c>
      <c r="B432" s="48">
        <f>('Sheet1 (2)'!B432-'Sheet1 (2)'!B$526)/'Sheet1 (2)'!B$527</f>
        <v>1.2478810076233939</v>
      </c>
      <c r="C432" s="48">
        <f>('Sheet1 (2)'!C432-'Sheet1 (2)'!C$526)/'Sheet1 (2)'!C$527</f>
        <v>-1.2787557264665199</v>
      </c>
      <c r="D432" s="48">
        <f>('Sheet1 (2)'!D432-'Sheet1 (2)'!D$526)/'Sheet1 (2)'!D$527</f>
        <v>-0.4704097020702403</v>
      </c>
      <c r="E432" s="48">
        <f>('Sheet1 (2)'!E432-'Sheet1 (2)'!E$526)/'Sheet1 (2)'!E$527</f>
        <v>-0.66296799524344718</v>
      </c>
      <c r="F432" s="48">
        <f>('Sheet1 (2)'!F432-'Sheet1 (2)'!F$526)/'Sheet1 (2)'!F$527</f>
        <v>3.5300958634082259E-2</v>
      </c>
      <c r="G432" s="48">
        <f>('Sheet1 (2)'!G432-'Sheet1 (2)'!G$526)/'Sheet1 (2)'!G$527</f>
        <v>0.88598758433650404</v>
      </c>
      <c r="H432" s="48">
        <f>('Sheet1 (2)'!H432-'Sheet1 (2)'!H$526)/'Sheet1 (2)'!H$527</f>
        <v>-0.39695213657291561</v>
      </c>
      <c r="I432" s="48">
        <f>('Sheet1 (2)'!I432-'Sheet1 (2)'!I$526)/'Sheet1 (2)'!I$527</f>
        <v>-1.9310316638010943</v>
      </c>
      <c r="J432" s="48">
        <f>('Sheet1 (2)'!J432-'Sheet1 (2)'!J$526)/'Sheet1 (2)'!J$527</f>
        <v>1.0647679234006888</v>
      </c>
      <c r="K432" s="48">
        <f>('Sheet1 (2)'!K432-'Sheet1 (2)'!K$526)/'Sheet1 (2)'!K$527</f>
        <v>1.8204819378673693</v>
      </c>
    </row>
    <row r="433" spans="1:11" ht="15.75" customHeight="1" x14ac:dyDescent="0.2">
      <c r="A433" s="49">
        <v>25</v>
      </c>
      <c r="B433" s="48">
        <f>('Sheet1 (2)'!B433-'Sheet1 (2)'!B$526)/'Sheet1 (2)'!B$527</f>
        <v>1.2478810076233939</v>
      </c>
      <c r="C433" s="48">
        <f>('Sheet1 (2)'!C433-'Sheet1 (2)'!C$526)/'Sheet1 (2)'!C$527</f>
        <v>-0.50266780601413508</v>
      </c>
      <c r="D433" s="48">
        <f>('Sheet1 (2)'!D433-'Sheet1 (2)'!D$526)/'Sheet1 (2)'!D$527</f>
        <v>-0.4704097020702403</v>
      </c>
      <c r="E433" s="48">
        <f>('Sheet1 (2)'!E433-'Sheet1 (2)'!E$526)/'Sheet1 (2)'!E$527</f>
        <v>-0.72270606034481566</v>
      </c>
      <c r="F433" s="48">
        <f>('Sheet1 (2)'!F433-'Sheet1 (2)'!F$526)/'Sheet1 (2)'!F$527</f>
        <v>3.5300958634082259E-2</v>
      </c>
      <c r="G433" s="48">
        <f>('Sheet1 (2)'!G433-'Sheet1 (2)'!G$526)/'Sheet1 (2)'!G$527</f>
        <v>0.24507287760628782</v>
      </c>
      <c r="H433" s="48">
        <f>('Sheet1 (2)'!H433-'Sheet1 (2)'!H$526)/'Sheet1 (2)'!H$527</f>
        <v>-0.46924492508836529</v>
      </c>
      <c r="I433" s="48">
        <f>('Sheet1 (2)'!I433-'Sheet1 (2)'!I$526)/'Sheet1 (2)'!I$527</f>
        <v>0.65124464954894801</v>
      </c>
      <c r="J433" s="48">
        <f>('Sheet1 (2)'!J433-'Sheet1 (2)'!J$526)/'Sheet1 (2)'!J$527</f>
        <v>0.83825100074414371</v>
      </c>
      <c r="K433" s="48">
        <f>('Sheet1 (2)'!K433-'Sheet1 (2)'!K$526)/'Sheet1 (2)'!K$527</f>
        <v>0.84355731076393592</v>
      </c>
    </row>
    <row r="434" spans="1:11" ht="15.75" customHeight="1" x14ac:dyDescent="0.2">
      <c r="A434" s="50">
        <v>25</v>
      </c>
      <c r="B434" s="48">
        <f>('Sheet1 (2)'!B434-'Sheet1 (2)'!B$526)/'Sheet1 (2)'!B$527</f>
        <v>1.2478810076233939</v>
      </c>
      <c r="C434" s="48">
        <f>('Sheet1 (2)'!C434-'Sheet1 (2)'!C$526)/'Sheet1 (2)'!C$527</f>
        <v>0.14654313993372586</v>
      </c>
      <c r="D434" s="48">
        <f>('Sheet1 (2)'!D434-'Sheet1 (2)'!D$526)/'Sheet1 (2)'!D$527</f>
        <v>-0.4704097020702403</v>
      </c>
      <c r="E434" s="48">
        <f>('Sheet1 (2)'!E434-'Sheet1 (2)'!E$526)/'Sheet1 (2)'!E$527</f>
        <v>-0.79163459700024075</v>
      </c>
      <c r="F434" s="48">
        <f>('Sheet1 (2)'!F434-'Sheet1 (2)'!F$526)/'Sheet1 (2)'!F$527</f>
        <v>-1.1978791963165167</v>
      </c>
      <c r="G434" s="48">
        <f>('Sheet1 (2)'!G434-'Sheet1 (2)'!G$526)/'Sheet1 (2)'!G$527</f>
        <v>0.16561200042603269</v>
      </c>
      <c r="H434" s="48">
        <f>('Sheet1 (2)'!H434-'Sheet1 (2)'!H$526)/'Sheet1 (2)'!H$527</f>
        <v>-0.19091768930388486</v>
      </c>
      <c r="I434" s="48">
        <f>('Sheet1 (2)'!I434-'Sheet1 (2)'!I$526)/'Sheet1 (2)'!I$527</f>
        <v>-0.77313684927545734</v>
      </c>
      <c r="J434" s="48">
        <f>('Sheet1 (2)'!J434-'Sheet1 (2)'!J$526)/'Sheet1 (2)'!J$527</f>
        <v>0.46831097106621894</v>
      </c>
      <c r="K434" s="48">
        <f>('Sheet1 (2)'!K434-'Sheet1 (2)'!K$526)/'Sheet1 (2)'!K$527</f>
        <v>-0.21593455054253644</v>
      </c>
    </row>
    <row r="435" spans="1:11" ht="15.75" customHeight="1" x14ac:dyDescent="0.2">
      <c r="A435" s="51">
        <v>25</v>
      </c>
      <c r="B435" s="48">
        <f>('Sheet1 (2)'!B435-'Sheet1 (2)'!B$526)/'Sheet1 (2)'!B$527</f>
        <v>1.2478810076233939</v>
      </c>
      <c r="C435" s="48">
        <f>('Sheet1 (2)'!C435-'Sheet1 (2)'!C$526)/'Sheet1 (2)'!C$527</f>
        <v>-0.72285683511242171</v>
      </c>
      <c r="D435" s="48">
        <f>('Sheet1 (2)'!D435-'Sheet1 (2)'!D$526)/'Sheet1 (2)'!D$527</f>
        <v>-0.4704097020702403</v>
      </c>
      <c r="E435" s="48">
        <f>('Sheet1 (2)'!E435-'Sheet1 (2)'!E$526)/'Sheet1 (2)'!E$527</f>
        <v>-0.9731464101928603</v>
      </c>
      <c r="F435" s="48">
        <f>('Sheet1 (2)'!F435-'Sheet1 (2)'!F$526)/'Sheet1 (2)'!F$527</f>
        <v>-1.1978791963165167</v>
      </c>
      <c r="G435" s="48">
        <f>('Sheet1 (2)'!G435-'Sheet1 (2)'!G$526)/'Sheet1 (2)'!G$527</f>
        <v>-0.26096744548902151</v>
      </c>
      <c r="H435" s="48">
        <f>('Sheet1 (2)'!H435-'Sheet1 (2)'!H$526)/'Sheet1 (2)'!H$527</f>
        <v>-0.29619406257950814</v>
      </c>
      <c r="I435" s="48">
        <f>('Sheet1 (2)'!I435-'Sheet1 (2)'!I$526)/'Sheet1 (2)'!I$527</f>
        <v>0.64839670025109863</v>
      </c>
      <c r="J435" s="48">
        <f>('Sheet1 (2)'!J435-'Sheet1 (2)'!J$526)/'Sheet1 (2)'!J$527</f>
        <v>0.58004485738209677</v>
      </c>
      <c r="K435" s="48">
        <f>('Sheet1 (2)'!K435-'Sheet1 (2)'!K$526)/'Sheet1 (2)'!K$527</f>
        <v>-0.35266951971174543</v>
      </c>
    </row>
    <row r="436" spans="1:11" ht="15.75" customHeight="1" x14ac:dyDescent="0.2">
      <c r="A436" s="48">
        <v>26</v>
      </c>
      <c r="B436" s="48">
        <f>('Sheet1 (2)'!B436-'Sheet1 (2)'!B$526)/'Sheet1 (2)'!B$527</f>
        <v>-1.2242915745870349</v>
      </c>
      <c r="C436" s="48">
        <f>('Sheet1 (2)'!C436-'Sheet1 (2)'!C$526)/'Sheet1 (2)'!C$527</f>
        <v>-0.885447342408761</v>
      </c>
      <c r="D436" s="48">
        <f>('Sheet1 (2)'!D436-'Sheet1 (2)'!D$526)/'Sheet1 (2)'!D$527</f>
        <v>-0.4704097020702403</v>
      </c>
      <c r="E436" s="48">
        <f>('Sheet1 (2)'!E436-'Sheet1 (2)'!E$526)/'Sheet1 (2)'!E$527</f>
        <v>-0.16438491343587222</v>
      </c>
      <c r="F436" s="48">
        <f>('Sheet1 (2)'!F436-'Sheet1 (2)'!F$526)/'Sheet1 (2)'!F$527</f>
        <v>1.2684811135846812</v>
      </c>
      <c r="G436" s="48">
        <f>('Sheet1 (2)'!G436-'Sheet1 (2)'!G$526)/'Sheet1 (2)'!G$527</f>
        <v>-0.50144115274505707</v>
      </c>
      <c r="H436" s="48">
        <f>('Sheet1 (2)'!H436-'Sheet1 (2)'!H$526)/'Sheet1 (2)'!H$527</f>
        <v>-0.43140416859980973</v>
      </c>
      <c r="I436" s="48">
        <f>('Sheet1 (2)'!I436-'Sheet1 (2)'!I$526)/'Sheet1 (2)'!I$527</f>
        <v>0.67967328628998069</v>
      </c>
      <c r="J436" s="48">
        <f>('Sheet1 (2)'!J436-'Sheet1 (2)'!J$526)/'Sheet1 (2)'!J$527</f>
        <v>0.75719400948998361</v>
      </c>
      <c r="K436" s="48">
        <f>('Sheet1 (2)'!K436-'Sheet1 (2)'!K$526)/'Sheet1 (2)'!K$527</f>
        <v>0.18308181623139605</v>
      </c>
    </row>
    <row r="437" spans="1:11" ht="15.75" customHeight="1" x14ac:dyDescent="0.2">
      <c r="A437" s="49">
        <v>26</v>
      </c>
      <c r="B437" s="48">
        <f>('Sheet1 (2)'!B437-'Sheet1 (2)'!B$526)/'Sheet1 (2)'!B$527</f>
        <v>-1.2242915745870349</v>
      </c>
      <c r="C437" s="48">
        <f>('Sheet1 (2)'!C437-'Sheet1 (2)'!C$526)/'Sheet1 (2)'!C$527</f>
        <v>-0.13634125285111245</v>
      </c>
      <c r="D437" s="48">
        <f>('Sheet1 (2)'!D437-'Sheet1 (2)'!D$526)/'Sheet1 (2)'!D$527</f>
        <v>1.4257032508898051</v>
      </c>
      <c r="E437" s="48">
        <f>('Sheet1 (2)'!E437-'Sheet1 (2)'!E$526)/'Sheet1 (2)'!E$527</f>
        <v>9.7543525854743143E-2</v>
      </c>
      <c r="F437" s="48">
        <f>('Sheet1 (2)'!F437-'Sheet1 (2)'!F$526)/'Sheet1 (2)'!F$527</f>
        <v>1.2684811135846812</v>
      </c>
      <c r="G437" s="48">
        <f>('Sheet1 (2)'!G437-'Sheet1 (2)'!G$526)/'Sheet1 (2)'!G$527</f>
        <v>-0.50144115274505707</v>
      </c>
      <c r="H437" s="48">
        <f>('Sheet1 (2)'!H437-'Sheet1 (2)'!H$526)/'Sheet1 (2)'!H$527</f>
        <v>-0.74161365369442356</v>
      </c>
      <c r="I437" s="48">
        <f>('Sheet1 (2)'!I437-'Sheet1 (2)'!I$526)/'Sheet1 (2)'!I$527</f>
        <v>0.60694886671989712</v>
      </c>
      <c r="J437" s="48">
        <f>('Sheet1 (2)'!J437-'Sheet1 (2)'!J$526)/'Sheet1 (2)'!J$527</f>
        <v>0.83398810935141954</v>
      </c>
      <c r="K437" s="48">
        <f>('Sheet1 (2)'!K437-'Sheet1 (2)'!K$526)/'Sheet1 (2)'!K$527</f>
        <v>1.4340491351522651</v>
      </c>
    </row>
    <row r="438" spans="1:11" ht="15.75" customHeight="1" x14ac:dyDescent="0.2">
      <c r="A438" s="50">
        <v>26</v>
      </c>
      <c r="B438" s="48">
        <f>('Sheet1 (2)'!B438-'Sheet1 (2)'!B$526)/'Sheet1 (2)'!B$527</f>
        <v>-1.2242915745870349</v>
      </c>
      <c r="C438" s="48">
        <f>('Sheet1 (2)'!C438-'Sheet1 (2)'!C$526)/'Sheet1 (2)'!C$527</f>
        <v>-2.0101637216753261</v>
      </c>
      <c r="D438" s="48">
        <f>('Sheet1 (2)'!D438-'Sheet1 (2)'!D$526)/'Sheet1 (2)'!D$527</f>
        <v>-0.4704097020702403</v>
      </c>
      <c r="E438" s="48">
        <f>('Sheet1 (2)'!E438-'Sheet1 (2)'!E$526)/'Sheet1 (2)'!E$527</f>
        <v>-0.59863469436505046</v>
      </c>
      <c r="F438" s="48">
        <f>('Sheet1 (2)'!F438-'Sheet1 (2)'!F$526)/'Sheet1 (2)'!F$527</f>
        <v>3.5300958634082259E-2</v>
      </c>
      <c r="G438" s="48">
        <f>('Sheet1 (2)'!G438-'Sheet1 (2)'!G$526)/'Sheet1 (2)'!G$527</f>
        <v>0.81273458818595623</v>
      </c>
      <c r="H438" s="48">
        <f>('Sheet1 (2)'!H438-'Sheet1 (2)'!H$526)/'Sheet1 (2)'!H$527</f>
        <v>-1.8792931735857952</v>
      </c>
      <c r="I438" s="48">
        <f>('Sheet1 (2)'!I438-'Sheet1 (2)'!I$526)/'Sheet1 (2)'!I$527</f>
        <v>0.65124464954894801</v>
      </c>
      <c r="J438" s="48">
        <f>('Sheet1 (2)'!J438-'Sheet1 (2)'!J$526)/'Sheet1 (2)'!J$527</f>
        <v>-0.83945425120312078</v>
      </c>
      <c r="K438" s="48">
        <f>('Sheet1 (2)'!K438-'Sheet1 (2)'!K$526)/'Sheet1 (2)'!K$527</f>
        <v>0.96105683636056849</v>
      </c>
    </row>
    <row r="439" spans="1:11" ht="15.75" customHeight="1" x14ac:dyDescent="0.2">
      <c r="A439" s="49">
        <v>26</v>
      </c>
      <c r="B439" s="48">
        <f>('Sheet1 (2)'!B439-'Sheet1 (2)'!B$526)/'Sheet1 (2)'!B$527</f>
        <v>-1.2242915745870349</v>
      </c>
      <c r="C439" s="48">
        <f>('Sheet1 (2)'!C439-'Sheet1 (2)'!C$526)/'Sheet1 (2)'!C$527</f>
        <v>-1.9161798227150129</v>
      </c>
      <c r="D439" s="48">
        <f>('Sheet1 (2)'!D439-'Sheet1 (2)'!D$526)/'Sheet1 (2)'!D$527</f>
        <v>1.4257032508898051</v>
      </c>
      <c r="E439" s="48">
        <f>('Sheet1 (2)'!E439-'Sheet1 (2)'!E$526)/'Sheet1 (2)'!E$527</f>
        <v>-7.7075433672333757E-2</v>
      </c>
      <c r="F439" s="48">
        <f>('Sheet1 (2)'!F439-'Sheet1 (2)'!F$526)/'Sheet1 (2)'!F$527</f>
        <v>3.5300958634082259E-2</v>
      </c>
      <c r="G439" s="48">
        <f>('Sheet1 (2)'!G439-'Sheet1 (2)'!G$526)/'Sheet1 (2)'!G$527</f>
        <v>-0.37146772781781395</v>
      </c>
      <c r="H439" s="48">
        <f>('Sheet1 (2)'!H439-'Sheet1 (2)'!H$526)/'Sheet1 (2)'!H$527</f>
        <v>-1.4189349554690542</v>
      </c>
      <c r="I439" s="48">
        <f>('Sheet1 (2)'!I439-'Sheet1 (2)'!I$526)/'Sheet1 (2)'!I$527</f>
        <v>-2.421031511743581</v>
      </c>
      <c r="J439" s="48">
        <f>('Sheet1 (2)'!J439-'Sheet1 (2)'!J$526)/'Sheet1 (2)'!J$527</f>
        <v>-0.65025793421204914</v>
      </c>
      <c r="K439" s="48">
        <f>('Sheet1 (2)'!K439-'Sheet1 (2)'!K$526)/'Sheet1 (2)'!K$527</f>
        <v>1.1296561797733822</v>
      </c>
    </row>
    <row r="440" spans="1:11" ht="15.75" customHeight="1" x14ac:dyDescent="0.2">
      <c r="A440" s="50">
        <v>26</v>
      </c>
      <c r="B440" s="48">
        <f>('Sheet1 (2)'!B440-'Sheet1 (2)'!B$526)/'Sheet1 (2)'!B$527</f>
        <v>-1.2242915745870349</v>
      </c>
      <c r="C440" s="48">
        <f>('Sheet1 (2)'!C440-'Sheet1 (2)'!C$526)/'Sheet1 (2)'!C$527</f>
        <v>-0.87623526420670428</v>
      </c>
      <c r="D440" s="48">
        <f>('Sheet1 (2)'!D440-'Sheet1 (2)'!D$526)/'Sheet1 (2)'!D$527</f>
        <v>-0.4704097020702403</v>
      </c>
      <c r="E440" s="48">
        <f>('Sheet1 (2)'!E440-'Sheet1 (2)'!E$526)/'Sheet1 (2)'!E$527</f>
        <v>-0.68134893835156052</v>
      </c>
      <c r="F440" s="48">
        <f>('Sheet1 (2)'!F440-'Sheet1 (2)'!F$526)/'Sheet1 (2)'!F$527</f>
        <v>-1.1978791963165167</v>
      </c>
      <c r="G440" s="48">
        <f>('Sheet1 (2)'!G440-'Sheet1 (2)'!G$526)/'Sheet1 (2)'!G$527</f>
        <v>-0.50144115274505707</v>
      </c>
      <c r="H440" s="48">
        <f>('Sheet1 (2)'!H440-'Sheet1 (2)'!H$526)/'Sheet1 (2)'!H$527</f>
        <v>-0.77979328262914516</v>
      </c>
      <c r="I440" s="48">
        <f>('Sheet1 (2)'!I440-'Sheet1 (2)'!I$526)/'Sheet1 (2)'!I$527</f>
        <v>0.65818652596245597</v>
      </c>
      <c r="J440" s="48">
        <f>('Sheet1 (2)'!J440-'Sheet1 (2)'!J$526)/'Sheet1 (2)'!J$527</f>
        <v>4.2854359448328529E-2</v>
      </c>
      <c r="K440" s="48">
        <f>('Sheet1 (2)'!K440-'Sheet1 (2)'!K$526)/'Sheet1 (2)'!K$527</f>
        <v>1.9270197557913045</v>
      </c>
    </row>
    <row r="441" spans="1:11" ht="15.75" customHeight="1" x14ac:dyDescent="0.2">
      <c r="A441" s="51">
        <v>26</v>
      </c>
      <c r="B441" s="48">
        <f>('Sheet1 (2)'!B441-'Sheet1 (2)'!B$526)/'Sheet1 (2)'!B$527</f>
        <v>-1.2242915745870349</v>
      </c>
      <c r="C441" s="48">
        <f>('Sheet1 (2)'!C441-'Sheet1 (2)'!C$526)/'Sheet1 (2)'!C$527</f>
        <v>-0.6512663581732675</v>
      </c>
      <c r="D441" s="48">
        <f>('Sheet1 (2)'!D441-'Sheet1 (2)'!D$526)/'Sheet1 (2)'!D$527</f>
        <v>-0.4704097020702403</v>
      </c>
      <c r="E441" s="48">
        <f>('Sheet1 (2)'!E441-'Sheet1 (2)'!E$526)/'Sheet1 (2)'!E$527</f>
        <v>-0.79852745066578323</v>
      </c>
      <c r="F441" s="48">
        <f>('Sheet1 (2)'!F441-'Sheet1 (2)'!F$526)/'Sheet1 (2)'!F$527</f>
        <v>-1.1978791963165167</v>
      </c>
      <c r="G441" s="48">
        <f>('Sheet1 (2)'!G441-'Sheet1 (2)'!G$526)/'Sheet1 (2)'!G$527</f>
        <v>-0.50144115274505707</v>
      </c>
      <c r="H441" s="48">
        <f>('Sheet1 (2)'!H441-'Sheet1 (2)'!H$526)/'Sheet1 (2)'!H$527</f>
        <v>-1.0015288199038752</v>
      </c>
      <c r="I441" s="48">
        <f>('Sheet1 (2)'!I441-'Sheet1 (2)'!I$526)/'Sheet1 (2)'!I$527</f>
        <v>-0.22045668866155352</v>
      </c>
      <c r="J441" s="48">
        <f>('Sheet1 (2)'!J441-'Sheet1 (2)'!J$526)/'Sheet1 (2)'!J$527</f>
        <v>-0.83945425120312078</v>
      </c>
      <c r="K441" s="48">
        <f>('Sheet1 (2)'!K441-'Sheet1 (2)'!K$526)/'Sheet1 (2)'!K$527</f>
        <v>0.66506804589163793</v>
      </c>
    </row>
    <row r="442" spans="1:11" ht="15.75" customHeight="1" x14ac:dyDescent="0.2">
      <c r="A442" s="48">
        <v>26</v>
      </c>
      <c r="B442" s="48">
        <f>('Sheet1 (2)'!B442-'Sheet1 (2)'!B$526)/'Sheet1 (2)'!B$527</f>
        <v>1.1794716518179513E-2</v>
      </c>
      <c r="C442" s="48">
        <f>('Sheet1 (2)'!C442-'Sheet1 (2)'!C$526)/'Sheet1 (2)'!C$527</f>
        <v>-0.66476250358690581</v>
      </c>
      <c r="D442" s="48">
        <f>('Sheet1 (2)'!D442-'Sheet1 (2)'!D$526)/'Sheet1 (2)'!D$527</f>
        <v>1.4257032508898051</v>
      </c>
      <c r="E442" s="48">
        <f>('Sheet1 (2)'!E442-'Sheet1 (2)'!E$526)/'Sheet1 (2)'!E$527</f>
        <v>-0.34589672662849169</v>
      </c>
      <c r="F442" s="48">
        <f>('Sheet1 (2)'!F442-'Sheet1 (2)'!F$526)/'Sheet1 (2)'!F$527</f>
        <v>1.2684811135846812</v>
      </c>
      <c r="G442" s="48">
        <f>('Sheet1 (2)'!G442-'Sheet1 (2)'!G$526)/'Sheet1 (2)'!G$527</f>
        <v>-0.50144115274505707</v>
      </c>
      <c r="H442" s="48">
        <f>('Sheet1 (2)'!H442-'Sheet1 (2)'!H$526)/'Sheet1 (2)'!H$527</f>
        <v>0.26049363177828266</v>
      </c>
      <c r="I442" s="48">
        <f>('Sheet1 (2)'!I442-'Sheet1 (2)'!I$526)/'Sheet1 (2)'!I$527</f>
        <v>0.55023654711252135</v>
      </c>
      <c r="J442" s="48">
        <f>('Sheet1 (2)'!J442-'Sheet1 (2)'!J$526)/'Sheet1 (2)'!J$527</f>
        <v>0.15697681934574817</v>
      </c>
      <c r="K442" s="48">
        <f>('Sheet1 (2)'!K442-'Sheet1 (2)'!K$526)/'Sheet1 (2)'!K$527</f>
        <v>2.3439271253722729</v>
      </c>
    </row>
    <row r="443" spans="1:11" ht="15.75" customHeight="1" x14ac:dyDescent="0.2">
      <c r="A443" s="49">
        <v>26</v>
      </c>
      <c r="B443" s="48">
        <f>('Sheet1 (2)'!B443-'Sheet1 (2)'!B$526)/'Sheet1 (2)'!B$527</f>
        <v>1.1794716518179513E-2</v>
      </c>
      <c r="C443" s="48">
        <f>('Sheet1 (2)'!C443-'Sheet1 (2)'!C$526)/'Sheet1 (2)'!C$527</f>
        <v>0.58858208700419512</v>
      </c>
      <c r="D443" s="48">
        <f>('Sheet1 (2)'!D443-'Sheet1 (2)'!D$526)/'Sheet1 (2)'!D$527</f>
        <v>-0.4704097020702403</v>
      </c>
      <c r="E443" s="48">
        <f>('Sheet1 (2)'!E443-'Sheet1 (2)'!E$526)/'Sheet1 (2)'!E$527</f>
        <v>-0.12992064510815957</v>
      </c>
      <c r="F443" s="48">
        <f>('Sheet1 (2)'!F443-'Sheet1 (2)'!F$526)/'Sheet1 (2)'!F$527</f>
        <v>1.2684811135846812</v>
      </c>
      <c r="G443" s="48">
        <f>('Sheet1 (2)'!G443-'Sheet1 (2)'!G$526)/'Sheet1 (2)'!G$527</f>
        <v>-0.50144115274505707</v>
      </c>
      <c r="H443" s="48">
        <f>('Sheet1 (2)'!H443-'Sheet1 (2)'!H$526)/'Sheet1 (2)'!H$527</f>
        <v>-6.4504373717661517E-2</v>
      </c>
      <c r="I443" s="48">
        <f>('Sheet1 (2)'!I443-'Sheet1 (2)'!I$526)/'Sheet1 (2)'!I$527</f>
        <v>0.64012209126175867</v>
      </c>
      <c r="J443" s="48">
        <f>('Sheet1 (2)'!J443-'Sheet1 (2)'!J$526)/'Sheet1 (2)'!J$527</f>
        <v>-0.83945425120312078</v>
      </c>
      <c r="K443" s="48">
        <f>('Sheet1 (2)'!K443-'Sheet1 (2)'!K$526)/'Sheet1 (2)'!K$527</f>
        <v>1.4767929749213178</v>
      </c>
    </row>
    <row r="444" spans="1:11" ht="15.75" customHeight="1" x14ac:dyDescent="0.2">
      <c r="A444" s="50">
        <v>26</v>
      </c>
      <c r="B444" s="48">
        <f>('Sheet1 (2)'!B444-'Sheet1 (2)'!B$526)/'Sheet1 (2)'!B$527</f>
        <v>1.1794716518179513E-2</v>
      </c>
      <c r="C444" s="48">
        <f>('Sheet1 (2)'!C444-'Sheet1 (2)'!C$526)/'Sheet1 (2)'!C$527</f>
        <v>0.59448293254647577</v>
      </c>
      <c r="D444" s="48">
        <f>('Sheet1 (2)'!D444-'Sheet1 (2)'!D$526)/'Sheet1 (2)'!D$527</f>
        <v>-0.4704097020702403</v>
      </c>
      <c r="E444" s="48">
        <f>('Sheet1 (2)'!E444-'Sheet1 (2)'!E$526)/'Sheet1 (2)'!E$527</f>
        <v>-0.66526561313196142</v>
      </c>
      <c r="F444" s="48">
        <f>('Sheet1 (2)'!F444-'Sheet1 (2)'!F$526)/'Sheet1 (2)'!F$527</f>
        <v>3.5300958634082259E-2</v>
      </c>
      <c r="G444" s="48">
        <f>('Sheet1 (2)'!G444-'Sheet1 (2)'!G$526)/'Sheet1 (2)'!G$527</f>
        <v>-0.50144115274505707</v>
      </c>
      <c r="H444" s="48">
        <f>('Sheet1 (2)'!H444-'Sheet1 (2)'!H$526)/'Sheet1 (2)'!H$527</f>
        <v>-9.205935478140452E-2</v>
      </c>
      <c r="I444" s="48">
        <f>('Sheet1 (2)'!I444-'Sheet1 (2)'!I$526)/'Sheet1 (2)'!I$527</f>
        <v>0.46097324398634454</v>
      </c>
      <c r="J444" s="48">
        <f>('Sheet1 (2)'!J444-'Sheet1 (2)'!J$526)/'Sheet1 (2)'!J$527</f>
        <v>-0.83945425120312078</v>
      </c>
      <c r="K444" s="48">
        <f>('Sheet1 (2)'!K444-'Sheet1 (2)'!K$526)/'Sheet1 (2)'!K$527</f>
        <v>1.1228419387344224</v>
      </c>
    </row>
    <row r="445" spans="1:11" ht="15.75" customHeight="1" x14ac:dyDescent="0.2">
      <c r="A445" s="49">
        <v>26</v>
      </c>
      <c r="B445" s="48">
        <f>('Sheet1 (2)'!B445-'Sheet1 (2)'!B$526)/'Sheet1 (2)'!B$527</f>
        <v>1.1794716518179513E-2</v>
      </c>
      <c r="C445" s="48">
        <f>('Sheet1 (2)'!C445-'Sheet1 (2)'!C$526)/'Sheet1 (2)'!C$527</f>
        <v>0.55044973485528192</v>
      </c>
      <c r="D445" s="48">
        <f>('Sheet1 (2)'!D445-'Sheet1 (2)'!D$526)/'Sheet1 (2)'!D$527</f>
        <v>-0.4704097020702403</v>
      </c>
      <c r="E445" s="48">
        <f>('Sheet1 (2)'!E445-'Sheet1 (2)'!E$526)/'Sheet1 (2)'!E$527</f>
        <v>-0.76406318233807069</v>
      </c>
      <c r="F445" s="48">
        <f>('Sheet1 (2)'!F445-'Sheet1 (2)'!F$526)/'Sheet1 (2)'!F$527</f>
        <v>3.5300958634082259E-2</v>
      </c>
      <c r="G445" s="48">
        <f>('Sheet1 (2)'!G445-'Sheet1 (2)'!G$526)/'Sheet1 (2)'!G$527</f>
        <v>-0.50144115274505707</v>
      </c>
      <c r="H445" s="48">
        <f>('Sheet1 (2)'!H445-'Sheet1 (2)'!H$526)/'Sheet1 (2)'!H$527</f>
        <v>-0.17632624044545384</v>
      </c>
      <c r="I445" s="48">
        <f>('Sheet1 (2)'!I445-'Sheet1 (2)'!I$526)/'Sheet1 (2)'!I$527</f>
        <v>-0.49162826587279662</v>
      </c>
      <c r="J445" s="48">
        <f>('Sheet1 (2)'!J445-'Sheet1 (2)'!J$526)/'Sheet1 (2)'!J$527</f>
        <v>-0.24759066666500151</v>
      </c>
      <c r="K445" s="48">
        <f>('Sheet1 (2)'!K445-'Sheet1 (2)'!K$526)/'Sheet1 (2)'!K$527</f>
        <v>-0.18333354503092594</v>
      </c>
    </row>
    <row r="446" spans="1:11" ht="15.75" customHeight="1" x14ac:dyDescent="0.2">
      <c r="A446" s="50">
        <v>26</v>
      </c>
      <c r="B446" s="48">
        <f>('Sheet1 (2)'!B446-'Sheet1 (2)'!B$526)/'Sheet1 (2)'!B$527</f>
        <v>1.1794716518179513E-2</v>
      </c>
      <c r="C446" s="48">
        <f>('Sheet1 (2)'!C446-'Sheet1 (2)'!C$526)/'Sheet1 (2)'!C$527</f>
        <v>0.51275302196705652</v>
      </c>
      <c r="D446" s="48">
        <f>('Sheet1 (2)'!D446-'Sheet1 (2)'!D$526)/'Sheet1 (2)'!D$527</f>
        <v>-0.4704097020702403</v>
      </c>
      <c r="E446" s="48">
        <f>('Sheet1 (2)'!E446-'Sheet1 (2)'!E$526)/'Sheet1 (2)'!E$527</f>
        <v>-0.9892297354124594</v>
      </c>
      <c r="F446" s="48">
        <f>('Sheet1 (2)'!F446-'Sheet1 (2)'!F$526)/'Sheet1 (2)'!F$527</f>
        <v>-1.1978791963165167</v>
      </c>
      <c r="G446" s="48">
        <f>('Sheet1 (2)'!G446-'Sheet1 (2)'!G$526)/'Sheet1 (2)'!G$527</f>
        <v>-0.50144115274505707</v>
      </c>
      <c r="H446" s="48">
        <f>('Sheet1 (2)'!H446-'Sheet1 (2)'!H$526)/'Sheet1 (2)'!H$527</f>
        <v>-0.11704651629320353</v>
      </c>
      <c r="I446" s="48">
        <f>('Sheet1 (2)'!I446-'Sheet1 (2)'!I$526)/'Sheet1 (2)'!I$527</f>
        <v>0.70243104461631145</v>
      </c>
      <c r="J446" s="48">
        <f>('Sheet1 (2)'!J446-'Sheet1 (2)'!J$526)/'Sheet1 (2)'!J$527</f>
        <v>1.6370800368717759</v>
      </c>
      <c r="K446" s="48">
        <f>('Sheet1 (2)'!K446-'Sheet1 (2)'!K$526)/'Sheet1 (2)'!K$527</f>
        <v>1.4452941112237316</v>
      </c>
    </row>
    <row r="447" spans="1:11" ht="15.75" customHeight="1" x14ac:dyDescent="0.2">
      <c r="A447" s="51">
        <v>26</v>
      </c>
      <c r="B447" s="48">
        <f>('Sheet1 (2)'!B447-'Sheet1 (2)'!B$526)/'Sheet1 (2)'!B$527</f>
        <v>1.1794716518179513E-2</v>
      </c>
      <c r="C447" s="48">
        <f>('Sheet1 (2)'!C447-'Sheet1 (2)'!C$526)/'Sheet1 (2)'!C$527</f>
        <v>0.52758067685136045</v>
      </c>
      <c r="D447" s="48">
        <f>('Sheet1 (2)'!D447-'Sheet1 (2)'!D$526)/'Sheet1 (2)'!D$527</f>
        <v>-0.4704097020702403</v>
      </c>
      <c r="E447" s="48">
        <f>('Sheet1 (2)'!E447-'Sheet1 (2)'!E$526)/'Sheet1 (2)'!E$527</f>
        <v>-0.78703936122321239</v>
      </c>
      <c r="F447" s="48">
        <f>('Sheet1 (2)'!F447-'Sheet1 (2)'!F$526)/'Sheet1 (2)'!F$527</f>
        <v>-1.1978791963165167</v>
      </c>
      <c r="G447" s="48">
        <f>('Sheet1 (2)'!G447-'Sheet1 (2)'!G$526)/'Sheet1 (2)'!G$527</f>
        <v>-0.50144115274505707</v>
      </c>
      <c r="H447" s="48">
        <f>('Sheet1 (2)'!H447-'Sheet1 (2)'!H$526)/'Sheet1 (2)'!H$527</f>
        <v>-0.18814449251184248</v>
      </c>
      <c r="I447" s="48">
        <f>('Sheet1 (2)'!I447-'Sheet1 (2)'!I$526)/'Sheet1 (2)'!I$527</f>
        <v>0.64178375763015616</v>
      </c>
      <c r="J447" s="48">
        <f>('Sheet1 (2)'!J447-'Sheet1 (2)'!J$526)/'Sheet1 (2)'!J$527</f>
        <v>-0.74183590063814697</v>
      </c>
      <c r="K447" s="48">
        <f>('Sheet1 (2)'!K447-'Sheet1 (2)'!K$526)/'Sheet1 (2)'!K$527</f>
        <v>1.5609040082512575</v>
      </c>
    </row>
    <row r="448" spans="1:11" ht="15.75" customHeight="1" x14ac:dyDescent="0.2">
      <c r="A448" s="48">
        <v>26</v>
      </c>
      <c r="B448" s="48">
        <f>('Sheet1 (2)'!B448-'Sheet1 (2)'!B$526)/'Sheet1 (2)'!B$527</f>
        <v>1.2478810076233939</v>
      </c>
      <c r="C448" s="48">
        <f>('Sheet1 (2)'!C448-'Sheet1 (2)'!C$526)/'Sheet1 (2)'!C$527</f>
        <v>-1.3768076829589015</v>
      </c>
      <c r="D448" s="48">
        <f>('Sheet1 (2)'!D448-'Sheet1 (2)'!D$526)/'Sheet1 (2)'!D$527</f>
        <v>-0.4704097020702403</v>
      </c>
      <c r="E448" s="48">
        <f>('Sheet1 (2)'!E448-'Sheet1 (2)'!E$526)/'Sheet1 (2)'!E$527</f>
        <v>-0.30453960463523666</v>
      </c>
      <c r="F448" s="48">
        <f>('Sheet1 (2)'!F448-'Sheet1 (2)'!F$526)/'Sheet1 (2)'!F$527</f>
        <v>1.2684811135846812</v>
      </c>
      <c r="G448" s="48">
        <f>('Sheet1 (2)'!G448-'Sheet1 (2)'!G$526)/'Sheet1 (2)'!G$527</f>
        <v>-0.50144115274505707</v>
      </c>
      <c r="H448" s="48">
        <f>('Sheet1 (2)'!H448-'Sheet1 (2)'!H$526)/'Sheet1 (2)'!H$527</f>
        <v>-0.72311441041041724</v>
      </c>
      <c r="I448" s="48">
        <f>('Sheet1 (2)'!I448-'Sheet1 (2)'!I$526)/'Sheet1 (2)'!I$527</f>
        <v>0.7296605454332119</v>
      </c>
      <c r="J448" s="48">
        <f>('Sheet1 (2)'!J448-'Sheet1 (2)'!J$526)/'Sheet1 (2)'!J$527</f>
        <v>-0.83945425120312078</v>
      </c>
      <c r="K448" s="48">
        <f>('Sheet1 (2)'!K448-'Sheet1 (2)'!K$526)/'Sheet1 (2)'!K$527</f>
        <v>0.5760678753902484</v>
      </c>
    </row>
    <row r="449" spans="1:11" ht="15.75" customHeight="1" x14ac:dyDescent="0.2">
      <c r="A449" s="49">
        <v>26</v>
      </c>
      <c r="B449" s="48">
        <f>('Sheet1 (2)'!B449-'Sheet1 (2)'!B$526)/'Sheet1 (2)'!B$527</f>
        <v>1.2478810076233939</v>
      </c>
      <c r="C449" s="48">
        <f>('Sheet1 (2)'!C449-'Sheet1 (2)'!C$526)/'Sheet1 (2)'!C$527</f>
        <v>-0.37062338629244462</v>
      </c>
      <c r="D449" s="48">
        <f>('Sheet1 (2)'!D449-'Sheet1 (2)'!D$526)/'Sheet1 (2)'!D$527</f>
        <v>-0.4704097020702403</v>
      </c>
      <c r="E449" s="48">
        <f>('Sheet1 (2)'!E449-'Sheet1 (2)'!E$526)/'Sheet1 (2)'!E$527</f>
        <v>-0.6491822879123621</v>
      </c>
      <c r="F449" s="48">
        <f>('Sheet1 (2)'!F449-'Sheet1 (2)'!F$526)/'Sheet1 (2)'!F$527</f>
        <v>1.2684811135846812</v>
      </c>
      <c r="G449" s="48">
        <f>('Sheet1 (2)'!G449-'Sheet1 (2)'!G$526)/'Sheet1 (2)'!G$527</f>
        <v>-0.50144115274505707</v>
      </c>
      <c r="H449" s="48">
        <f>('Sheet1 (2)'!H449-'Sheet1 (2)'!H$526)/'Sheet1 (2)'!H$527</f>
        <v>-0.55098685253749136</v>
      </c>
      <c r="I449" s="48">
        <f>('Sheet1 (2)'!I449-'Sheet1 (2)'!I$526)/'Sheet1 (2)'!I$527</f>
        <v>0.67355063752775624</v>
      </c>
      <c r="J449" s="48">
        <f>('Sheet1 (2)'!J449-'Sheet1 (2)'!J$526)/'Sheet1 (2)'!J$527</f>
        <v>-0.38955861842751505</v>
      </c>
      <c r="K449" s="48">
        <f>('Sheet1 (2)'!K449-'Sheet1 (2)'!K$526)/'Sheet1 (2)'!K$527</f>
        <v>1.2785560580692745</v>
      </c>
    </row>
    <row r="450" spans="1:11" ht="15.75" customHeight="1" x14ac:dyDescent="0.2">
      <c r="A450" s="50">
        <v>26</v>
      </c>
      <c r="B450" s="48">
        <f>('Sheet1 (2)'!B450-'Sheet1 (2)'!B$526)/'Sheet1 (2)'!B$527</f>
        <v>1.2478810076233939</v>
      </c>
      <c r="C450" s="48">
        <f>('Sheet1 (2)'!C450-'Sheet1 (2)'!C$526)/'Sheet1 (2)'!C$527</f>
        <v>-0.37842730468186636</v>
      </c>
      <c r="D450" s="48">
        <f>('Sheet1 (2)'!D450-'Sheet1 (2)'!D$526)/'Sheet1 (2)'!D$527</f>
        <v>-0.4704097020702403</v>
      </c>
      <c r="E450" s="48">
        <f>('Sheet1 (2)'!E450-'Sheet1 (2)'!E$526)/'Sheet1 (2)'!E$527</f>
        <v>-0.19884918176358485</v>
      </c>
      <c r="F450" s="48">
        <f>('Sheet1 (2)'!F450-'Sheet1 (2)'!F$526)/'Sheet1 (2)'!F$527</f>
        <v>3.5300958634082259E-2</v>
      </c>
      <c r="G450" s="48">
        <f>('Sheet1 (2)'!G450-'Sheet1 (2)'!G$526)/'Sheet1 (2)'!G$527</f>
        <v>-0.37852226722136711</v>
      </c>
      <c r="H450" s="48">
        <f>('Sheet1 (2)'!H450-'Sheet1 (2)'!H$526)/'Sheet1 (2)'!H$527</f>
        <v>-0.97900730801972313</v>
      </c>
      <c r="I450" s="48">
        <f>('Sheet1 (2)'!I450-'Sheet1 (2)'!I$526)/'Sheet1 (2)'!I$527</f>
        <v>-2.7459343237596503</v>
      </c>
      <c r="J450" s="48">
        <f>('Sheet1 (2)'!J450-'Sheet1 (2)'!J$526)/'Sheet1 (2)'!J$527</f>
        <v>-0.58147460889794933</v>
      </c>
      <c r="K450" s="48">
        <f>('Sheet1 (2)'!K450-'Sheet1 (2)'!K$526)/'Sheet1 (2)'!K$527</f>
        <v>0.3922660322947869</v>
      </c>
    </row>
    <row r="451" spans="1:11" ht="15.75" customHeight="1" x14ac:dyDescent="0.2">
      <c r="A451" s="49">
        <v>26</v>
      </c>
      <c r="B451" s="48">
        <f>('Sheet1 (2)'!B451-'Sheet1 (2)'!B$526)/'Sheet1 (2)'!B$527</f>
        <v>1.2478810076233939</v>
      </c>
      <c r="C451" s="48">
        <f>('Sheet1 (2)'!C451-'Sheet1 (2)'!C$526)/'Sheet1 (2)'!C$527</f>
        <v>-0.8836727310241278</v>
      </c>
      <c r="D451" s="48">
        <f>('Sheet1 (2)'!D451-'Sheet1 (2)'!D$526)/'Sheet1 (2)'!D$527</f>
        <v>-0.4704097020702403</v>
      </c>
      <c r="E451" s="48">
        <f>('Sheet1 (2)'!E451-'Sheet1 (2)'!E$526)/'Sheet1 (2)'!E$527</f>
        <v>-0.80542030433132583</v>
      </c>
      <c r="F451" s="48">
        <f>('Sheet1 (2)'!F451-'Sheet1 (2)'!F$526)/'Sheet1 (2)'!F$527</f>
        <v>3.5300958634082259E-2</v>
      </c>
      <c r="G451" s="48">
        <f>('Sheet1 (2)'!G451-'Sheet1 (2)'!G$526)/'Sheet1 (2)'!G$527</f>
        <v>-0.50144115274505707</v>
      </c>
      <c r="H451" s="48">
        <f>('Sheet1 (2)'!H451-'Sheet1 (2)'!H$526)/'Sheet1 (2)'!H$527</f>
        <v>-0.59184799387231113</v>
      </c>
      <c r="I451" s="48">
        <f>('Sheet1 (2)'!I451-'Sheet1 (2)'!I$526)/'Sheet1 (2)'!I$527</f>
        <v>1.1615228693940558</v>
      </c>
      <c r="J451" s="48">
        <f>('Sheet1 (2)'!J451-'Sheet1 (2)'!J$526)/'Sheet1 (2)'!J$527</f>
        <v>1.8341022210737941</v>
      </c>
      <c r="K451" s="48">
        <f>('Sheet1 (2)'!K451-'Sheet1 (2)'!K$526)/'Sheet1 (2)'!K$527</f>
        <v>-0.39955887211199992</v>
      </c>
    </row>
    <row r="452" spans="1:11" ht="15.75" customHeight="1" x14ac:dyDescent="0.2">
      <c r="A452" s="50">
        <v>26</v>
      </c>
      <c r="B452" s="48">
        <f>('Sheet1 (2)'!B452-'Sheet1 (2)'!B$526)/'Sheet1 (2)'!B$527</f>
        <v>1.2478810076233939</v>
      </c>
      <c r="C452" s="48">
        <f>('Sheet1 (2)'!C452-'Sheet1 (2)'!C$526)/'Sheet1 (2)'!C$527</f>
        <v>-0.87067762966388529</v>
      </c>
      <c r="D452" s="48">
        <f>('Sheet1 (2)'!D452-'Sheet1 (2)'!D$526)/'Sheet1 (2)'!D$527</f>
        <v>-0.4704097020702403</v>
      </c>
      <c r="E452" s="48">
        <f>('Sheet1 (2)'!E452-'Sheet1 (2)'!E$526)/'Sheet1 (2)'!E$527</f>
        <v>-0.67215846679750391</v>
      </c>
      <c r="F452" s="48">
        <f>('Sheet1 (2)'!F452-'Sheet1 (2)'!F$526)/'Sheet1 (2)'!F$527</f>
        <v>-1.1978791963165167</v>
      </c>
      <c r="G452" s="48">
        <f>('Sheet1 (2)'!G452-'Sheet1 (2)'!G$526)/'Sheet1 (2)'!G$527</f>
        <v>0.21834347498501208</v>
      </c>
      <c r="H452" s="48">
        <f>('Sheet1 (2)'!H452-'Sheet1 (2)'!H$526)/'Sheet1 (2)'!H$527</f>
        <v>-0.86510687654891405</v>
      </c>
      <c r="I452" s="48">
        <f>('Sheet1 (2)'!I452-'Sheet1 (2)'!I$526)/'Sheet1 (2)'!I$527</f>
        <v>0.66895146474862055</v>
      </c>
      <c r="J452" s="48">
        <f>('Sheet1 (2)'!J452-'Sheet1 (2)'!J$526)/'Sheet1 (2)'!J$527</f>
        <v>0.45060086608280658</v>
      </c>
      <c r="K452" s="48">
        <f>('Sheet1 (2)'!K452-'Sheet1 (2)'!K$526)/'Sheet1 (2)'!K$527</f>
        <v>1.5431226751971608E-2</v>
      </c>
    </row>
    <row r="453" spans="1:11" ht="15.75" customHeight="1" x14ac:dyDescent="0.2">
      <c r="A453" s="51">
        <v>26</v>
      </c>
      <c r="B453" s="48">
        <f>('Sheet1 (2)'!B453-'Sheet1 (2)'!B$526)/'Sheet1 (2)'!B$527</f>
        <v>1.2478810076233939</v>
      </c>
      <c r="C453" s="48">
        <f>('Sheet1 (2)'!C453-'Sheet1 (2)'!C$526)/'Sheet1 (2)'!C$527</f>
        <v>-0.48878623143140953</v>
      </c>
      <c r="D453" s="48">
        <f>('Sheet1 (2)'!D453-'Sheet1 (2)'!D$526)/'Sheet1 (2)'!D$527</f>
        <v>-0.4704097020702403</v>
      </c>
      <c r="E453" s="48">
        <f>('Sheet1 (2)'!E453-'Sheet1 (2)'!E$526)/'Sheet1 (2)'!E$527</f>
        <v>-0.7181108245677873</v>
      </c>
      <c r="F453" s="48">
        <f>('Sheet1 (2)'!F453-'Sheet1 (2)'!F$526)/'Sheet1 (2)'!F$527</f>
        <v>-1.1978791963165167</v>
      </c>
      <c r="G453" s="48">
        <f>('Sheet1 (2)'!G453-'Sheet1 (2)'!G$526)/'Sheet1 (2)'!G$527</f>
        <v>-0.50144115274505707</v>
      </c>
      <c r="H453" s="48">
        <f>('Sheet1 (2)'!H453-'Sheet1 (2)'!H$526)/'Sheet1 (2)'!H$527</f>
        <v>-0.53872851013704559</v>
      </c>
      <c r="I453" s="48">
        <f>('Sheet1 (2)'!I453-'Sheet1 (2)'!I$526)/'Sheet1 (2)'!I$527</f>
        <v>-0.59766071862535608</v>
      </c>
      <c r="J453" s="48">
        <f>('Sheet1 (2)'!J453-'Sheet1 (2)'!J$526)/'Sheet1 (2)'!J$527</f>
        <v>1.8191809894387276</v>
      </c>
      <c r="K453" s="48">
        <f>('Sheet1 (2)'!K453-'Sheet1 (2)'!K$526)/'Sheet1 (2)'!K$527</f>
        <v>0.65432725389573787</v>
      </c>
    </row>
    <row r="454" spans="1:11" ht="15.75" customHeight="1" x14ac:dyDescent="0.2">
      <c r="A454" s="48">
        <v>27</v>
      </c>
      <c r="B454" s="48">
        <f>('Sheet1 (2)'!B454-'Sheet1 (2)'!B$526)/'Sheet1 (2)'!B$527</f>
        <v>-1.2242915745870349</v>
      </c>
      <c r="C454" s="48">
        <f>('Sheet1 (2)'!C454-'Sheet1 (2)'!C$526)/'Sheet1 (2)'!C$527</f>
        <v>-0.57952599270538385</v>
      </c>
      <c r="D454" s="48">
        <f>('Sheet1 (2)'!D454-'Sheet1 (2)'!D$526)/'Sheet1 (2)'!D$527</f>
        <v>1.4257032508898051</v>
      </c>
      <c r="E454" s="48">
        <f>('Sheet1 (2)'!E454-'Sheet1 (2)'!E$526)/'Sheet1 (2)'!E$527</f>
        <v>0.7983169818515653</v>
      </c>
      <c r="F454" s="48">
        <f>('Sheet1 (2)'!F454-'Sheet1 (2)'!F$526)/'Sheet1 (2)'!F$527</f>
        <v>1.2684811135846812</v>
      </c>
      <c r="G454" s="48">
        <f>('Sheet1 (2)'!G454-'Sheet1 (2)'!G$526)/'Sheet1 (2)'!G$527</f>
        <v>-0.50144115274505707</v>
      </c>
      <c r="H454" s="48">
        <f>('Sheet1 (2)'!H454-'Sheet1 (2)'!H$526)/'Sheet1 (2)'!H$527</f>
        <v>-0.37872832946797946</v>
      </c>
      <c r="I454" s="48">
        <f>('Sheet1 (2)'!I454-'Sheet1 (2)'!I$526)/'Sheet1 (2)'!I$527</f>
        <v>0.69857485454654089</v>
      </c>
      <c r="J454" s="48">
        <f>('Sheet1 (2)'!J454-'Sheet1 (2)'!J$526)/'Sheet1 (2)'!J$527</f>
        <v>0.59479846006567438</v>
      </c>
      <c r="K454" s="48">
        <f>('Sheet1 (2)'!K454-'Sheet1 (2)'!K$526)/'Sheet1 (2)'!K$527</f>
        <v>1.561499071024649</v>
      </c>
    </row>
    <row r="455" spans="1:11" ht="15.75" customHeight="1" x14ac:dyDescent="0.2">
      <c r="A455" s="49">
        <v>27</v>
      </c>
      <c r="B455" s="48">
        <f>('Sheet1 (2)'!B455-'Sheet1 (2)'!B$526)/'Sheet1 (2)'!B$527</f>
        <v>-1.2242915745870349</v>
      </c>
      <c r="C455" s="48">
        <f>('Sheet1 (2)'!C455-'Sheet1 (2)'!C$526)/'Sheet1 (2)'!C$527</f>
        <v>-0.78102470583673589</v>
      </c>
      <c r="D455" s="48">
        <f>('Sheet1 (2)'!D455-'Sheet1 (2)'!D$526)/'Sheet1 (2)'!D$527</f>
        <v>-0.4704097020702403</v>
      </c>
      <c r="E455" s="48">
        <f>('Sheet1 (2)'!E455-'Sheet1 (2)'!E$526)/'Sheet1 (2)'!E$527</f>
        <v>-0.15978967765884378</v>
      </c>
      <c r="F455" s="48">
        <f>('Sheet1 (2)'!F455-'Sheet1 (2)'!F$526)/'Sheet1 (2)'!F$527</f>
        <v>1.2684811135846812</v>
      </c>
      <c r="G455" s="48">
        <f>('Sheet1 (2)'!G455-'Sheet1 (2)'!G$526)/'Sheet1 (2)'!G$527</f>
        <v>0.38796305148306254</v>
      </c>
      <c r="H455" s="48">
        <f>('Sheet1 (2)'!H455-'Sheet1 (2)'!H$526)/'Sheet1 (2)'!H$527</f>
        <v>-1.0760525186899188</v>
      </c>
      <c r="I455" s="48">
        <f>('Sheet1 (2)'!I455-'Sheet1 (2)'!I$526)/'Sheet1 (2)'!I$527</f>
        <v>0.63781860285908643</v>
      </c>
      <c r="J455" s="48">
        <f>('Sheet1 (2)'!J455-'Sheet1 (2)'!J$526)/'Sheet1 (2)'!J$527</f>
        <v>0.92777892590298361</v>
      </c>
      <c r="K455" s="48">
        <f>('Sheet1 (2)'!K455-'Sheet1 (2)'!K$526)/'Sheet1 (2)'!K$527</f>
        <v>1.0116557311670464</v>
      </c>
    </row>
    <row r="456" spans="1:11" ht="15.75" customHeight="1" x14ac:dyDescent="0.2">
      <c r="A456" s="50">
        <v>27</v>
      </c>
      <c r="B456" s="48">
        <f>('Sheet1 (2)'!B456-'Sheet1 (2)'!B$526)/'Sheet1 (2)'!B$527</f>
        <v>-1.2242915745870349</v>
      </c>
      <c r="C456" s="48">
        <f>('Sheet1 (2)'!C456-'Sheet1 (2)'!C$526)/'Sheet1 (2)'!C$527</f>
        <v>-1.7351144800094831</v>
      </c>
      <c r="D456" s="48">
        <f>('Sheet1 (2)'!D456-'Sheet1 (2)'!D$526)/'Sheet1 (2)'!D$527</f>
        <v>-0.4704097020702403</v>
      </c>
      <c r="E456" s="48">
        <f>('Sheet1 (2)'!E456-'Sheet1 (2)'!E$526)/'Sheet1 (2)'!E$527</f>
        <v>0.4077219408041563</v>
      </c>
      <c r="F456" s="48">
        <f>('Sheet1 (2)'!F456-'Sheet1 (2)'!F$526)/'Sheet1 (2)'!F$527</f>
        <v>3.5300958634082259E-2</v>
      </c>
      <c r="G456" s="48">
        <f>('Sheet1 (2)'!G456-'Sheet1 (2)'!G$526)/'Sheet1 (2)'!G$527</f>
        <v>-5.1859873962034168E-2</v>
      </c>
      <c r="H456" s="48">
        <f>('Sheet1 (2)'!H456-'Sheet1 (2)'!H$526)/'Sheet1 (2)'!H$527</f>
        <v>-1.1471404273967774</v>
      </c>
      <c r="I456" s="48">
        <f>('Sheet1 (2)'!I456-'Sheet1 (2)'!I$526)/'Sheet1 (2)'!I$527</f>
        <v>-1.1439127245288068</v>
      </c>
      <c r="J456" s="48">
        <f>('Sheet1 (2)'!J456-'Sheet1 (2)'!J$526)/'Sheet1 (2)'!J$527</f>
        <v>0.77728031326240654</v>
      </c>
      <c r="K456" s="48">
        <f>('Sheet1 (2)'!K456-'Sheet1 (2)'!K$526)/'Sheet1 (2)'!K$527</f>
        <v>0.97233800059417097</v>
      </c>
    </row>
    <row r="457" spans="1:11" ht="15.75" customHeight="1" x14ac:dyDescent="0.2">
      <c r="A457" s="49">
        <v>27</v>
      </c>
      <c r="B457" s="48">
        <f>('Sheet1 (2)'!B457-'Sheet1 (2)'!B$526)/'Sheet1 (2)'!B$527</f>
        <v>-1.2242915745870349</v>
      </c>
      <c r="C457" s="48">
        <f>('Sheet1 (2)'!C457-'Sheet1 (2)'!C$526)/'Sheet1 (2)'!C$527</f>
        <v>-0.45917435084451563</v>
      </c>
      <c r="D457" s="48">
        <f>('Sheet1 (2)'!D457-'Sheet1 (2)'!D$526)/'Sheet1 (2)'!D$527</f>
        <v>-0.4704097020702403</v>
      </c>
      <c r="E457" s="48">
        <f>('Sheet1 (2)'!E457-'Sheet1 (2)'!E$526)/'Sheet1 (2)'!E$527</f>
        <v>-0.25169439319941067</v>
      </c>
      <c r="F457" s="48">
        <f>('Sheet1 (2)'!F457-'Sheet1 (2)'!F$526)/'Sheet1 (2)'!F$527</f>
        <v>3.5300958634082259E-2</v>
      </c>
      <c r="G457" s="48">
        <f>('Sheet1 (2)'!G457-'Sheet1 (2)'!G$526)/'Sheet1 (2)'!G$527</f>
        <v>-0.50144115274505707</v>
      </c>
      <c r="H457" s="48">
        <f>('Sheet1 (2)'!H457-'Sheet1 (2)'!H$526)/'Sheet1 (2)'!H$527</f>
        <v>-0.87724735027243261</v>
      </c>
      <c r="I457" s="48">
        <f>('Sheet1 (2)'!I457-'Sheet1 (2)'!I$526)/'Sheet1 (2)'!I$527</f>
        <v>0.29145372158730387</v>
      </c>
      <c r="J457" s="48">
        <f>('Sheet1 (2)'!J457-'Sheet1 (2)'!J$526)/'Sheet1 (2)'!J$527</f>
        <v>-0.48161716809324445</v>
      </c>
      <c r="K457" s="48">
        <f>('Sheet1 (2)'!K457-'Sheet1 (2)'!K$526)/'Sheet1 (2)'!K$527</f>
        <v>1.0866013745205745</v>
      </c>
    </row>
    <row r="458" spans="1:11" ht="15.75" customHeight="1" x14ac:dyDescent="0.2">
      <c r="A458" s="50">
        <v>27</v>
      </c>
      <c r="B458" s="48">
        <f>('Sheet1 (2)'!B458-'Sheet1 (2)'!B$526)/'Sheet1 (2)'!B$527</f>
        <v>-1.2242915745870349</v>
      </c>
      <c r="C458" s="48">
        <f>('Sheet1 (2)'!C458-'Sheet1 (2)'!C$526)/'Sheet1 (2)'!C$527</f>
        <v>-0.34130180964095153</v>
      </c>
      <c r="D458" s="48">
        <f>('Sheet1 (2)'!D458-'Sheet1 (2)'!D$526)/'Sheet1 (2)'!D$527</f>
        <v>3.3218162038498509</v>
      </c>
      <c r="E458" s="48">
        <f>('Sheet1 (2)'!E458-'Sheet1 (2)'!E$526)/'Sheet1 (2)'!E$527</f>
        <v>1.6231618038281526</v>
      </c>
      <c r="F458" s="48">
        <f>('Sheet1 (2)'!F458-'Sheet1 (2)'!F$526)/'Sheet1 (2)'!F$527</f>
        <v>-1.1978791963165167</v>
      </c>
      <c r="G458" s="48">
        <f>('Sheet1 (2)'!G458-'Sheet1 (2)'!G$526)/'Sheet1 (2)'!G$527</f>
        <v>-0.42407135128007173</v>
      </c>
      <c r="H458" s="48">
        <f>('Sheet1 (2)'!H458-'Sheet1 (2)'!H$526)/'Sheet1 (2)'!H$527</f>
        <v>-0.55644810123512611</v>
      </c>
      <c r="I458" s="48">
        <f>('Sheet1 (2)'!I458-'Sheet1 (2)'!I$526)/'Sheet1 (2)'!I$527</f>
        <v>1.1540990598674772E-2</v>
      </c>
      <c r="J458" s="48">
        <f>('Sheet1 (2)'!J458-'Sheet1 (2)'!J$526)/'Sheet1 (2)'!J$527</f>
        <v>-0.23790306914661849</v>
      </c>
      <c r="K458" s="48">
        <f>('Sheet1 (2)'!K458-'Sheet1 (2)'!K$526)/'Sheet1 (2)'!K$527</f>
        <v>4.4318581441768867E-2</v>
      </c>
    </row>
    <row r="459" spans="1:11" ht="15.75" customHeight="1" x14ac:dyDescent="0.2">
      <c r="A459" s="51">
        <v>27</v>
      </c>
      <c r="B459" s="48">
        <f>('Sheet1 (2)'!B459-'Sheet1 (2)'!B$526)/'Sheet1 (2)'!B$527</f>
        <v>-1.2242915745870349</v>
      </c>
      <c r="C459" s="48">
        <f>('Sheet1 (2)'!C459-'Sheet1 (2)'!C$526)/'Sheet1 (2)'!C$527</f>
        <v>-0.80342154015998246</v>
      </c>
      <c r="D459" s="48">
        <f>('Sheet1 (2)'!D459-'Sheet1 (2)'!D$526)/'Sheet1 (2)'!D$527</f>
        <v>3.3218162038498509</v>
      </c>
      <c r="E459" s="48">
        <f>('Sheet1 (2)'!E459-'Sheet1 (2)'!E$526)/'Sheet1 (2)'!E$527</f>
        <v>1.6139713322740956</v>
      </c>
      <c r="F459" s="48">
        <f>('Sheet1 (2)'!F459-'Sheet1 (2)'!F$526)/'Sheet1 (2)'!F$527</f>
        <v>-1.1978791963165167</v>
      </c>
      <c r="G459" s="48">
        <f>('Sheet1 (2)'!G459-'Sheet1 (2)'!G$526)/'Sheet1 (2)'!G$527</f>
        <v>0.52248892249875778</v>
      </c>
      <c r="H459" s="48">
        <f>('Sheet1 (2)'!H459-'Sheet1 (2)'!H$526)/'Sheet1 (2)'!H$527</f>
        <v>-0.78537526486738229</v>
      </c>
      <c r="I459" s="48">
        <f>('Sheet1 (2)'!I459-'Sheet1 (2)'!I$526)/'Sheet1 (2)'!I$527</f>
        <v>0.47833344217951856</v>
      </c>
      <c r="J459" s="48">
        <f>('Sheet1 (2)'!J459-'Sheet1 (2)'!J$526)/'Sheet1 (2)'!J$527</f>
        <v>-0.34300770332220826</v>
      </c>
      <c r="K459" s="48">
        <f>('Sheet1 (2)'!K459-'Sheet1 (2)'!K$526)/'Sheet1 (2)'!K$527</f>
        <v>-0.55240359102195491</v>
      </c>
    </row>
    <row r="460" spans="1:11" ht="15.75" customHeight="1" x14ac:dyDescent="0.2">
      <c r="A460" s="48">
        <v>27</v>
      </c>
      <c r="B460" s="48">
        <f>('Sheet1 (2)'!B460-'Sheet1 (2)'!B$526)/'Sheet1 (2)'!B$527</f>
        <v>1.1794716518179513E-2</v>
      </c>
      <c r="C460" s="48">
        <f>('Sheet1 (2)'!C460-'Sheet1 (2)'!C$526)/'Sheet1 (2)'!C$527</f>
        <v>-0.31480439460898968</v>
      </c>
      <c r="D460" s="48">
        <f>('Sheet1 (2)'!D460-'Sheet1 (2)'!D$526)/'Sheet1 (2)'!D$527</f>
        <v>-0.4704097020702403</v>
      </c>
      <c r="E460" s="48">
        <f>('Sheet1 (2)'!E460-'Sheet1 (2)'!E$526)/'Sheet1 (2)'!E$527</f>
        <v>0.88103122583807536</v>
      </c>
      <c r="F460" s="48">
        <f>('Sheet1 (2)'!F460-'Sheet1 (2)'!F$526)/'Sheet1 (2)'!F$527</f>
        <v>1.2684811135846812</v>
      </c>
      <c r="G460" s="48">
        <f>('Sheet1 (2)'!G460-'Sheet1 (2)'!G$526)/'Sheet1 (2)'!G$527</f>
        <v>-0.50144115274505707</v>
      </c>
      <c r="H460" s="48">
        <f>('Sheet1 (2)'!H460-'Sheet1 (2)'!H$526)/'Sheet1 (2)'!H$527</f>
        <v>0.38626270443374272</v>
      </c>
      <c r="I460" s="48">
        <f>('Sheet1 (2)'!I460-'Sheet1 (2)'!I$526)/'Sheet1 (2)'!I$527</f>
        <v>0.60959203906158688</v>
      </c>
      <c r="J460" s="48">
        <f>('Sheet1 (2)'!J460-'Sheet1 (2)'!J$526)/'Sheet1 (2)'!J$527</f>
        <v>0.2279970746674756</v>
      </c>
      <c r="K460" s="48">
        <f>('Sheet1 (2)'!K460-'Sheet1 (2)'!K$526)/'Sheet1 (2)'!K$527</f>
        <v>2.8404142061101636</v>
      </c>
    </row>
    <row r="461" spans="1:11" ht="15.75" customHeight="1" x14ac:dyDescent="0.2">
      <c r="A461" s="49">
        <v>27</v>
      </c>
      <c r="B461" s="48">
        <f>('Sheet1 (2)'!B461-'Sheet1 (2)'!B$526)/'Sheet1 (2)'!B$527</f>
        <v>1.1794716518179513E-2</v>
      </c>
      <c r="C461" s="48">
        <f>('Sheet1 (2)'!C461-'Sheet1 (2)'!C$526)/'Sheet1 (2)'!C$527</f>
        <v>1.2338121322169318</v>
      </c>
      <c r="D461" s="48">
        <f>('Sheet1 (2)'!D461-'Sheet1 (2)'!D$526)/'Sheet1 (2)'!D$527</f>
        <v>1.4257032508898051</v>
      </c>
      <c r="E461" s="48">
        <f>('Sheet1 (2)'!E461-'Sheet1 (2)'!E$526)/'Sheet1 (2)'!E$527</f>
        <v>1.8919830967843103</v>
      </c>
      <c r="F461" s="48">
        <f>('Sheet1 (2)'!F461-'Sheet1 (2)'!F$526)/'Sheet1 (2)'!F$527</f>
        <v>1.2684811135846812</v>
      </c>
      <c r="G461" s="48">
        <f>('Sheet1 (2)'!G461-'Sheet1 (2)'!G$526)/'Sheet1 (2)'!G$527</f>
        <v>-0.50144115274505707</v>
      </c>
      <c r="H461" s="48">
        <f>('Sheet1 (2)'!H461-'Sheet1 (2)'!H$526)/'Sheet1 (2)'!H$527</f>
        <v>1.7463872108161236</v>
      </c>
      <c r="I461" s="48">
        <f>('Sheet1 (2)'!I461-'Sheet1 (2)'!I$526)/'Sheet1 (2)'!I$527</f>
        <v>0.6033511779213101</v>
      </c>
      <c r="J461" s="48">
        <f>('Sheet1 (2)'!J461-'Sheet1 (2)'!J$526)/'Sheet1 (2)'!J$527</f>
        <v>-0.83945425120312078</v>
      </c>
      <c r="K461" s="48">
        <f>('Sheet1 (2)'!K461-'Sheet1 (2)'!K$526)/'Sheet1 (2)'!K$527</f>
        <v>1.7419974204395037</v>
      </c>
    </row>
    <row r="462" spans="1:11" ht="15.75" customHeight="1" x14ac:dyDescent="0.2">
      <c r="A462" s="50">
        <v>27</v>
      </c>
      <c r="B462" s="48">
        <f>('Sheet1 (2)'!B462-'Sheet1 (2)'!B$526)/'Sheet1 (2)'!B$527</f>
        <v>1.1794716518179513E-2</v>
      </c>
      <c r="C462" s="48">
        <f>('Sheet1 (2)'!C462-'Sheet1 (2)'!C$526)/'Sheet1 (2)'!C$527</f>
        <v>1.8758305253240095</v>
      </c>
      <c r="D462" s="48">
        <f>('Sheet1 (2)'!D462-'Sheet1 (2)'!D$526)/'Sheet1 (2)'!D$527</f>
        <v>-0.4704097020702403</v>
      </c>
      <c r="E462" s="48">
        <f>('Sheet1 (2)'!E462-'Sheet1 (2)'!E$526)/'Sheet1 (2)'!E$527</f>
        <v>0.71100750208802665</v>
      </c>
      <c r="F462" s="48">
        <f>('Sheet1 (2)'!F462-'Sheet1 (2)'!F$526)/'Sheet1 (2)'!F$527</f>
        <v>3.5300958634082259E-2</v>
      </c>
      <c r="G462" s="48">
        <f>('Sheet1 (2)'!G462-'Sheet1 (2)'!G$526)/'Sheet1 (2)'!G$527</f>
        <v>-0.50144115274505707</v>
      </c>
      <c r="H462" s="48">
        <f>('Sheet1 (2)'!H462-'Sheet1 (2)'!H$526)/'Sheet1 (2)'!H$527</f>
        <v>1.276363967079861</v>
      </c>
      <c r="I462" s="48">
        <f>('Sheet1 (2)'!I462-'Sheet1 (2)'!I$526)/'Sheet1 (2)'!I$527</f>
        <v>-0.34623856797133362</v>
      </c>
      <c r="J462" s="48">
        <f>('Sheet1 (2)'!J462-'Sheet1 (2)'!J$526)/'Sheet1 (2)'!J$527</f>
        <v>-0.83945425120312078</v>
      </c>
      <c r="K462" s="48">
        <f>('Sheet1 (2)'!K462-'Sheet1 (2)'!K$526)/'Sheet1 (2)'!K$527</f>
        <v>1.3390123912439214</v>
      </c>
    </row>
    <row r="463" spans="1:11" ht="15.75" customHeight="1" x14ac:dyDescent="0.2">
      <c r="A463" s="49">
        <v>27</v>
      </c>
      <c r="B463" s="48">
        <f>('Sheet1 (2)'!B463-'Sheet1 (2)'!B$526)/'Sheet1 (2)'!B$527</f>
        <v>1.1794716518179513E-2</v>
      </c>
      <c r="C463" s="48">
        <f>('Sheet1 (2)'!C463-'Sheet1 (2)'!C$526)/'Sheet1 (2)'!C$527</f>
        <v>1.9718220612502633</v>
      </c>
      <c r="D463" s="48">
        <f>('Sheet1 (2)'!D463-'Sheet1 (2)'!D$526)/'Sheet1 (2)'!D$527</f>
        <v>-0.4704097020702403</v>
      </c>
      <c r="E463" s="48">
        <f>('Sheet1 (2)'!E463-'Sheet1 (2)'!E$526)/'Sheet1 (2)'!E$527</f>
        <v>-9.7753994668961258E-2</v>
      </c>
      <c r="F463" s="48">
        <f>('Sheet1 (2)'!F463-'Sheet1 (2)'!F$526)/'Sheet1 (2)'!F$527</f>
        <v>3.5300958634082259E-2</v>
      </c>
      <c r="G463" s="48">
        <f>('Sheet1 (2)'!G463-'Sheet1 (2)'!G$526)/'Sheet1 (2)'!G$527</f>
        <v>-0.50144115274505707</v>
      </c>
      <c r="H463" s="48">
        <f>('Sheet1 (2)'!H463-'Sheet1 (2)'!H$526)/'Sheet1 (2)'!H$527</f>
        <v>1.0273225177472542</v>
      </c>
      <c r="I463" s="48">
        <f>('Sheet1 (2)'!I463-'Sheet1 (2)'!I$526)/'Sheet1 (2)'!I$527</f>
        <v>0.16059615057773363</v>
      </c>
      <c r="J463" s="48">
        <f>('Sheet1 (2)'!J463-'Sheet1 (2)'!J$526)/'Sheet1 (2)'!J$527</f>
        <v>-0.83945425120312078</v>
      </c>
      <c r="K463" s="48">
        <f>('Sheet1 (2)'!K463-'Sheet1 (2)'!K$526)/'Sheet1 (2)'!K$527</f>
        <v>1.7985196733014028</v>
      </c>
    </row>
    <row r="464" spans="1:11" ht="15.75" customHeight="1" x14ac:dyDescent="0.2">
      <c r="A464" s="50">
        <v>27</v>
      </c>
      <c r="B464" s="48">
        <f>('Sheet1 (2)'!B464-'Sheet1 (2)'!B$526)/'Sheet1 (2)'!B$527</f>
        <v>1.1794716518179513E-2</v>
      </c>
      <c r="C464" s="48">
        <f>('Sheet1 (2)'!C464-'Sheet1 (2)'!C$526)/'Sheet1 (2)'!C$527</f>
        <v>1.8273379181133522</v>
      </c>
      <c r="D464" s="48">
        <f>('Sheet1 (2)'!D464-'Sheet1 (2)'!D$526)/'Sheet1 (2)'!D$527</f>
        <v>-0.4704097020702403</v>
      </c>
      <c r="E464" s="48">
        <f>('Sheet1 (2)'!E464-'Sheet1 (2)'!E$526)/'Sheet1 (2)'!E$527</f>
        <v>-0.31602769407780751</v>
      </c>
      <c r="F464" s="48">
        <f>('Sheet1 (2)'!F464-'Sheet1 (2)'!F$526)/'Sheet1 (2)'!F$527</f>
        <v>-1.1978791963165167</v>
      </c>
      <c r="G464" s="48">
        <f>('Sheet1 (2)'!G464-'Sheet1 (2)'!G$526)/'Sheet1 (2)'!G$527</f>
        <v>-0.50144115274505707</v>
      </c>
      <c r="H464" s="48">
        <f>('Sheet1 (2)'!H464-'Sheet1 (2)'!H$526)/'Sheet1 (2)'!H$527</f>
        <v>1.3484169808174857</v>
      </c>
      <c r="I464" s="48">
        <f>('Sheet1 (2)'!I464-'Sheet1 (2)'!I$526)/'Sheet1 (2)'!I$527</f>
        <v>4.6795075209580768E-2</v>
      </c>
      <c r="J464" s="48">
        <f>('Sheet1 (2)'!J464-'Sheet1 (2)'!J$526)/'Sheet1 (2)'!J$527</f>
        <v>-0.29717936434438258</v>
      </c>
      <c r="K464" s="48">
        <f>('Sheet1 (2)'!K464-'Sheet1 (2)'!K$526)/'Sheet1 (2)'!K$527</f>
        <v>0.95327530269013405</v>
      </c>
    </row>
    <row r="465" spans="1:11" ht="15.75" customHeight="1" x14ac:dyDescent="0.2">
      <c r="A465" s="51">
        <v>27</v>
      </c>
      <c r="B465" s="48">
        <f>('Sheet1 (2)'!B465-'Sheet1 (2)'!B$526)/'Sheet1 (2)'!B$527</f>
        <v>1.1794716518179513E-2</v>
      </c>
      <c r="C465" s="48">
        <f>('Sheet1 (2)'!C465-'Sheet1 (2)'!C$526)/'Sheet1 (2)'!C$527</f>
        <v>2.1363778165174581</v>
      </c>
      <c r="D465" s="48">
        <f>('Sheet1 (2)'!D465-'Sheet1 (2)'!D$526)/'Sheet1 (2)'!D$527</f>
        <v>-0.4704097020702403</v>
      </c>
      <c r="E465" s="48">
        <f>('Sheet1 (2)'!E465-'Sheet1 (2)'!E$526)/'Sheet1 (2)'!E$527</f>
        <v>-0.77555127178064154</v>
      </c>
      <c r="F465" s="48">
        <f>('Sheet1 (2)'!F465-'Sheet1 (2)'!F$526)/'Sheet1 (2)'!F$527</f>
        <v>-1.1978791963165167</v>
      </c>
      <c r="G465" s="48">
        <f>('Sheet1 (2)'!G465-'Sheet1 (2)'!G$526)/'Sheet1 (2)'!G$527</f>
        <v>-0.50144115274505707</v>
      </c>
      <c r="H465" s="48">
        <f>('Sheet1 (2)'!H465-'Sheet1 (2)'!H$526)/'Sheet1 (2)'!H$527</f>
        <v>1.5929419788429968</v>
      </c>
      <c r="I465" s="48">
        <f>('Sheet1 (2)'!I465-'Sheet1 (2)'!I$526)/'Sheet1 (2)'!I$527</f>
        <v>-0.39499191561397234</v>
      </c>
      <c r="J465" s="48">
        <f>('Sheet1 (2)'!J465-'Sheet1 (2)'!J$526)/'Sheet1 (2)'!J$527</f>
        <v>2.9405451264476969</v>
      </c>
      <c r="K465" s="48">
        <f>('Sheet1 (2)'!K465-'Sheet1 (2)'!K$526)/'Sheet1 (2)'!K$527</f>
        <v>1.8218329166134806</v>
      </c>
    </row>
    <row r="466" spans="1:11" ht="15.75" customHeight="1" x14ac:dyDescent="0.2">
      <c r="A466" s="48">
        <v>27</v>
      </c>
      <c r="B466" s="48">
        <f>('Sheet1 (2)'!B466-'Sheet1 (2)'!B$526)/'Sheet1 (2)'!B$527</f>
        <v>1.2478810076233939</v>
      </c>
      <c r="C466" s="48">
        <f>('Sheet1 (2)'!C466-'Sheet1 (2)'!C$526)/'Sheet1 (2)'!C$527</f>
        <v>-0.5651437424274075</v>
      </c>
      <c r="D466" s="48">
        <f>('Sheet1 (2)'!D466-'Sheet1 (2)'!D$526)/'Sheet1 (2)'!D$527</f>
        <v>-0.4704097020702403</v>
      </c>
      <c r="E466" s="48">
        <f>('Sheet1 (2)'!E466-'Sheet1 (2)'!E$526)/'Sheet1 (2)'!E$527</f>
        <v>-0.63539658058127713</v>
      </c>
      <c r="F466" s="48">
        <f>('Sheet1 (2)'!F466-'Sheet1 (2)'!F$526)/'Sheet1 (2)'!F$527</f>
        <v>1.2684811135846812</v>
      </c>
      <c r="G466" s="48">
        <f>('Sheet1 (2)'!G466-'Sheet1 (2)'!G$526)/'Sheet1 (2)'!G$527</f>
        <v>-0.36940465758087354</v>
      </c>
      <c r="H466" s="48">
        <f>('Sheet1 (2)'!H466-'Sheet1 (2)'!H$526)/'Sheet1 (2)'!H$527</f>
        <v>-6.878160499233707E-2</v>
      </c>
      <c r="I466" s="48">
        <f>('Sheet1 (2)'!I466-'Sheet1 (2)'!I$526)/'Sheet1 (2)'!I$527</f>
        <v>0.65592923553683913</v>
      </c>
      <c r="J466" s="48">
        <f>('Sheet1 (2)'!J466-'Sheet1 (2)'!J$526)/'Sheet1 (2)'!J$527</f>
        <v>-0.83945425120312078</v>
      </c>
      <c r="K466" s="48">
        <f>('Sheet1 (2)'!K466-'Sheet1 (2)'!K$526)/'Sheet1 (2)'!K$527</f>
        <v>0.87737747206418237</v>
      </c>
    </row>
    <row r="467" spans="1:11" ht="15.75" customHeight="1" x14ac:dyDescent="0.2">
      <c r="A467" s="49">
        <v>27</v>
      </c>
      <c r="B467" s="48">
        <f>('Sheet1 (2)'!B467-'Sheet1 (2)'!B$526)/'Sheet1 (2)'!B$527</f>
        <v>1.2478810076233939</v>
      </c>
      <c r="C467" s="48">
        <f>('Sheet1 (2)'!C467-'Sheet1 (2)'!C$526)/'Sheet1 (2)'!C$527</f>
        <v>-0.51091816749549135</v>
      </c>
      <c r="D467" s="48">
        <f>('Sheet1 (2)'!D467-'Sheet1 (2)'!D$526)/'Sheet1 (2)'!D$527</f>
        <v>-0.4704097020702403</v>
      </c>
      <c r="E467" s="48">
        <f>('Sheet1 (2)'!E467-'Sheet1 (2)'!E$526)/'Sheet1 (2)'!E$527</f>
        <v>-0.30453960463523666</v>
      </c>
      <c r="F467" s="48">
        <f>('Sheet1 (2)'!F467-'Sheet1 (2)'!F$526)/'Sheet1 (2)'!F$527</f>
        <v>1.2684811135846812</v>
      </c>
      <c r="G467" s="48">
        <f>('Sheet1 (2)'!G467-'Sheet1 (2)'!G$526)/'Sheet1 (2)'!G$527</f>
        <v>0.90280580758931728</v>
      </c>
      <c r="H467" s="48">
        <f>('Sheet1 (2)'!H467-'Sheet1 (2)'!H$526)/'Sheet1 (2)'!H$527</f>
        <v>-0.83002466806001995</v>
      </c>
      <c r="I467" s="48">
        <f>('Sheet1 (2)'!I467-'Sheet1 (2)'!I$526)/'Sheet1 (2)'!I$527</f>
        <v>0.62238155523645766</v>
      </c>
      <c r="J467" s="48">
        <f>('Sheet1 (2)'!J467-'Sheet1 (2)'!J$526)/'Sheet1 (2)'!J$527</f>
        <v>-0.65669765255348744</v>
      </c>
      <c r="K467" s="48">
        <f>('Sheet1 (2)'!K467-'Sheet1 (2)'!K$526)/'Sheet1 (2)'!K$527</f>
        <v>0.32299747098663301</v>
      </c>
    </row>
    <row r="468" spans="1:11" ht="15.75" customHeight="1" x14ac:dyDescent="0.2">
      <c r="A468" s="50">
        <v>27</v>
      </c>
      <c r="B468" s="48">
        <f>('Sheet1 (2)'!B468-'Sheet1 (2)'!B$526)/'Sheet1 (2)'!B$527</f>
        <v>1.2478810076233939</v>
      </c>
      <c r="C468" s="48">
        <f>('Sheet1 (2)'!C468-'Sheet1 (2)'!C$526)/'Sheet1 (2)'!C$527</f>
        <v>-3.1625185887507103</v>
      </c>
      <c r="D468" s="48">
        <f>('Sheet1 (2)'!D468-'Sheet1 (2)'!D$526)/'Sheet1 (2)'!D$527</f>
        <v>-0.4704097020702403</v>
      </c>
      <c r="E468" s="48">
        <f>('Sheet1 (2)'!E468-'Sheet1 (2)'!E$526)/'Sheet1 (2)'!E$527</f>
        <v>-0.45848000316568599</v>
      </c>
      <c r="F468" s="48">
        <f>('Sheet1 (2)'!F468-'Sheet1 (2)'!F$526)/'Sheet1 (2)'!F$527</f>
        <v>3.5300958634082259E-2</v>
      </c>
      <c r="G468" s="48">
        <f>('Sheet1 (2)'!G468-'Sheet1 (2)'!G$526)/'Sheet1 (2)'!G$527</f>
        <v>3.5241185792311951</v>
      </c>
      <c r="H468" s="48">
        <f>('Sheet1 (2)'!H468-'Sheet1 (2)'!H$526)/'Sheet1 (2)'!H$527</f>
        <v>-0.57795520581847204</v>
      </c>
      <c r="I468" s="48">
        <f>('Sheet1 (2)'!I468-'Sheet1 (2)'!I$526)/'Sheet1 (2)'!I$527</f>
        <v>-4.4798881639620891</v>
      </c>
      <c r="J468" s="48">
        <f>('Sheet1 (2)'!J468-'Sheet1 (2)'!J$526)/'Sheet1 (2)'!J$527</f>
        <v>-0.83945425120312078</v>
      </c>
      <c r="K468" s="48">
        <f>('Sheet1 (2)'!K468-'Sheet1 (2)'!K$526)/'Sheet1 (2)'!K$527</f>
        <v>-1.3988495208099732</v>
      </c>
    </row>
    <row r="469" spans="1:11" ht="15.75" customHeight="1" x14ac:dyDescent="0.2">
      <c r="A469" s="49">
        <v>27</v>
      </c>
      <c r="B469" s="48">
        <f>('Sheet1 (2)'!B469-'Sheet1 (2)'!B$526)/'Sheet1 (2)'!B$527</f>
        <v>1.2478810076233939</v>
      </c>
      <c r="C469" s="48">
        <f>('Sheet1 (2)'!C469-'Sheet1 (2)'!C$526)/'Sheet1 (2)'!C$527</f>
        <v>-0.37310328072013493</v>
      </c>
      <c r="D469" s="48">
        <f>('Sheet1 (2)'!D469-'Sheet1 (2)'!D$526)/'Sheet1 (2)'!D$527</f>
        <v>-0.4704097020702403</v>
      </c>
      <c r="E469" s="48">
        <f>('Sheet1 (2)'!E469-'Sheet1 (2)'!E$526)/'Sheet1 (2)'!E$527</f>
        <v>-0.78244412544618402</v>
      </c>
      <c r="F469" s="48">
        <f>('Sheet1 (2)'!F469-'Sheet1 (2)'!F$526)/'Sheet1 (2)'!F$527</f>
        <v>3.5300958634082259E-2</v>
      </c>
      <c r="G469" s="48">
        <f>('Sheet1 (2)'!G469-'Sheet1 (2)'!G$526)/'Sheet1 (2)'!G$527</f>
        <v>1.2694012529863445</v>
      </c>
      <c r="H469" s="48">
        <f>('Sheet1 (2)'!H469-'Sheet1 (2)'!H$526)/'Sheet1 (2)'!H$527</f>
        <v>0.31855282833222409</v>
      </c>
      <c r="I469" s="48">
        <f>('Sheet1 (2)'!I469-'Sheet1 (2)'!I$526)/'Sheet1 (2)'!I$527</f>
        <v>3.242595211623734E-2</v>
      </c>
      <c r="J469" s="48">
        <f>('Sheet1 (2)'!J469-'Sheet1 (2)'!J$526)/'Sheet1 (2)'!J$527</f>
        <v>-0.83945425120312078</v>
      </c>
      <c r="K469" s="48">
        <f>('Sheet1 (2)'!K469-'Sheet1 (2)'!K$526)/'Sheet1 (2)'!K$527</f>
        <v>0.46332806821988026</v>
      </c>
    </row>
    <row r="470" spans="1:11" ht="15.75" customHeight="1" x14ac:dyDescent="0.2">
      <c r="A470" s="50">
        <v>27</v>
      </c>
      <c r="B470" s="48">
        <f>('Sheet1 (2)'!B470-'Sheet1 (2)'!B$526)/'Sheet1 (2)'!B$527</f>
        <v>1.2478810076233939</v>
      </c>
      <c r="C470" s="48">
        <f>('Sheet1 (2)'!C470-'Sheet1 (2)'!C$526)/'Sheet1 (2)'!C$527</f>
        <v>-0.29664310205564387</v>
      </c>
      <c r="D470" s="48">
        <f>('Sheet1 (2)'!D470-'Sheet1 (2)'!D$526)/'Sheet1 (2)'!D$527</f>
        <v>-0.4704097020702403</v>
      </c>
      <c r="E470" s="48">
        <f>('Sheet1 (2)'!E470-'Sheet1 (2)'!E$526)/'Sheet1 (2)'!E$527</f>
        <v>-0.51362283249002616</v>
      </c>
      <c r="F470" s="48">
        <f>('Sheet1 (2)'!F470-'Sheet1 (2)'!F$526)/'Sheet1 (2)'!F$527</f>
        <v>-1.1978791963165167</v>
      </c>
      <c r="G470" s="48">
        <f>('Sheet1 (2)'!G470-'Sheet1 (2)'!G$526)/'Sheet1 (2)'!G$527</f>
        <v>0.61776231508781587</v>
      </c>
      <c r="H470" s="48">
        <f>('Sheet1 (2)'!H470-'Sheet1 (2)'!H$526)/'Sheet1 (2)'!H$527</f>
        <v>0.17993140635385008</v>
      </c>
      <c r="I470" s="48">
        <f>('Sheet1 (2)'!I470-'Sheet1 (2)'!I$526)/'Sheet1 (2)'!I$527</f>
        <v>-0.40127604095626118</v>
      </c>
      <c r="J470" s="48">
        <f>('Sheet1 (2)'!J470-'Sheet1 (2)'!J$526)/'Sheet1 (2)'!J$527</f>
        <v>0.56174563968297941</v>
      </c>
      <c r="K470" s="48">
        <f>('Sheet1 (2)'!K470-'Sheet1 (2)'!K$526)/'Sheet1 (2)'!K$527</f>
        <v>-0.47820800899012483</v>
      </c>
    </row>
    <row r="471" spans="1:11" ht="15.75" customHeight="1" x14ac:dyDescent="0.2">
      <c r="A471" s="51">
        <v>27</v>
      </c>
      <c r="B471" s="48">
        <f>('Sheet1 (2)'!B471-'Sheet1 (2)'!B$526)/'Sheet1 (2)'!B$527</f>
        <v>1.2478810076233939</v>
      </c>
      <c r="C471" s="48">
        <f>('Sheet1 (2)'!C471-'Sheet1 (2)'!C$526)/'Sheet1 (2)'!C$527</f>
        <v>-0.44755810902771548</v>
      </c>
      <c r="D471" s="48">
        <f>('Sheet1 (2)'!D471-'Sheet1 (2)'!D$526)/'Sheet1 (2)'!D$527</f>
        <v>-0.4704097020702403</v>
      </c>
      <c r="E471" s="48">
        <f>('Sheet1 (2)'!E471-'Sheet1 (2)'!E$526)/'Sheet1 (2)'!E$527</f>
        <v>-0.36657528762511921</v>
      </c>
      <c r="F471" s="48">
        <f>('Sheet1 (2)'!F471-'Sheet1 (2)'!F$526)/'Sheet1 (2)'!F$527</f>
        <v>-1.1978791963165167</v>
      </c>
      <c r="G471" s="48">
        <f>('Sheet1 (2)'!G471-'Sheet1 (2)'!G$526)/'Sheet1 (2)'!G$527</f>
        <v>-0.50144115274505707</v>
      </c>
      <c r="H471" s="48">
        <f>('Sheet1 (2)'!H471-'Sheet1 (2)'!H$526)/'Sheet1 (2)'!H$527</f>
        <v>-0.23459027922312861</v>
      </c>
      <c r="I471" s="48">
        <f>('Sheet1 (2)'!I471-'Sheet1 (2)'!I$526)/'Sheet1 (2)'!I$527</f>
        <v>0.64867568303945933</v>
      </c>
      <c r="J471" s="48">
        <f>('Sheet1 (2)'!J471-'Sheet1 (2)'!J$526)/'Sheet1 (2)'!J$527</f>
        <v>0.58786227806606273</v>
      </c>
      <c r="K471" s="48">
        <f>('Sheet1 (2)'!K471-'Sheet1 (2)'!K$526)/'Sheet1 (2)'!K$527</f>
        <v>0.36842630025426443</v>
      </c>
    </row>
    <row r="472" spans="1:11" ht="15.75" customHeight="1" x14ac:dyDescent="0.2">
      <c r="A472" s="48">
        <v>28</v>
      </c>
      <c r="B472" s="48">
        <f>('Sheet1 (2)'!B472-'Sheet1 (2)'!B$526)/'Sheet1 (2)'!B$527</f>
        <v>-1.2242915745870349</v>
      </c>
      <c r="C472" s="48">
        <f>('Sheet1 (2)'!C472-'Sheet1 (2)'!C$526)/'Sheet1 (2)'!C$527</f>
        <v>-0.84266444282663477</v>
      </c>
      <c r="D472" s="48">
        <f>('Sheet1 (2)'!D472-'Sheet1 (2)'!D$526)/'Sheet1 (2)'!D$527</f>
        <v>-0.4704097020702403</v>
      </c>
      <c r="E472" s="48">
        <f>('Sheet1 (2)'!E472-'Sheet1 (2)'!E$526)/'Sheet1 (2)'!E$527</f>
        <v>-0.2448015395338681</v>
      </c>
      <c r="F472" s="48">
        <f>('Sheet1 (2)'!F472-'Sheet1 (2)'!F$526)/'Sheet1 (2)'!F$527</f>
        <v>1.2684811135846812</v>
      </c>
      <c r="G472" s="48">
        <f>('Sheet1 (2)'!G472-'Sheet1 (2)'!G$526)/'Sheet1 (2)'!G$527</f>
        <v>-0.50144115274505707</v>
      </c>
      <c r="H472" s="48">
        <f>('Sheet1 (2)'!H472-'Sheet1 (2)'!H$526)/'Sheet1 (2)'!H$527</f>
        <v>-0.18732269465760074</v>
      </c>
      <c r="I472" s="48">
        <f>('Sheet1 (2)'!I472-'Sheet1 (2)'!I$526)/'Sheet1 (2)'!I$527</f>
        <v>0.63031841340388051</v>
      </c>
      <c r="J472" s="48">
        <f>('Sheet1 (2)'!J472-'Sheet1 (2)'!J$526)/'Sheet1 (2)'!J$527</f>
        <v>-0.44424660265715937</v>
      </c>
      <c r="K472" s="48">
        <f>('Sheet1 (2)'!K472-'Sheet1 (2)'!K$526)/'Sheet1 (2)'!K$527</f>
        <v>6.1997095482629626E-2</v>
      </c>
    </row>
    <row r="473" spans="1:11" ht="15.75" customHeight="1" x14ac:dyDescent="0.2">
      <c r="A473" s="49">
        <v>28</v>
      </c>
      <c r="B473" s="48">
        <f>('Sheet1 (2)'!B473-'Sheet1 (2)'!B$526)/'Sheet1 (2)'!B$527</f>
        <v>-1.2242915745870349</v>
      </c>
      <c r="C473" s="48">
        <f>('Sheet1 (2)'!C473-'Sheet1 (2)'!C$526)/'Sheet1 (2)'!C$527</f>
        <v>-7.4945399300585011E-2</v>
      </c>
      <c r="D473" s="48">
        <f>('Sheet1 (2)'!D473-'Sheet1 (2)'!D$526)/'Sheet1 (2)'!D$527</f>
        <v>-0.4704097020702403</v>
      </c>
      <c r="E473" s="48">
        <f>('Sheet1 (2)'!E473-'Sheet1 (2)'!E$526)/'Sheet1 (2)'!E$527</f>
        <v>-0.34359910873997757</v>
      </c>
      <c r="F473" s="48">
        <f>('Sheet1 (2)'!F473-'Sheet1 (2)'!F$526)/'Sheet1 (2)'!F$527</f>
        <v>1.2684811135846812</v>
      </c>
      <c r="G473" s="48">
        <f>('Sheet1 (2)'!G473-'Sheet1 (2)'!G$526)/'Sheet1 (2)'!G$527</f>
        <v>-0.50144115274505707</v>
      </c>
      <c r="H473" s="48">
        <f>('Sheet1 (2)'!H473-'Sheet1 (2)'!H$526)/'Sheet1 (2)'!H$527</f>
        <v>-0.46211387013425964</v>
      </c>
      <c r="I473" s="48">
        <f>('Sheet1 (2)'!I473-'Sheet1 (2)'!I$526)/'Sheet1 (2)'!I$527</f>
        <v>0.66389237469157114</v>
      </c>
      <c r="J473" s="48">
        <f>('Sheet1 (2)'!J473-'Sheet1 (2)'!J$526)/'Sheet1 (2)'!J$527</f>
        <v>3.6963028041345742</v>
      </c>
      <c r="K473" s="48">
        <f>('Sheet1 (2)'!K473-'Sheet1 (2)'!K$526)/'Sheet1 (2)'!K$527</f>
        <v>0.82705175376892814</v>
      </c>
    </row>
    <row r="474" spans="1:11" ht="15.75" customHeight="1" x14ac:dyDescent="0.2">
      <c r="A474" s="50">
        <v>28</v>
      </c>
      <c r="B474" s="48">
        <f>('Sheet1 (2)'!B474-'Sheet1 (2)'!B$526)/'Sheet1 (2)'!B$527</f>
        <v>-1.2242915745870349</v>
      </c>
      <c r="C474" s="48">
        <f>('Sheet1 (2)'!C474-'Sheet1 (2)'!C$526)/'Sheet1 (2)'!C$527</f>
        <v>-0.20401178595025365</v>
      </c>
      <c r="D474" s="48">
        <f>('Sheet1 (2)'!D474-'Sheet1 (2)'!D$526)/'Sheet1 (2)'!D$527</f>
        <v>-0.4704097020702403</v>
      </c>
      <c r="E474" s="48">
        <f>('Sheet1 (2)'!E474-'Sheet1 (2)'!E$526)/'Sheet1 (2)'!E$527</f>
        <v>-0.48145618205082769</v>
      </c>
      <c r="F474" s="48">
        <f>('Sheet1 (2)'!F474-'Sheet1 (2)'!F$526)/'Sheet1 (2)'!F$527</f>
        <v>3.5300958634082259E-2</v>
      </c>
      <c r="G474" s="48">
        <f>('Sheet1 (2)'!G474-'Sheet1 (2)'!G$526)/'Sheet1 (2)'!G$527</f>
        <v>-3.9313419670415031E-2</v>
      </c>
      <c r="H474" s="48">
        <f>('Sheet1 (2)'!H474-'Sheet1 (2)'!H$526)/'Sheet1 (2)'!H$527</f>
        <v>-0.96419514428585118</v>
      </c>
      <c r="I474" s="48">
        <f>('Sheet1 (2)'!I474-'Sheet1 (2)'!I$526)/'Sheet1 (2)'!I$527</f>
        <v>0.3672457304373174</v>
      </c>
      <c r="J474" s="48">
        <f>('Sheet1 (2)'!J474-'Sheet1 (2)'!J$526)/'Sheet1 (2)'!J$527</f>
        <v>-0.7182167134301346</v>
      </c>
      <c r="K474" s="48">
        <f>('Sheet1 (2)'!K474-'Sheet1 (2)'!K$526)/'Sheet1 (2)'!K$527</f>
        <v>0.63473676727116568</v>
      </c>
    </row>
    <row r="475" spans="1:11" ht="15.75" customHeight="1" x14ac:dyDescent="0.2">
      <c r="A475" s="49">
        <v>28</v>
      </c>
      <c r="B475" s="48">
        <f>('Sheet1 (2)'!B475-'Sheet1 (2)'!B$526)/'Sheet1 (2)'!B$527</f>
        <v>-1.2242915745870349</v>
      </c>
      <c r="C475" s="48">
        <f>('Sheet1 (2)'!C475-'Sheet1 (2)'!C$526)/'Sheet1 (2)'!C$527</f>
        <v>-0.95993580343956664</v>
      </c>
      <c r="D475" s="48">
        <f>('Sheet1 (2)'!D475-'Sheet1 (2)'!D$526)/'Sheet1 (2)'!D$527</f>
        <v>1.4257032508898051</v>
      </c>
      <c r="E475" s="48">
        <f>('Sheet1 (2)'!E475-'Sheet1 (2)'!E$526)/'Sheet1 (2)'!E$527</f>
        <v>-0.30453960463523666</v>
      </c>
      <c r="F475" s="48">
        <f>('Sheet1 (2)'!F475-'Sheet1 (2)'!F$526)/'Sheet1 (2)'!F$527</f>
        <v>3.5300958634082259E-2</v>
      </c>
      <c r="G475" s="48">
        <f>('Sheet1 (2)'!G475-'Sheet1 (2)'!G$526)/'Sheet1 (2)'!G$527</f>
        <v>-0.50144115274505707</v>
      </c>
      <c r="H475" s="48">
        <f>('Sheet1 (2)'!H475-'Sheet1 (2)'!H$526)/'Sheet1 (2)'!H$527</f>
        <v>-0.46773227706779713</v>
      </c>
      <c r="I475" s="48">
        <f>('Sheet1 (2)'!I475-'Sheet1 (2)'!I$526)/'Sheet1 (2)'!I$527</f>
        <v>-2.5132161811353821</v>
      </c>
      <c r="J475" s="48">
        <f>('Sheet1 (2)'!J475-'Sheet1 (2)'!J$526)/'Sheet1 (2)'!J$527</f>
        <v>-0.83945425120312078</v>
      </c>
      <c r="K475" s="48">
        <f>('Sheet1 (2)'!K475-'Sheet1 (2)'!K$526)/'Sheet1 (2)'!K$527</f>
        <v>0.28959547150318155</v>
      </c>
    </row>
    <row r="476" spans="1:11" ht="15.75" customHeight="1" x14ac:dyDescent="0.2">
      <c r="A476" s="50">
        <v>28</v>
      </c>
      <c r="B476" s="48">
        <f>('Sheet1 (2)'!B476-'Sheet1 (2)'!B$526)/'Sheet1 (2)'!B$527</f>
        <v>-1.2242915745870349</v>
      </c>
      <c r="C476" s="48">
        <f>('Sheet1 (2)'!C476-'Sheet1 (2)'!C$526)/'Sheet1 (2)'!C$527</f>
        <v>0.12347848347441022</v>
      </c>
      <c r="D476" s="48">
        <f>('Sheet1 (2)'!D476-'Sheet1 (2)'!D$526)/'Sheet1 (2)'!D$527</f>
        <v>-0.4704097020702403</v>
      </c>
      <c r="E476" s="48">
        <f>('Sheet1 (2)'!E476-'Sheet1 (2)'!E$526)/'Sheet1 (2)'!E$527</f>
        <v>-0.40793240961837418</v>
      </c>
      <c r="F476" s="48">
        <f>('Sheet1 (2)'!F476-'Sheet1 (2)'!F$526)/'Sheet1 (2)'!F$527</f>
        <v>-1.1978791963165167</v>
      </c>
      <c r="G476" s="48">
        <f>('Sheet1 (2)'!G476-'Sheet1 (2)'!G$526)/'Sheet1 (2)'!G$527</f>
        <v>-0.50144115274505707</v>
      </c>
      <c r="H476" s="48">
        <f>('Sheet1 (2)'!H476-'Sheet1 (2)'!H$526)/'Sheet1 (2)'!H$527</f>
        <v>-0.15616607438980101</v>
      </c>
      <c r="I476" s="48">
        <f>('Sheet1 (2)'!I476-'Sheet1 (2)'!I$526)/'Sheet1 (2)'!I$527</f>
        <v>0.45095067501758751</v>
      </c>
      <c r="J476" s="48">
        <f>('Sheet1 (2)'!J476-'Sheet1 (2)'!J$526)/'Sheet1 (2)'!J$527</f>
        <v>-0.83945425120312078</v>
      </c>
      <c r="K476" s="48">
        <f>('Sheet1 (2)'!K476-'Sheet1 (2)'!K$526)/'Sheet1 (2)'!K$527</f>
        <v>-0.50684499257955162</v>
      </c>
    </row>
    <row r="477" spans="1:11" ht="15.75" customHeight="1" x14ac:dyDescent="0.2">
      <c r="A477" s="51">
        <v>28</v>
      </c>
      <c r="B477" s="48">
        <f>('Sheet1 (2)'!B477-'Sheet1 (2)'!B$526)/'Sheet1 (2)'!B$527</f>
        <v>-1.2242915745870349</v>
      </c>
      <c r="C477" s="48">
        <f>('Sheet1 (2)'!C477-'Sheet1 (2)'!C$526)/'Sheet1 (2)'!C$527</f>
        <v>-0.17590259308712269</v>
      </c>
      <c r="D477" s="48">
        <f>('Sheet1 (2)'!D477-'Sheet1 (2)'!D$526)/'Sheet1 (2)'!D$527</f>
        <v>-0.4704097020702403</v>
      </c>
      <c r="E477" s="48">
        <f>('Sheet1 (2)'!E477-'Sheet1 (2)'!E$526)/'Sheet1 (2)'!E$527</f>
        <v>-0.76406318233807069</v>
      </c>
      <c r="F477" s="48">
        <f>('Sheet1 (2)'!F477-'Sheet1 (2)'!F$526)/'Sheet1 (2)'!F$527</f>
        <v>-1.1978791963165167</v>
      </c>
      <c r="G477" s="48">
        <f>('Sheet1 (2)'!G477-'Sheet1 (2)'!G$526)/'Sheet1 (2)'!G$527</f>
        <v>-0.50144115274505707</v>
      </c>
      <c r="H477" s="48">
        <f>('Sheet1 (2)'!H477-'Sheet1 (2)'!H$526)/'Sheet1 (2)'!H$527</f>
        <v>-1.0408097842886372</v>
      </c>
      <c r="I477" s="48">
        <f>('Sheet1 (2)'!I477-'Sheet1 (2)'!I$526)/'Sheet1 (2)'!I$527</f>
        <v>-0.57972394478672684</v>
      </c>
      <c r="J477" s="48">
        <f>('Sheet1 (2)'!J477-'Sheet1 (2)'!J$526)/'Sheet1 (2)'!J$527</f>
        <v>-0.83945425120312078</v>
      </c>
      <c r="K477" s="48">
        <f>('Sheet1 (2)'!K477-'Sheet1 (2)'!K$526)/'Sheet1 (2)'!K$527</f>
        <v>-0.56961660417242121</v>
      </c>
    </row>
    <row r="478" spans="1:11" ht="15.75" customHeight="1" x14ac:dyDescent="0.2">
      <c r="A478" s="48">
        <v>28</v>
      </c>
      <c r="B478" s="48">
        <f>('Sheet1 (2)'!B478-'Sheet1 (2)'!B$526)/'Sheet1 (2)'!B$527</f>
        <v>1.1794716518179513E-2</v>
      </c>
      <c r="C478" s="48">
        <f>('Sheet1 (2)'!C478-'Sheet1 (2)'!C$526)/'Sheet1 (2)'!C$527</f>
        <v>-1.2626688418038288</v>
      </c>
      <c r="D478" s="48">
        <f>('Sheet1 (2)'!D478-'Sheet1 (2)'!D$526)/'Sheet1 (2)'!D$527</f>
        <v>-0.4704097020702403</v>
      </c>
      <c r="E478" s="48">
        <f>('Sheet1 (2)'!E478-'Sheet1 (2)'!E$526)/'Sheet1 (2)'!E$527</f>
        <v>-0.20803965331764154</v>
      </c>
      <c r="F478" s="48">
        <f>('Sheet1 (2)'!F478-'Sheet1 (2)'!F$526)/'Sheet1 (2)'!F$527</f>
        <v>1.2684811135846812</v>
      </c>
      <c r="G478" s="48">
        <f>('Sheet1 (2)'!G478-'Sheet1 (2)'!G$526)/'Sheet1 (2)'!G$527</f>
        <v>-0.50144115274505707</v>
      </c>
      <c r="H478" s="48">
        <f>('Sheet1 (2)'!H478-'Sheet1 (2)'!H$526)/'Sheet1 (2)'!H$527</f>
        <v>-0.19736796186500752</v>
      </c>
      <c r="I478" s="48">
        <f>('Sheet1 (2)'!I478-'Sheet1 (2)'!I$526)/'Sheet1 (2)'!I$527</f>
        <v>0.46934033473724823</v>
      </c>
      <c r="J478" s="48">
        <f>('Sheet1 (2)'!J478-'Sheet1 (2)'!J$526)/'Sheet1 (2)'!J$527</f>
        <v>-0.14511323139656301</v>
      </c>
      <c r="K478" s="48">
        <f>('Sheet1 (2)'!K478-'Sheet1 (2)'!K$526)/'Sheet1 (2)'!K$527</f>
        <v>2.3245998310709677</v>
      </c>
    </row>
    <row r="479" spans="1:11" ht="15.75" customHeight="1" x14ac:dyDescent="0.2">
      <c r="A479" s="49">
        <v>28</v>
      </c>
      <c r="B479" s="48">
        <f>('Sheet1 (2)'!B479-'Sheet1 (2)'!B$526)/'Sheet1 (2)'!B$527</f>
        <v>1.1794716518179513E-2</v>
      </c>
      <c r="C479" s="48">
        <f>('Sheet1 (2)'!C479-'Sheet1 (2)'!C$526)/'Sheet1 (2)'!C$527</f>
        <v>0.9708453717759673</v>
      </c>
      <c r="D479" s="48">
        <f>('Sheet1 (2)'!D479-'Sheet1 (2)'!D$526)/'Sheet1 (2)'!D$527</f>
        <v>-0.4704097020702403</v>
      </c>
      <c r="E479" s="48">
        <f>('Sheet1 (2)'!E479-'Sheet1 (2)'!E$526)/'Sheet1 (2)'!E$527</f>
        <v>-0.38955146651026079</v>
      </c>
      <c r="F479" s="48">
        <f>('Sheet1 (2)'!F479-'Sheet1 (2)'!F$526)/'Sheet1 (2)'!F$527</f>
        <v>1.2684811135846812</v>
      </c>
      <c r="G479" s="48">
        <f>('Sheet1 (2)'!G479-'Sheet1 (2)'!G$526)/'Sheet1 (2)'!G$527</f>
        <v>-0.50144115274505707</v>
      </c>
      <c r="H479" s="48">
        <f>('Sheet1 (2)'!H479-'Sheet1 (2)'!H$526)/'Sheet1 (2)'!H$527</f>
        <v>1.2649973411929674</v>
      </c>
      <c r="I479" s="48">
        <f>('Sheet1 (2)'!I479-'Sheet1 (2)'!I$526)/'Sheet1 (2)'!I$527</f>
        <v>0.65921681537357413</v>
      </c>
      <c r="J479" s="48">
        <f>('Sheet1 (2)'!J479-'Sheet1 (2)'!J$526)/'Sheet1 (2)'!J$527</f>
        <v>-0.83945425120312078</v>
      </c>
      <c r="K479" s="48">
        <f>('Sheet1 (2)'!K479-'Sheet1 (2)'!K$526)/'Sheet1 (2)'!K$527</f>
        <v>-5.6185751602778396E-2</v>
      </c>
    </row>
    <row r="480" spans="1:11" ht="15.75" customHeight="1" x14ac:dyDescent="0.2">
      <c r="A480" s="50">
        <v>28</v>
      </c>
      <c r="B480" s="48">
        <f>('Sheet1 (2)'!B480-'Sheet1 (2)'!B$526)/'Sheet1 (2)'!B$527</f>
        <v>1.1794716518179513E-2</v>
      </c>
      <c r="C480" s="48">
        <f>('Sheet1 (2)'!C480-'Sheet1 (2)'!C$526)/'Sheet1 (2)'!C$527</f>
        <v>1.8004110149042609</v>
      </c>
      <c r="D480" s="48">
        <f>('Sheet1 (2)'!D480-'Sheet1 (2)'!D$526)/'Sheet1 (2)'!D$527</f>
        <v>1.4257032508898051</v>
      </c>
      <c r="E480" s="48">
        <f>('Sheet1 (2)'!E480-'Sheet1 (2)'!E$526)/'Sheet1 (2)'!E$527</f>
        <v>-0.47456332838528525</v>
      </c>
      <c r="F480" s="48">
        <f>('Sheet1 (2)'!F480-'Sheet1 (2)'!F$526)/'Sheet1 (2)'!F$527</f>
        <v>3.5300958634082259E-2</v>
      </c>
      <c r="G480" s="48">
        <f>('Sheet1 (2)'!G480-'Sheet1 (2)'!G$526)/'Sheet1 (2)'!G$527</f>
        <v>-0.50144115274505707</v>
      </c>
      <c r="H480" s="48">
        <f>('Sheet1 (2)'!H480-'Sheet1 (2)'!H$526)/'Sheet1 (2)'!H$527</f>
        <v>1.3818526805999696</v>
      </c>
      <c r="I480" s="48">
        <f>('Sheet1 (2)'!I480-'Sheet1 (2)'!I$526)/'Sheet1 (2)'!I$527</f>
        <v>9.6232682736574954E-2</v>
      </c>
      <c r="J480" s="48">
        <f>('Sheet1 (2)'!J480-'Sheet1 (2)'!J$526)/'Sheet1 (2)'!J$527</f>
        <v>-0.83945425120312078</v>
      </c>
      <c r="K480" s="48">
        <f>('Sheet1 (2)'!K480-'Sheet1 (2)'!K$526)/'Sheet1 (2)'!K$527</f>
        <v>-1.0764833190347523</v>
      </c>
    </row>
    <row r="481" spans="1:11" ht="15.75" customHeight="1" x14ac:dyDescent="0.2">
      <c r="A481" s="49">
        <v>28</v>
      </c>
      <c r="B481" s="48">
        <f>('Sheet1 (2)'!B481-'Sheet1 (2)'!B$526)/'Sheet1 (2)'!B$527</f>
        <v>1.1794716518179513E-2</v>
      </c>
      <c r="C481" s="48">
        <f>('Sheet1 (2)'!C481-'Sheet1 (2)'!C$526)/'Sheet1 (2)'!C$527</f>
        <v>1.9349470048591155</v>
      </c>
      <c r="D481" s="48">
        <f>('Sheet1 (2)'!D481-'Sheet1 (2)'!D$526)/'Sheet1 (2)'!D$527</f>
        <v>-0.4704097020702403</v>
      </c>
      <c r="E481" s="48">
        <f>('Sheet1 (2)'!E481-'Sheet1 (2)'!E$526)/'Sheet1 (2)'!E$527</f>
        <v>-0.41482526328391678</v>
      </c>
      <c r="F481" s="48">
        <f>('Sheet1 (2)'!F481-'Sheet1 (2)'!F$526)/'Sheet1 (2)'!F$527</f>
        <v>3.5300958634082259E-2</v>
      </c>
      <c r="G481" s="48">
        <f>('Sheet1 (2)'!G481-'Sheet1 (2)'!G$526)/'Sheet1 (2)'!G$527</f>
        <v>-0.50144115274505707</v>
      </c>
      <c r="H481" s="48">
        <f>('Sheet1 (2)'!H481-'Sheet1 (2)'!H$526)/'Sheet1 (2)'!H$527</f>
        <v>1.4069315965324642</v>
      </c>
      <c r="I481" s="48">
        <f>('Sheet1 (2)'!I481-'Sheet1 (2)'!I$526)/'Sheet1 (2)'!I$527</f>
        <v>-0.22291123545258912</v>
      </c>
      <c r="J481" s="48">
        <f>('Sheet1 (2)'!J481-'Sheet1 (2)'!J$526)/'Sheet1 (2)'!J$527</f>
        <v>-0.83945425120312078</v>
      </c>
      <c r="K481" s="48">
        <f>('Sheet1 (2)'!K481-'Sheet1 (2)'!K$526)/'Sheet1 (2)'!K$527</f>
        <v>-1.1502864425647163</v>
      </c>
    </row>
    <row r="482" spans="1:11" ht="15.75" customHeight="1" x14ac:dyDescent="0.2">
      <c r="A482" s="50">
        <v>28</v>
      </c>
      <c r="B482" s="48">
        <f>('Sheet1 (2)'!B482-'Sheet1 (2)'!B$526)/'Sheet1 (2)'!B$527</f>
        <v>1.1794716518179513E-2</v>
      </c>
      <c r="C482" s="48">
        <f>('Sheet1 (2)'!C482-'Sheet1 (2)'!C$526)/'Sheet1 (2)'!C$527</f>
        <v>2.0431399868659335</v>
      </c>
      <c r="D482" s="48">
        <f>('Sheet1 (2)'!D482-'Sheet1 (2)'!D$526)/'Sheet1 (2)'!D$527</f>
        <v>-0.4704097020702403</v>
      </c>
      <c r="E482" s="48">
        <f>('Sheet1 (2)'!E482-'Sheet1 (2)'!E$526)/'Sheet1 (2)'!E$527</f>
        <v>-0.2448015395338681</v>
      </c>
      <c r="F482" s="48">
        <f>('Sheet1 (2)'!F482-'Sheet1 (2)'!F$526)/'Sheet1 (2)'!F$527</f>
        <v>-1.1978791963165167</v>
      </c>
      <c r="G482" s="48">
        <f>('Sheet1 (2)'!G482-'Sheet1 (2)'!G$526)/'Sheet1 (2)'!G$527</f>
        <v>-0.50144115274505707</v>
      </c>
      <c r="H482" s="48">
        <f>('Sheet1 (2)'!H482-'Sheet1 (2)'!H$526)/'Sheet1 (2)'!H$527</f>
        <v>1.1009149416722508</v>
      </c>
      <c r="I482" s="48">
        <f>('Sheet1 (2)'!I482-'Sheet1 (2)'!I$526)/'Sheet1 (2)'!I$527</f>
        <v>0.66411993626340893</v>
      </c>
      <c r="J482" s="48">
        <f>('Sheet1 (2)'!J482-'Sheet1 (2)'!J$526)/'Sheet1 (2)'!J$527</f>
        <v>-0.83945425120312078</v>
      </c>
      <c r="K482" s="48">
        <f>('Sheet1 (2)'!K482-'Sheet1 (2)'!K$526)/'Sheet1 (2)'!K$527</f>
        <v>-1.2179582952534351</v>
      </c>
    </row>
    <row r="483" spans="1:11" ht="15.75" customHeight="1" x14ac:dyDescent="0.2">
      <c r="A483" s="51">
        <v>28</v>
      </c>
      <c r="B483" s="48">
        <f>('Sheet1 (2)'!B483-'Sheet1 (2)'!B$526)/'Sheet1 (2)'!B$527</f>
        <v>1.1794716518179513E-2</v>
      </c>
      <c r="C483" s="48">
        <f>('Sheet1 (2)'!C483-'Sheet1 (2)'!C$526)/'Sheet1 (2)'!C$527</f>
        <v>1.9165108122582677</v>
      </c>
      <c r="D483" s="48">
        <f>('Sheet1 (2)'!D483-'Sheet1 (2)'!D$526)/'Sheet1 (2)'!D$527</f>
        <v>-0.4704097020702403</v>
      </c>
      <c r="E483" s="48">
        <f>('Sheet1 (2)'!E483-'Sheet1 (2)'!E$526)/'Sheet1 (2)'!E$527</f>
        <v>-0.37346814129066175</v>
      </c>
      <c r="F483" s="48">
        <f>('Sheet1 (2)'!F483-'Sheet1 (2)'!F$526)/'Sheet1 (2)'!F$527</f>
        <v>-1.1978791963165167</v>
      </c>
      <c r="G483" s="48">
        <f>('Sheet1 (2)'!G483-'Sheet1 (2)'!G$526)/'Sheet1 (2)'!G$527</f>
        <v>-0.50144115274505707</v>
      </c>
      <c r="H483" s="48">
        <f>('Sheet1 (2)'!H483-'Sheet1 (2)'!H$526)/'Sheet1 (2)'!H$527</f>
        <v>0.95974807503638093</v>
      </c>
      <c r="I483" s="48">
        <f>('Sheet1 (2)'!I483-'Sheet1 (2)'!I$526)/'Sheet1 (2)'!I$527</f>
        <v>-0.876158368698705</v>
      </c>
      <c r="J483" s="48">
        <f>('Sheet1 (2)'!J483-'Sheet1 (2)'!J$526)/'Sheet1 (2)'!J$527</f>
        <v>-0.83945425120312078</v>
      </c>
      <c r="K483" s="48">
        <f>('Sheet1 (2)'!K483-'Sheet1 (2)'!K$526)/'Sheet1 (2)'!K$527</f>
        <v>0.32103167033013036</v>
      </c>
    </row>
    <row r="484" spans="1:11" ht="15.75" customHeight="1" x14ac:dyDescent="0.2">
      <c r="A484" s="48">
        <v>28</v>
      </c>
      <c r="B484" s="48">
        <f>('Sheet1 (2)'!B484-'Sheet1 (2)'!B$526)/'Sheet1 (2)'!B$527</f>
        <v>1.2478810076233939</v>
      </c>
      <c r="C484" s="48">
        <f>('Sheet1 (2)'!C484-'Sheet1 (2)'!C$526)/'Sheet1 (2)'!C$527</f>
        <v>-1.1143780488313042</v>
      </c>
      <c r="D484" s="48">
        <f>('Sheet1 (2)'!D484-'Sheet1 (2)'!D$526)/'Sheet1 (2)'!D$527</f>
        <v>-0.4704097020702403</v>
      </c>
      <c r="E484" s="48">
        <f>('Sheet1 (2)'!E484-'Sheet1 (2)'!E$526)/'Sheet1 (2)'!E$527</f>
        <v>-0.68364655624007464</v>
      </c>
      <c r="F484" s="48">
        <f>('Sheet1 (2)'!F484-'Sheet1 (2)'!F$526)/'Sheet1 (2)'!F$527</f>
        <v>1.2684811135846812</v>
      </c>
      <c r="G484" s="48">
        <f>('Sheet1 (2)'!G484-'Sheet1 (2)'!G$526)/'Sheet1 (2)'!G$527</f>
        <v>-0.50144115274505707</v>
      </c>
      <c r="H484" s="48">
        <f>('Sheet1 (2)'!H484-'Sheet1 (2)'!H$526)/'Sheet1 (2)'!H$527</f>
        <v>-0.62316312718839195</v>
      </c>
      <c r="I484" s="48">
        <f>('Sheet1 (2)'!I484-'Sheet1 (2)'!I$526)/'Sheet1 (2)'!I$527</f>
        <v>0.63464797950286</v>
      </c>
      <c r="J484" s="48">
        <f>('Sheet1 (2)'!J484-'Sheet1 (2)'!J$526)/'Sheet1 (2)'!J$527</f>
        <v>-0.83945425120312078</v>
      </c>
      <c r="K484" s="48">
        <f>('Sheet1 (2)'!K484-'Sheet1 (2)'!K$526)/'Sheet1 (2)'!K$527</f>
        <v>-0.46857652078358303</v>
      </c>
    </row>
    <row r="485" spans="1:11" ht="15.75" customHeight="1" x14ac:dyDescent="0.2">
      <c r="A485" s="49">
        <v>28</v>
      </c>
      <c r="B485" s="48">
        <f>('Sheet1 (2)'!B485-'Sheet1 (2)'!B$526)/'Sheet1 (2)'!B$527</f>
        <v>1.2478810076233939</v>
      </c>
      <c r="C485" s="48">
        <f>('Sheet1 (2)'!C485-'Sheet1 (2)'!C$526)/'Sheet1 (2)'!C$527</f>
        <v>-0.19956145736141306</v>
      </c>
      <c r="D485" s="48">
        <f>('Sheet1 (2)'!D485-'Sheet1 (2)'!D$526)/'Sheet1 (2)'!D$527</f>
        <v>-0.4704097020702403</v>
      </c>
      <c r="E485" s="48">
        <f>('Sheet1 (2)'!E485-'Sheet1 (2)'!E$526)/'Sheet1 (2)'!E$527</f>
        <v>-0.4171228811724309</v>
      </c>
      <c r="F485" s="48">
        <f>('Sheet1 (2)'!F485-'Sheet1 (2)'!F$526)/'Sheet1 (2)'!F$527</f>
        <v>1.2684811135846812</v>
      </c>
      <c r="G485" s="48">
        <f>('Sheet1 (2)'!G485-'Sheet1 (2)'!G$526)/'Sheet1 (2)'!G$527</f>
        <v>-0.50144115274505707</v>
      </c>
      <c r="H485" s="48">
        <f>('Sheet1 (2)'!H485-'Sheet1 (2)'!H$526)/'Sheet1 (2)'!H$527</f>
        <v>-0.53323339112994894</v>
      </c>
      <c r="I485" s="48">
        <f>('Sheet1 (2)'!I485-'Sheet1 (2)'!I$526)/'Sheet1 (2)'!I$527</f>
        <v>0.54637558057641367</v>
      </c>
      <c r="J485" s="48">
        <f>('Sheet1 (2)'!J485-'Sheet1 (2)'!J$526)/'Sheet1 (2)'!J$527</f>
        <v>-0.78693349505938537</v>
      </c>
      <c r="K485" s="48">
        <f>('Sheet1 (2)'!K485-'Sheet1 (2)'!K$526)/'Sheet1 (2)'!K$527</f>
        <v>4.5618048080861652E-2</v>
      </c>
    </row>
    <row r="486" spans="1:11" ht="15.75" customHeight="1" x14ac:dyDescent="0.2">
      <c r="A486" s="50">
        <v>28</v>
      </c>
      <c r="B486" s="48">
        <f>('Sheet1 (2)'!B486-'Sheet1 (2)'!B$526)/'Sheet1 (2)'!B$527</f>
        <v>1.2478810076233939</v>
      </c>
      <c r="C486" s="48">
        <f>('Sheet1 (2)'!C486-'Sheet1 (2)'!C$526)/'Sheet1 (2)'!C$527</f>
        <v>-2.3766283880921866</v>
      </c>
      <c r="D486" s="48">
        <f>('Sheet1 (2)'!D486-'Sheet1 (2)'!D$526)/'Sheet1 (2)'!D$527</f>
        <v>-0.4704097020702403</v>
      </c>
      <c r="E486" s="48">
        <f>('Sheet1 (2)'!E486-'Sheet1 (2)'!E$526)/'Sheet1 (2)'!E$527</f>
        <v>-0.6262061090272204</v>
      </c>
      <c r="F486" s="48">
        <f>('Sheet1 (2)'!F486-'Sheet1 (2)'!F$526)/'Sheet1 (2)'!F$527</f>
        <v>3.5300958634082259E-2</v>
      </c>
      <c r="G486" s="48">
        <f>('Sheet1 (2)'!G486-'Sheet1 (2)'!G$526)/'Sheet1 (2)'!G$527</f>
        <v>6.2289384080580481</v>
      </c>
      <c r="H486" s="48">
        <f>('Sheet1 (2)'!H486-'Sheet1 (2)'!H$526)/'Sheet1 (2)'!H$527</f>
        <v>-1.8720522094774859</v>
      </c>
      <c r="I486" s="48">
        <f>('Sheet1 (2)'!I486-'Sheet1 (2)'!I$526)/'Sheet1 (2)'!I$527</f>
        <v>0.67367751125959452</v>
      </c>
      <c r="J486" s="48">
        <f>('Sheet1 (2)'!J486-'Sheet1 (2)'!J$526)/'Sheet1 (2)'!J$527</f>
        <v>-0.51458104951133909</v>
      </c>
      <c r="K486" s="48">
        <f>('Sheet1 (2)'!K486-'Sheet1 (2)'!K$526)/'Sheet1 (2)'!K$527</f>
        <v>-0.76345950008015206</v>
      </c>
    </row>
    <row r="487" spans="1:11" ht="15.75" customHeight="1" x14ac:dyDescent="0.2">
      <c r="A487" s="49">
        <v>28</v>
      </c>
      <c r="B487" s="48">
        <f>('Sheet1 (2)'!B487-'Sheet1 (2)'!B$526)/'Sheet1 (2)'!B$527</f>
        <v>1.2478810076233939</v>
      </c>
      <c r="C487" s="48">
        <f>('Sheet1 (2)'!C487-'Sheet1 (2)'!C$526)/'Sheet1 (2)'!C$527</f>
        <v>-1.1343220001337191</v>
      </c>
      <c r="D487" s="48">
        <f>('Sheet1 (2)'!D487-'Sheet1 (2)'!D$526)/'Sheet1 (2)'!D$527</f>
        <v>-0.4704097020702403</v>
      </c>
      <c r="E487" s="48">
        <f>('Sheet1 (2)'!E487-'Sheet1 (2)'!E$526)/'Sheet1 (2)'!E$527</f>
        <v>-0.59863469436505046</v>
      </c>
      <c r="F487" s="48">
        <f>('Sheet1 (2)'!F487-'Sheet1 (2)'!F$526)/'Sheet1 (2)'!F$527</f>
        <v>3.5300958634082259E-2</v>
      </c>
      <c r="G487" s="48">
        <f>('Sheet1 (2)'!G487-'Sheet1 (2)'!G$526)/'Sheet1 (2)'!G$527</f>
        <v>-0.50144115274505707</v>
      </c>
      <c r="H487" s="48">
        <f>('Sheet1 (2)'!H487-'Sheet1 (2)'!H$526)/'Sheet1 (2)'!H$527</f>
        <v>-0.6823061067583589</v>
      </c>
      <c r="I487" s="48">
        <f>('Sheet1 (2)'!I487-'Sheet1 (2)'!I$526)/'Sheet1 (2)'!I$527</f>
        <v>-1.7162429753770811</v>
      </c>
      <c r="J487" s="48">
        <f>('Sheet1 (2)'!J487-'Sheet1 (2)'!J$526)/'Sheet1 (2)'!J$527</f>
        <v>1.7645712835554577</v>
      </c>
      <c r="K487" s="48">
        <f>('Sheet1 (2)'!K487-'Sheet1 (2)'!K$526)/'Sheet1 (2)'!K$527</f>
        <v>0.19611005130807618</v>
      </c>
    </row>
    <row r="488" spans="1:11" ht="15.75" customHeight="1" x14ac:dyDescent="0.2">
      <c r="A488" s="50">
        <v>28</v>
      </c>
      <c r="B488" s="48">
        <f>('Sheet1 (2)'!B488-'Sheet1 (2)'!B$526)/'Sheet1 (2)'!B$527</f>
        <v>1.2478810076233939</v>
      </c>
      <c r="C488" s="48">
        <f>('Sheet1 (2)'!C488-'Sheet1 (2)'!C$526)/'Sheet1 (2)'!C$527</f>
        <v>8.6888549836831239E-3</v>
      </c>
      <c r="D488" s="48">
        <f>('Sheet1 (2)'!D488-'Sheet1 (2)'!D$526)/'Sheet1 (2)'!D$527</f>
        <v>-0.4704097020702403</v>
      </c>
      <c r="E488" s="48">
        <f>('Sheet1 (2)'!E488-'Sheet1 (2)'!E$526)/'Sheet1 (2)'!E$527</f>
        <v>-0.48375379993934192</v>
      </c>
      <c r="F488" s="48">
        <f>('Sheet1 (2)'!F488-'Sheet1 (2)'!F$526)/'Sheet1 (2)'!F$527</f>
        <v>-1.1978791963165167</v>
      </c>
      <c r="G488" s="48">
        <f>('Sheet1 (2)'!G488-'Sheet1 (2)'!G$526)/'Sheet1 (2)'!G$527</f>
        <v>-0.50144115274505707</v>
      </c>
      <c r="H488" s="48">
        <f>('Sheet1 (2)'!H488-'Sheet1 (2)'!H$526)/'Sheet1 (2)'!H$527</f>
        <v>-0.25007624921620425</v>
      </c>
      <c r="I488" s="48">
        <f>('Sheet1 (2)'!I488-'Sheet1 (2)'!I$526)/'Sheet1 (2)'!I$527</f>
        <v>0.18197836352054694</v>
      </c>
      <c r="J488" s="48">
        <f>('Sheet1 (2)'!J488-'Sheet1 (2)'!J$526)/'Sheet1 (2)'!J$527</f>
        <v>-0.84314437273674159</v>
      </c>
      <c r="K488" s="48">
        <f>('Sheet1 (2)'!K488-'Sheet1 (2)'!K$526)/'Sheet1 (2)'!K$527</f>
        <v>0.21530795009814269</v>
      </c>
    </row>
    <row r="489" spans="1:11" ht="15.75" customHeight="1" x14ac:dyDescent="0.2">
      <c r="A489" s="51">
        <v>28</v>
      </c>
      <c r="B489" s="48">
        <f>('Sheet1 (2)'!B489-'Sheet1 (2)'!B$526)/'Sheet1 (2)'!B$527</f>
        <v>1.2478810076233939</v>
      </c>
      <c r="C489" s="48">
        <f>('Sheet1 (2)'!C489-'Sheet1 (2)'!C$526)/'Sheet1 (2)'!C$527</f>
        <v>-1.6296831485718703E-2</v>
      </c>
      <c r="D489" s="48">
        <f>('Sheet1 (2)'!D489-'Sheet1 (2)'!D$526)/'Sheet1 (2)'!D$527</f>
        <v>-0.4704097020702403</v>
      </c>
      <c r="E489" s="48">
        <f>('Sheet1 (2)'!E489-'Sheet1 (2)'!E$526)/'Sheet1 (2)'!E$527</f>
        <v>-0.59863469436505046</v>
      </c>
      <c r="F489" s="48">
        <f>('Sheet1 (2)'!F489-'Sheet1 (2)'!F$526)/'Sheet1 (2)'!F$527</f>
        <v>-1.1978791963165167</v>
      </c>
      <c r="G489" s="48">
        <f>('Sheet1 (2)'!G489-'Sheet1 (2)'!G$526)/'Sheet1 (2)'!G$527</f>
        <v>-0.50144115274505707</v>
      </c>
      <c r="H489" s="48">
        <f>('Sheet1 (2)'!H489-'Sheet1 (2)'!H$526)/'Sheet1 (2)'!H$527</f>
        <v>-0.74793050874695233</v>
      </c>
      <c r="I489" s="48">
        <f>('Sheet1 (2)'!I489-'Sheet1 (2)'!I$526)/'Sheet1 (2)'!I$527</f>
        <v>-0.14156551188341099</v>
      </c>
      <c r="J489" s="48">
        <f>('Sheet1 (2)'!J489-'Sheet1 (2)'!J$526)/'Sheet1 (2)'!J$527</f>
        <v>-0.83742704274570601</v>
      </c>
      <c r="K489" s="48">
        <f>('Sheet1 (2)'!K489-'Sheet1 (2)'!K$526)/'Sheet1 (2)'!K$527</f>
        <v>-2.0555757050861381</v>
      </c>
    </row>
    <row r="490" spans="1:11" ht="15.75" customHeight="1" x14ac:dyDescent="0.2">
      <c r="A490" s="48">
        <v>29</v>
      </c>
      <c r="B490" s="48">
        <f>('Sheet1 (2)'!B490-'Sheet1 (2)'!B$526)/'Sheet1 (2)'!B$527</f>
        <v>-1.2242915745870349</v>
      </c>
      <c r="C490" s="48">
        <f>('Sheet1 (2)'!C490-'Sheet1 (2)'!C$526)/'Sheet1 (2)'!C$527</f>
        <v>-0.68207744919421631</v>
      </c>
      <c r="D490" s="48">
        <f>('Sheet1 (2)'!D490-'Sheet1 (2)'!D$526)/'Sheet1 (2)'!D$527</f>
        <v>-0.4704097020702403</v>
      </c>
      <c r="E490" s="48">
        <f>('Sheet1 (2)'!E490-'Sheet1 (2)'!E$526)/'Sheet1 (2)'!E$527</f>
        <v>-0.63539658058127713</v>
      </c>
      <c r="F490" s="48">
        <f>('Sheet1 (2)'!F490-'Sheet1 (2)'!F$526)/'Sheet1 (2)'!F$527</f>
        <v>1.2684811135846812</v>
      </c>
      <c r="G490" s="48">
        <f>('Sheet1 (2)'!G490-'Sheet1 (2)'!G$526)/'Sheet1 (2)'!G$527</f>
        <v>-0.50144115274505707</v>
      </c>
      <c r="H490" s="48">
        <f>('Sheet1 (2)'!H490-'Sheet1 (2)'!H$526)/'Sheet1 (2)'!H$527</f>
        <v>-0.30776090874198009</v>
      </c>
      <c r="I490" s="48">
        <f>('Sheet1 (2)'!I490-'Sheet1 (2)'!I$526)/'Sheet1 (2)'!I$527</f>
        <v>0.7185918696114254</v>
      </c>
      <c r="J490" s="48">
        <f>('Sheet1 (2)'!J490-'Sheet1 (2)'!J$526)/'Sheet1 (2)'!J$527</f>
        <v>1.5358269019183253</v>
      </c>
      <c r="K490" s="48">
        <f>('Sheet1 (2)'!K490-'Sheet1 (2)'!K$526)/'Sheet1 (2)'!K$527</f>
        <v>0.48185233613835787</v>
      </c>
    </row>
    <row r="491" spans="1:11" ht="15.75" customHeight="1" x14ac:dyDescent="0.2">
      <c r="A491" s="49">
        <v>29</v>
      </c>
      <c r="B491" s="48">
        <f>('Sheet1 (2)'!B491-'Sheet1 (2)'!B$526)/'Sheet1 (2)'!B$527</f>
        <v>-1.2242915745870349</v>
      </c>
      <c r="C491" s="48">
        <f>('Sheet1 (2)'!C491-'Sheet1 (2)'!C$526)/'Sheet1 (2)'!C$527</f>
        <v>-0.28931794024630042</v>
      </c>
      <c r="D491" s="48">
        <f>('Sheet1 (2)'!D491-'Sheet1 (2)'!D$526)/'Sheet1 (2)'!D$527</f>
        <v>-0.4704097020702403</v>
      </c>
      <c r="E491" s="48">
        <f>('Sheet1 (2)'!E491-'Sheet1 (2)'!E$526)/'Sheet1 (2)'!E$527</f>
        <v>0.65816229065220067</v>
      </c>
      <c r="F491" s="48">
        <f>('Sheet1 (2)'!F491-'Sheet1 (2)'!F$526)/'Sheet1 (2)'!F$527</f>
        <v>1.2684811135846812</v>
      </c>
      <c r="G491" s="48">
        <f>('Sheet1 (2)'!G491-'Sheet1 (2)'!G$526)/'Sheet1 (2)'!G$527</f>
        <v>-0.50144115274505707</v>
      </c>
      <c r="H491" s="48">
        <f>('Sheet1 (2)'!H491-'Sheet1 (2)'!H$526)/'Sheet1 (2)'!H$527</f>
        <v>-0.4847577526239718</v>
      </c>
      <c r="I491" s="48">
        <f>('Sheet1 (2)'!I491-'Sheet1 (2)'!I$526)/'Sheet1 (2)'!I$527</f>
        <v>0.62374159632971649</v>
      </c>
      <c r="J491" s="48">
        <f>('Sheet1 (2)'!J491-'Sheet1 (2)'!J$526)/'Sheet1 (2)'!J$527</f>
        <v>-0.38359662133452332</v>
      </c>
      <c r="K491" s="48">
        <f>('Sheet1 (2)'!K491-'Sheet1 (2)'!K$526)/'Sheet1 (2)'!K$527</f>
        <v>0.49781533475094558</v>
      </c>
    </row>
    <row r="492" spans="1:11" ht="15.75" customHeight="1" x14ac:dyDescent="0.2">
      <c r="A492" s="50">
        <v>29</v>
      </c>
      <c r="B492" s="48">
        <f>('Sheet1 (2)'!B492-'Sheet1 (2)'!B$526)/'Sheet1 (2)'!B$527</f>
        <v>-1.2242915745870349</v>
      </c>
      <c r="C492" s="48">
        <f>('Sheet1 (2)'!C492-'Sheet1 (2)'!C$526)/'Sheet1 (2)'!C$527</f>
        <v>-1.8018297883181564</v>
      </c>
      <c r="D492" s="48">
        <f>('Sheet1 (2)'!D492-'Sheet1 (2)'!D$526)/'Sheet1 (2)'!D$527</f>
        <v>-0.4704097020702403</v>
      </c>
      <c r="E492" s="48">
        <f>('Sheet1 (2)'!E492-'Sheet1 (2)'!E$526)/'Sheet1 (2)'!E$527</f>
        <v>-0.56876566181436616</v>
      </c>
      <c r="F492" s="48">
        <f>('Sheet1 (2)'!F492-'Sheet1 (2)'!F$526)/'Sheet1 (2)'!F$527</f>
        <v>3.5300958634082259E-2</v>
      </c>
      <c r="G492" s="48">
        <f>('Sheet1 (2)'!G492-'Sheet1 (2)'!G$526)/'Sheet1 (2)'!G$527</f>
        <v>7.9989907373985076</v>
      </c>
      <c r="H492" s="48">
        <f>('Sheet1 (2)'!H492-'Sheet1 (2)'!H$526)/'Sheet1 (2)'!H$527</f>
        <v>-1.480952378366865</v>
      </c>
      <c r="I492" s="48">
        <f>('Sheet1 (2)'!I492-'Sheet1 (2)'!I$526)/'Sheet1 (2)'!I$527</f>
        <v>0.51831322565599536</v>
      </c>
      <c r="J492" s="48">
        <f>('Sheet1 (2)'!J492-'Sheet1 (2)'!J$526)/'Sheet1 (2)'!J$527</f>
        <v>-0.61950076202994087</v>
      </c>
      <c r="K492" s="48">
        <f>('Sheet1 (2)'!K492-'Sheet1 (2)'!K$526)/'Sheet1 (2)'!K$527</f>
        <v>0.53894168093017381</v>
      </c>
    </row>
    <row r="493" spans="1:11" ht="15.75" customHeight="1" x14ac:dyDescent="0.2">
      <c r="A493" s="49">
        <v>29</v>
      </c>
      <c r="B493" s="48">
        <f>('Sheet1 (2)'!B493-'Sheet1 (2)'!B$526)/'Sheet1 (2)'!B$527</f>
        <v>-1.2242915745870349</v>
      </c>
      <c r="C493" s="48">
        <f>('Sheet1 (2)'!C493-'Sheet1 (2)'!C$526)/'Sheet1 (2)'!C$527</f>
        <v>-1.4058789933528202</v>
      </c>
      <c r="D493" s="48">
        <f>('Sheet1 (2)'!D493-'Sheet1 (2)'!D$526)/'Sheet1 (2)'!D$527</f>
        <v>-0.4704097020702403</v>
      </c>
      <c r="E493" s="48">
        <f>('Sheet1 (2)'!E493-'Sheet1 (2)'!E$526)/'Sheet1 (2)'!E$527</f>
        <v>-0.58025375125693712</v>
      </c>
      <c r="F493" s="48">
        <f>('Sheet1 (2)'!F493-'Sheet1 (2)'!F$526)/'Sheet1 (2)'!F$527</f>
        <v>3.5300958634082259E-2</v>
      </c>
      <c r="G493" s="48">
        <f>('Sheet1 (2)'!G493-'Sheet1 (2)'!G$526)/'Sheet1 (2)'!G$527</f>
        <v>1.0072699758221566</v>
      </c>
      <c r="H493" s="48">
        <f>('Sheet1 (2)'!H493-'Sheet1 (2)'!H$526)/'Sheet1 (2)'!H$527</f>
        <v>-0.77531451846564936</v>
      </c>
      <c r="I493" s="48">
        <f>('Sheet1 (2)'!I493-'Sheet1 (2)'!I$526)/'Sheet1 (2)'!I$527</f>
        <v>-1.4604961931430771</v>
      </c>
      <c r="J493" s="48">
        <f>('Sheet1 (2)'!J493-'Sheet1 (2)'!J$526)/'Sheet1 (2)'!J$527</f>
        <v>1.7994113698174901</v>
      </c>
      <c r="K493" s="48">
        <f>('Sheet1 (2)'!K493-'Sheet1 (2)'!K$526)/'Sheet1 (2)'!K$527</f>
        <v>1.501282454431883</v>
      </c>
    </row>
    <row r="494" spans="1:11" ht="15.75" customHeight="1" x14ac:dyDescent="0.2">
      <c r="A494" s="50">
        <v>29</v>
      </c>
      <c r="B494" s="48">
        <f>('Sheet1 (2)'!B494-'Sheet1 (2)'!B$526)/'Sheet1 (2)'!B$527</f>
        <v>-1.2242915745870349</v>
      </c>
      <c r="C494" s="48">
        <f>('Sheet1 (2)'!C494-'Sheet1 (2)'!C$526)/'Sheet1 (2)'!C$527</f>
        <v>1.142002148100944E-2</v>
      </c>
      <c r="D494" s="48">
        <f>('Sheet1 (2)'!D494-'Sheet1 (2)'!D$526)/'Sheet1 (2)'!D$527</f>
        <v>-0.4704097020702403</v>
      </c>
      <c r="E494" s="48">
        <f>('Sheet1 (2)'!E494-'Sheet1 (2)'!E$526)/'Sheet1 (2)'!E$527</f>
        <v>-0.94787261341920437</v>
      </c>
      <c r="F494" s="48">
        <f>('Sheet1 (2)'!F494-'Sheet1 (2)'!F$526)/'Sheet1 (2)'!F$527</f>
        <v>-1.1978791963165167</v>
      </c>
      <c r="G494" s="48">
        <f>('Sheet1 (2)'!G494-'Sheet1 (2)'!G$526)/'Sheet1 (2)'!G$527</f>
        <v>-0.403578809270427</v>
      </c>
      <c r="H494" s="48">
        <f>('Sheet1 (2)'!H494-'Sheet1 (2)'!H$526)/'Sheet1 (2)'!H$527</f>
        <v>-0.33243082282287773</v>
      </c>
      <c r="I494" s="48">
        <f>('Sheet1 (2)'!I494-'Sheet1 (2)'!I$526)/'Sheet1 (2)'!I$527</f>
        <v>0.26408628500130327</v>
      </c>
      <c r="J494" s="48">
        <f>('Sheet1 (2)'!J494-'Sheet1 (2)'!J$526)/'Sheet1 (2)'!J$527</f>
        <v>-0.83945425120312078</v>
      </c>
      <c r="K494" s="48">
        <f>('Sheet1 (2)'!K494-'Sheet1 (2)'!K$526)/'Sheet1 (2)'!K$527</f>
        <v>0.40620502251614454</v>
      </c>
    </row>
    <row r="495" spans="1:11" ht="15.75" customHeight="1" x14ac:dyDescent="0.2">
      <c r="A495" s="51">
        <v>29</v>
      </c>
      <c r="B495" s="48">
        <f>('Sheet1 (2)'!B495-'Sheet1 (2)'!B$526)/'Sheet1 (2)'!B$527</f>
        <v>-1.2242915745870349</v>
      </c>
      <c r="C495" s="48">
        <f>('Sheet1 (2)'!C495-'Sheet1 (2)'!C$526)/'Sheet1 (2)'!C$527</f>
        <v>-0.67569487715937593</v>
      </c>
      <c r="D495" s="48">
        <f>('Sheet1 (2)'!D495-'Sheet1 (2)'!D$526)/'Sheet1 (2)'!D$527</f>
        <v>-0.4704097020702403</v>
      </c>
      <c r="E495" s="48">
        <f>('Sheet1 (2)'!E495-'Sheet1 (2)'!E$526)/'Sheet1 (2)'!E$527</f>
        <v>-0.30453960463523666</v>
      </c>
      <c r="F495" s="48">
        <f>('Sheet1 (2)'!F495-'Sheet1 (2)'!F$526)/'Sheet1 (2)'!F$527</f>
        <v>-1.1978791963165167</v>
      </c>
      <c r="G495" s="48">
        <f>('Sheet1 (2)'!G495-'Sheet1 (2)'!G$526)/'Sheet1 (2)'!G$527</f>
        <v>-0.50144115274505707</v>
      </c>
      <c r="H495" s="48">
        <f>('Sheet1 (2)'!H495-'Sheet1 (2)'!H$526)/'Sheet1 (2)'!H$527</f>
        <v>-1.2041011203479084</v>
      </c>
      <c r="I495" s="48">
        <f>('Sheet1 (2)'!I495-'Sheet1 (2)'!I$526)/'Sheet1 (2)'!I$527</f>
        <v>-5.925089194786811E-2</v>
      </c>
      <c r="J495" s="48">
        <f>('Sheet1 (2)'!J495-'Sheet1 (2)'!J$526)/'Sheet1 (2)'!J$527</f>
        <v>-0.49761729554466566</v>
      </c>
      <c r="K495" s="48">
        <f>('Sheet1 (2)'!K495-'Sheet1 (2)'!K$526)/'Sheet1 (2)'!K$527</f>
        <v>-0.47923026998501961</v>
      </c>
    </row>
    <row r="496" spans="1:11" ht="15.75" customHeight="1" x14ac:dyDescent="0.2">
      <c r="A496" s="48">
        <v>29</v>
      </c>
      <c r="B496" s="48">
        <f>('Sheet1 (2)'!B496-'Sheet1 (2)'!B$526)/'Sheet1 (2)'!B$527</f>
        <v>1.1794716518179513E-2</v>
      </c>
      <c r="C496" s="48">
        <f>('Sheet1 (2)'!C496-'Sheet1 (2)'!C$526)/'Sheet1 (2)'!C$527</f>
        <v>-0.42299325284678546</v>
      </c>
      <c r="D496" s="48">
        <f>('Sheet1 (2)'!D496-'Sheet1 (2)'!D$526)/'Sheet1 (2)'!D$527</f>
        <v>-0.4704097020702403</v>
      </c>
      <c r="E496" s="48">
        <f>('Sheet1 (2)'!E496-'Sheet1 (2)'!E$526)/'Sheet1 (2)'!E$527</f>
        <v>-0.25169439319941067</v>
      </c>
      <c r="F496" s="48">
        <f>('Sheet1 (2)'!F496-'Sheet1 (2)'!F$526)/'Sheet1 (2)'!F$527</f>
        <v>1.2684811135846812</v>
      </c>
      <c r="G496" s="48">
        <f>('Sheet1 (2)'!G496-'Sheet1 (2)'!G$526)/'Sheet1 (2)'!G$527</f>
        <v>-0.43458175816471767</v>
      </c>
      <c r="H496" s="48">
        <f>('Sheet1 (2)'!H496-'Sheet1 (2)'!H$526)/'Sheet1 (2)'!H$527</f>
        <v>0.70063788116739156</v>
      </c>
      <c r="I496" s="48">
        <f>('Sheet1 (2)'!I496-'Sheet1 (2)'!I$526)/'Sheet1 (2)'!I$527</f>
        <v>0.53247302970881116</v>
      </c>
      <c r="J496" s="48">
        <f>('Sheet1 (2)'!J496-'Sheet1 (2)'!J$526)/'Sheet1 (2)'!J$527</f>
        <v>-0.14684862481527075</v>
      </c>
      <c r="K496" s="48">
        <f>('Sheet1 (2)'!K496-'Sheet1 (2)'!K$526)/'Sheet1 (2)'!K$527</f>
        <v>3.2231523228259222</v>
      </c>
    </row>
    <row r="497" spans="1:11" ht="15.75" customHeight="1" x14ac:dyDescent="0.2">
      <c r="A497" s="49">
        <v>29</v>
      </c>
      <c r="B497" s="48">
        <f>('Sheet1 (2)'!B497-'Sheet1 (2)'!B$526)/'Sheet1 (2)'!B$527</f>
        <v>1.1794716518179513E-2</v>
      </c>
      <c r="C497" s="48">
        <f>('Sheet1 (2)'!C497-'Sheet1 (2)'!C$526)/'Sheet1 (2)'!C$527</f>
        <v>1.6460365486854336</v>
      </c>
      <c r="D497" s="48">
        <f>('Sheet1 (2)'!D497-'Sheet1 (2)'!D$526)/'Sheet1 (2)'!D$527</f>
        <v>-0.4704097020702403</v>
      </c>
      <c r="E497" s="48">
        <f>('Sheet1 (2)'!E497-'Sheet1 (2)'!E$526)/'Sheet1 (2)'!E$527</f>
        <v>-8.6265905226390452E-2</v>
      </c>
      <c r="F497" s="48">
        <f>('Sheet1 (2)'!F497-'Sheet1 (2)'!F$526)/'Sheet1 (2)'!F$527</f>
        <v>1.2684811135846812</v>
      </c>
      <c r="G497" s="48">
        <f>('Sheet1 (2)'!G497-'Sheet1 (2)'!G$526)/'Sheet1 (2)'!G$527</f>
        <v>-0.50144115274505707</v>
      </c>
      <c r="H497" s="48">
        <f>('Sheet1 (2)'!H497-'Sheet1 (2)'!H$526)/'Sheet1 (2)'!H$527</f>
        <v>3.0615919392602686</v>
      </c>
      <c r="I497" s="48">
        <f>('Sheet1 (2)'!I497-'Sheet1 (2)'!I$526)/'Sheet1 (2)'!I$527</f>
        <v>0.68898889989237622</v>
      </c>
      <c r="J497" s="48">
        <f>('Sheet1 (2)'!J497-'Sheet1 (2)'!J$526)/'Sheet1 (2)'!J$527</f>
        <v>-0.83945425120312078</v>
      </c>
      <c r="K497" s="48">
        <f>('Sheet1 (2)'!K497-'Sheet1 (2)'!K$526)/'Sheet1 (2)'!K$527</f>
        <v>1.1526376519625092</v>
      </c>
    </row>
    <row r="498" spans="1:11" ht="15.75" customHeight="1" x14ac:dyDescent="0.2">
      <c r="A498" s="50">
        <v>29</v>
      </c>
      <c r="B498" s="48">
        <f>('Sheet1 (2)'!B498-'Sheet1 (2)'!B$526)/'Sheet1 (2)'!B$527</f>
        <v>1.1794716518179513E-2</v>
      </c>
      <c r="C498" s="48">
        <f>('Sheet1 (2)'!C498-'Sheet1 (2)'!C$526)/'Sheet1 (2)'!C$527</f>
        <v>1.8153410097761011</v>
      </c>
      <c r="D498" s="48">
        <f>('Sheet1 (2)'!D498-'Sheet1 (2)'!D$526)/'Sheet1 (2)'!D$527</f>
        <v>-0.4704097020702403</v>
      </c>
      <c r="E498" s="48">
        <f>('Sheet1 (2)'!E498-'Sheet1 (2)'!E$526)/'Sheet1 (2)'!E$527</f>
        <v>-0.76636080022658493</v>
      </c>
      <c r="F498" s="48">
        <f>('Sheet1 (2)'!F498-'Sheet1 (2)'!F$526)/'Sheet1 (2)'!F$527</f>
        <v>3.5300958634082259E-2</v>
      </c>
      <c r="G498" s="48">
        <f>('Sheet1 (2)'!G498-'Sheet1 (2)'!G$526)/'Sheet1 (2)'!G$527</f>
        <v>0.29933078958672815</v>
      </c>
      <c r="H498" s="48">
        <f>('Sheet1 (2)'!H498-'Sheet1 (2)'!H$526)/'Sheet1 (2)'!H$527</f>
        <v>0.16834259151822958</v>
      </c>
      <c r="I498" s="48">
        <f>('Sheet1 (2)'!I498-'Sheet1 (2)'!I$526)/'Sheet1 (2)'!I$527</f>
        <v>-0.58694948728447494</v>
      </c>
      <c r="J498" s="48">
        <f>('Sheet1 (2)'!J498-'Sheet1 (2)'!J$526)/'Sheet1 (2)'!J$527</f>
        <v>-0.83945425120312078</v>
      </c>
      <c r="K498" s="48">
        <f>('Sheet1 (2)'!K498-'Sheet1 (2)'!K$526)/'Sheet1 (2)'!K$527</f>
        <v>-0.47846078856967861</v>
      </c>
    </row>
    <row r="499" spans="1:11" ht="15.75" customHeight="1" x14ac:dyDescent="0.2">
      <c r="A499" s="49">
        <v>29</v>
      </c>
      <c r="B499" s="48">
        <f>('Sheet1 (2)'!B499-'Sheet1 (2)'!B$526)/'Sheet1 (2)'!B$527</f>
        <v>1.1794716518179513E-2</v>
      </c>
      <c r="C499" s="48">
        <f>('Sheet1 (2)'!C499-'Sheet1 (2)'!C$526)/'Sheet1 (2)'!C$527</f>
        <v>1.2210862997738303</v>
      </c>
      <c r="D499" s="48">
        <f>('Sheet1 (2)'!D499-'Sheet1 (2)'!D$526)/'Sheet1 (2)'!D$527</f>
        <v>-0.4704097020702403</v>
      </c>
      <c r="E499" s="48">
        <f>('Sheet1 (2)'!E499-'Sheet1 (2)'!E$526)/'Sheet1 (2)'!E$527</f>
        <v>-0.29764675096969412</v>
      </c>
      <c r="F499" s="48">
        <f>('Sheet1 (2)'!F499-'Sheet1 (2)'!F$526)/'Sheet1 (2)'!F$527</f>
        <v>3.5300958634082259E-2</v>
      </c>
      <c r="G499" s="48">
        <f>('Sheet1 (2)'!G499-'Sheet1 (2)'!G$526)/'Sheet1 (2)'!G$527</f>
        <v>-0.50144115274505707</v>
      </c>
      <c r="H499" s="48">
        <f>('Sheet1 (2)'!H499-'Sheet1 (2)'!H$526)/'Sheet1 (2)'!H$527</f>
        <v>1.4473383620189899</v>
      </c>
      <c r="I499" s="48">
        <f>('Sheet1 (2)'!I499-'Sheet1 (2)'!I$526)/'Sheet1 (2)'!I$527</f>
        <v>0.62469947802337911</v>
      </c>
      <c r="J499" s="48">
        <f>('Sheet1 (2)'!J499-'Sheet1 (2)'!J$526)/'Sheet1 (2)'!J$527</f>
        <v>-0.83945425120312078</v>
      </c>
      <c r="K499" s="48">
        <f>('Sheet1 (2)'!K499-'Sheet1 (2)'!K$526)/'Sheet1 (2)'!K$527</f>
        <v>1.6512167200347077</v>
      </c>
    </row>
    <row r="500" spans="1:11" ht="15.75" customHeight="1" x14ac:dyDescent="0.2">
      <c r="A500" s="50">
        <v>29</v>
      </c>
      <c r="B500" s="48">
        <f>('Sheet1 (2)'!B500-'Sheet1 (2)'!B$526)/'Sheet1 (2)'!B$527</f>
        <v>1.1794716518179513E-2</v>
      </c>
      <c r="C500" s="48">
        <f>('Sheet1 (2)'!C500-'Sheet1 (2)'!C$526)/'Sheet1 (2)'!C$527</f>
        <v>1.8916453525667447</v>
      </c>
      <c r="D500" s="48">
        <f>('Sheet1 (2)'!D500-'Sheet1 (2)'!D$526)/'Sheet1 (2)'!D$527</f>
        <v>-0.4704097020702403</v>
      </c>
      <c r="E500" s="48">
        <f>('Sheet1 (2)'!E500-'Sheet1 (2)'!E$526)/'Sheet1 (2)'!E$527</f>
        <v>-0.92030119875703431</v>
      </c>
      <c r="F500" s="48">
        <f>('Sheet1 (2)'!F500-'Sheet1 (2)'!F$526)/'Sheet1 (2)'!F$527</f>
        <v>-1.1978791963165167</v>
      </c>
      <c r="G500" s="48">
        <f>('Sheet1 (2)'!G500-'Sheet1 (2)'!G$526)/'Sheet1 (2)'!G$527</f>
        <v>-0.50144115274505707</v>
      </c>
      <c r="H500" s="48">
        <f>('Sheet1 (2)'!H500-'Sheet1 (2)'!H$526)/'Sheet1 (2)'!H$527</f>
        <v>1.2993521702651667</v>
      </c>
      <c r="I500" s="48">
        <f>('Sheet1 (2)'!I500-'Sheet1 (2)'!I$526)/'Sheet1 (2)'!I$527</f>
        <v>0.51645599155248545</v>
      </c>
      <c r="J500" s="48">
        <f>('Sheet1 (2)'!J500-'Sheet1 (2)'!J$526)/'Sheet1 (2)'!J$527</f>
        <v>-0.83945425120312078</v>
      </c>
      <c r="K500" s="48">
        <f>('Sheet1 (2)'!K500-'Sheet1 (2)'!K$526)/'Sheet1 (2)'!K$527</f>
        <v>0.36211090399359341</v>
      </c>
    </row>
    <row r="501" spans="1:11" ht="15.75" customHeight="1" x14ac:dyDescent="0.2">
      <c r="A501" s="51">
        <v>29</v>
      </c>
      <c r="B501" s="48">
        <f>('Sheet1 (2)'!B501-'Sheet1 (2)'!B$526)/'Sheet1 (2)'!B$527</f>
        <v>1.1794716518179513E-2</v>
      </c>
      <c r="C501" s="48">
        <f>('Sheet1 (2)'!C501-'Sheet1 (2)'!C$526)/'Sheet1 (2)'!C$527</f>
        <v>0.38373636875812778</v>
      </c>
      <c r="D501" s="48">
        <f>('Sheet1 (2)'!D501-'Sheet1 (2)'!D$526)/'Sheet1 (2)'!D$527</f>
        <v>1.4257032508898051</v>
      </c>
      <c r="E501" s="48">
        <f>('Sheet1 (2)'!E501-'Sheet1 (2)'!E$526)/'Sheet1 (2)'!E$527</f>
        <v>-0.59863469436505046</v>
      </c>
      <c r="F501" s="48">
        <f>('Sheet1 (2)'!F501-'Sheet1 (2)'!F$526)/'Sheet1 (2)'!F$527</f>
        <v>-1.1978791963165167</v>
      </c>
      <c r="G501" s="48">
        <f>('Sheet1 (2)'!G501-'Sheet1 (2)'!G$526)/'Sheet1 (2)'!G$527</f>
        <v>-0.18579877635590067</v>
      </c>
      <c r="H501" s="48">
        <f>('Sheet1 (2)'!H501-'Sheet1 (2)'!H$526)/'Sheet1 (2)'!H$527</f>
        <v>-1.8526451163717799</v>
      </c>
      <c r="I501" s="48">
        <f>('Sheet1 (2)'!I501-'Sheet1 (2)'!I$526)/'Sheet1 (2)'!I$527</f>
        <v>-0.72759107366250997</v>
      </c>
      <c r="J501" s="48">
        <f>('Sheet1 (2)'!J501-'Sheet1 (2)'!J$526)/'Sheet1 (2)'!J$527</f>
        <v>-0.37222780140800171</v>
      </c>
      <c r="K501" s="48">
        <f>('Sheet1 (2)'!K501-'Sheet1 (2)'!K$526)/'Sheet1 (2)'!K$527</f>
        <v>0.55594254028500989</v>
      </c>
    </row>
    <row r="502" spans="1:11" ht="15.75" customHeight="1" x14ac:dyDescent="0.2">
      <c r="A502" s="48">
        <v>29</v>
      </c>
      <c r="B502" s="48">
        <f>('Sheet1 (2)'!B502-'Sheet1 (2)'!B$526)/'Sheet1 (2)'!B$527</f>
        <v>1.2478810076233939</v>
      </c>
      <c r="C502" s="48">
        <f>('Sheet1 (2)'!C502-'Sheet1 (2)'!C$526)/'Sheet1 (2)'!C$527</f>
        <v>-0.93132372186944257</v>
      </c>
      <c r="D502" s="48">
        <f>('Sheet1 (2)'!D502-'Sheet1 (2)'!D$526)/'Sheet1 (2)'!D$527</f>
        <v>-0.4704097020702403</v>
      </c>
      <c r="E502" s="48">
        <f>('Sheet1 (2)'!E502-'Sheet1 (2)'!E$526)/'Sheet1 (2)'!E$527</f>
        <v>-0.16438491343587222</v>
      </c>
      <c r="F502" s="48">
        <f>('Sheet1 (2)'!F502-'Sheet1 (2)'!F$526)/'Sheet1 (2)'!F$527</f>
        <v>1.2684811135846812</v>
      </c>
      <c r="G502" s="48">
        <f>('Sheet1 (2)'!G502-'Sheet1 (2)'!G$526)/'Sheet1 (2)'!G$527</f>
        <v>-0.50144115274505707</v>
      </c>
      <c r="H502" s="48">
        <f>('Sheet1 (2)'!H502-'Sheet1 (2)'!H$526)/'Sheet1 (2)'!H$527</f>
        <v>1.2003961759220751E-3</v>
      </c>
      <c r="I502" s="48">
        <f>('Sheet1 (2)'!I502-'Sheet1 (2)'!I$526)/'Sheet1 (2)'!I$527</f>
        <v>0.81449995263233566</v>
      </c>
      <c r="J502" s="48">
        <f>('Sheet1 (2)'!J502-'Sheet1 (2)'!J$526)/'Sheet1 (2)'!J$527</f>
        <v>0.84487711866267357</v>
      </c>
      <c r="K502" s="48">
        <f>('Sheet1 (2)'!K502-'Sheet1 (2)'!K$526)/'Sheet1 (2)'!K$527</f>
        <v>0.41603445515936377</v>
      </c>
    </row>
    <row r="503" spans="1:11" ht="15.75" customHeight="1" x14ac:dyDescent="0.2">
      <c r="A503" s="49">
        <v>29</v>
      </c>
      <c r="B503" s="48">
        <f>('Sheet1 (2)'!B503-'Sheet1 (2)'!B$526)/'Sheet1 (2)'!B$527</f>
        <v>1.2478810076233939</v>
      </c>
      <c r="C503" s="48">
        <f>('Sheet1 (2)'!C503-'Sheet1 (2)'!C$526)/'Sheet1 (2)'!C$527</f>
        <v>-0.29623151703856992</v>
      </c>
      <c r="D503" s="48">
        <f>('Sheet1 (2)'!D503-'Sheet1 (2)'!D$526)/'Sheet1 (2)'!D$527</f>
        <v>-0.4704097020702403</v>
      </c>
      <c r="E503" s="48">
        <f>('Sheet1 (2)'!E503-'Sheet1 (2)'!E$526)/'Sheet1 (2)'!E$527</f>
        <v>-0.7571703286725282</v>
      </c>
      <c r="F503" s="48">
        <f>('Sheet1 (2)'!F503-'Sheet1 (2)'!F$526)/'Sheet1 (2)'!F$527</f>
        <v>1.2684811135846812</v>
      </c>
      <c r="G503" s="48">
        <f>('Sheet1 (2)'!G503-'Sheet1 (2)'!G$526)/'Sheet1 (2)'!G$527</f>
        <v>1.5591048570818766</v>
      </c>
      <c r="H503" s="48">
        <f>('Sheet1 (2)'!H503-'Sheet1 (2)'!H$526)/'Sheet1 (2)'!H$527</f>
        <v>-0.8132983544314748</v>
      </c>
      <c r="I503" s="48">
        <f>('Sheet1 (2)'!I503-'Sheet1 (2)'!I$526)/'Sheet1 (2)'!I$527</f>
        <v>0.59729635284968607</v>
      </c>
      <c r="J503" s="48">
        <f>('Sheet1 (2)'!J503-'Sheet1 (2)'!J$526)/'Sheet1 (2)'!J$527</f>
        <v>1.6575590302672747</v>
      </c>
      <c r="K503" s="48">
        <f>('Sheet1 (2)'!K503-'Sheet1 (2)'!K$526)/'Sheet1 (2)'!K$527</f>
        <v>1.5500364403422493</v>
      </c>
    </row>
    <row r="504" spans="1:11" ht="15.75" customHeight="1" x14ac:dyDescent="0.2">
      <c r="A504" s="50">
        <v>29</v>
      </c>
      <c r="B504" s="48">
        <f>('Sheet1 (2)'!B504-'Sheet1 (2)'!B$526)/'Sheet1 (2)'!B$527</f>
        <v>1.2478810076233939</v>
      </c>
      <c r="C504" s="48">
        <f>('Sheet1 (2)'!C504-'Sheet1 (2)'!C$526)/'Sheet1 (2)'!C$527</f>
        <v>-0.86057390978307513</v>
      </c>
      <c r="D504" s="48">
        <f>('Sheet1 (2)'!D504-'Sheet1 (2)'!D$526)/'Sheet1 (2)'!D$527</f>
        <v>-0.4704097020702403</v>
      </c>
      <c r="E504" s="48">
        <f>('Sheet1 (2)'!E504-'Sheet1 (2)'!E$526)/'Sheet1 (2)'!E$527</f>
        <v>-5.1801636898677811E-2</v>
      </c>
      <c r="F504" s="48">
        <f>('Sheet1 (2)'!F504-'Sheet1 (2)'!F$526)/'Sheet1 (2)'!F$527</f>
        <v>3.5300958634082259E-2</v>
      </c>
      <c r="G504" s="48">
        <f>('Sheet1 (2)'!G504-'Sheet1 (2)'!G$526)/'Sheet1 (2)'!G$527</f>
        <v>0.45362282894253664</v>
      </c>
      <c r="H504" s="48">
        <f>('Sheet1 (2)'!H504-'Sheet1 (2)'!H$526)/'Sheet1 (2)'!H$527</f>
        <v>-7.5158861693522094E-2</v>
      </c>
      <c r="I504" s="48">
        <f>('Sheet1 (2)'!I504-'Sheet1 (2)'!I$526)/'Sheet1 (2)'!I$527</f>
        <v>-1.5193809352919454</v>
      </c>
      <c r="J504" s="48">
        <f>('Sheet1 (2)'!J504-'Sheet1 (2)'!J$526)/'Sheet1 (2)'!J$527</f>
        <v>-0.6244444744832508</v>
      </c>
      <c r="K504" s="48">
        <f>('Sheet1 (2)'!K504-'Sheet1 (2)'!K$526)/'Sheet1 (2)'!K$527</f>
        <v>-0.72402246053174468</v>
      </c>
    </row>
    <row r="505" spans="1:11" ht="15.75" customHeight="1" x14ac:dyDescent="0.2">
      <c r="A505" s="49">
        <v>29</v>
      </c>
      <c r="B505" s="48">
        <f>('Sheet1 (2)'!B505-'Sheet1 (2)'!B$526)/'Sheet1 (2)'!B$527</f>
        <v>1.2478810076233939</v>
      </c>
      <c r="C505" s="48">
        <f>('Sheet1 (2)'!C505-'Sheet1 (2)'!C$526)/'Sheet1 (2)'!C$527</f>
        <v>-0.70620924955658726</v>
      </c>
      <c r="D505" s="48">
        <f>('Sheet1 (2)'!D505-'Sheet1 (2)'!D$526)/'Sheet1 (2)'!D$527</f>
        <v>-0.4704097020702403</v>
      </c>
      <c r="E505" s="48">
        <f>('Sheet1 (2)'!E505-'Sheet1 (2)'!E$526)/'Sheet1 (2)'!E$527</f>
        <v>-0.28386104363860898</v>
      </c>
      <c r="F505" s="48">
        <f>('Sheet1 (2)'!F505-'Sheet1 (2)'!F$526)/'Sheet1 (2)'!F$527</f>
        <v>3.5300958634082259E-2</v>
      </c>
      <c r="G505" s="48">
        <f>('Sheet1 (2)'!G505-'Sheet1 (2)'!G$526)/'Sheet1 (2)'!G$527</f>
        <v>0.95562040565499085</v>
      </c>
      <c r="H505" s="48">
        <f>('Sheet1 (2)'!H505-'Sheet1 (2)'!H$526)/'Sheet1 (2)'!H$527</f>
        <v>-2.7776963220687304E-2</v>
      </c>
      <c r="I505" s="48">
        <f>('Sheet1 (2)'!I505-'Sheet1 (2)'!I$526)/'Sheet1 (2)'!I$527</f>
        <v>0.26514409474050449</v>
      </c>
      <c r="J505" s="48">
        <f>('Sheet1 (2)'!J505-'Sheet1 (2)'!J$526)/'Sheet1 (2)'!J$527</f>
        <v>0.349578442188548</v>
      </c>
      <c r="K505" s="48">
        <f>('Sheet1 (2)'!K505-'Sheet1 (2)'!K$526)/'Sheet1 (2)'!K$527</f>
        <v>-0.87272211755836115</v>
      </c>
    </row>
    <row r="506" spans="1:11" ht="15.75" customHeight="1" x14ac:dyDescent="0.2">
      <c r="A506" s="50">
        <v>29</v>
      </c>
      <c r="B506" s="48">
        <f>('Sheet1 (2)'!B506-'Sheet1 (2)'!B$526)/'Sheet1 (2)'!B$527</f>
        <v>1.2478810076233939</v>
      </c>
      <c r="C506" s="48">
        <f>('Sheet1 (2)'!C506-'Sheet1 (2)'!C$526)/'Sheet1 (2)'!C$527</f>
        <v>-0.48369196882957338</v>
      </c>
      <c r="D506" s="48">
        <f>('Sheet1 (2)'!D506-'Sheet1 (2)'!D$526)/'Sheet1 (2)'!D$527</f>
        <v>-0.4704097020702403</v>
      </c>
      <c r="E506" s="48">
        <f>('Sheet1 (2)'!E506-'Sheet1 (2)'!E$526)/'Sheet1 (2)'!E$527</f>
        <v>-1.0420749468482855</v>
      </c>
      <c r="F506" s="48">
        <f>('Sheet1 (2)'!F506-'Sheet1 (2)'!F$526)/'Sheet1 (2)'!F$527</f>
        <v>-1.1978791963165167</v>
      </c>
      <c r="G506" s="48">
        <f>('Sheet1 (2)'!G506-'Sheet1 (2)'!G$526)/'Sheet1 (2)'!G$527</f>
        <v>0.38385060257636511</v>
      </c>
      <c r="H506" s="48">
        <f>('Sheet1 (2)'!H506-'Sheet1 (2)'!H$526)/'Sheet1 (2)'!H$527</f>
        <v>-0.31520104156002859</v>
      </c>
      <c r="I506" s="48">
        <f>('Sheet1 (2)'!I506-'Sheet1 (2)'!I$526)/'Sheet1 (2)'!I$527</f>
        <v>-0.24613061254008275</v>
      </c>
      <c r="J506" s="48">
        <f>('Sheet1 (2)'!J506-'Sheet1 (2)'!J$526)/'Sheet1 (2)'!J$527</f>
        <v>0.48332255005022967</v>
      </c>
      <c r="K506" s="48">
        <f>('Sheet1 (2)'!K506-'Sheet1 (2)'!K$526)/'Sheet1 (2)'!K$527</f>
        <v>0.10039171412031643</v>
      </c>
    </row>
    <row r="507" spans="1:11" ht="15.75" customHeight="1" x14ac:dyDescent="0.2">
      <c r="A507" s="51">
        <v>29</v>
      </c>
      <c r="B507" s="48">
        <f>('Sheet1 (2)'!B507-'Sheet1 (2)'!B$526)/'Sheet1 (2)'!B$527</f>
        <v>1.2478810076233939</v>
      </c>
      <c r="C507" s="48">
        <f>('Sheet1 (2)'!C507-'Sheet1 (2)'!C$526)/'Sheet1 (2)'!C$527</f>
        <v>-0.44962880226142471</v>
      </c>
      <c r="D507" s="48">
        <f>('Sheet1 (2)'!D507-'Sheet1 (2)'!D$526)/'Sheet1 (2)'!D$527</f>
        <v>-0.4704097020702403</v>
      </c>
      <c r="E507" s="48">
        <f>('Sheet1 (2)'!E507-'Sheet1 (2)'!E$526)/'Sheet1 (2)'!E$527</f>
        <v>6.0781639638516592E-2</v>
      </c>
      <c r="F507" s="48">
        <f>('Sheet1 (2)'!F507-'Sheet1 (2)'!F$526)/'Sheet1 (2)'!F$527</f>
        <v>-1.1978791963165167</v>
      </c>
      <c r="G507" s="48">
        <f>('Sheet1 (2)'!G507-'Sheet1 (2)'!G$526)/'Sheet1 (2)'!G$527</f>
        <v>0.18812591562710482</v>
      </c>
      <c r="H507" s="48">
        <f>('Sheet1 (2)'!H507-'Sheet1 (2)'!H$526)/'Sheet1 (2)'!H$527</f>
        <v>-0.71461869810788681</v>
      </c>
      <c r="I507" s="48">
        <f>('Sheet1 (2)'!I507-'Sheet1 (2)'!I$526)/'Sheet1 (2)'!I$527</f>
        <v>0.63678791644653143</v>
      </c>
      <c r="J507" s="48">
        <f>('Sheet1 (2)'!J507-'Sheet1 (2)'!J$526)/'Sheet1 (2)'!J$527</f>
        <v>0.81310969166187097</v>
      </c>
      <c r="K507" s="48">
        <f>('Sheet1 (2)'!K507-'Sheet1 (2)'!K$526)/'Sheet1 (2)'!K$527</f>
        <v>-0.36756791515805209</v>
      </c>
    </row>
    <row r="508" spans="1:11" ht="15.75" customHeight="1" x14ac:dyDescent="0.2">
      <c r="A508" s="48">
        <v>30</v>
      </c>
      <c r="B508" s="48">
        <f>('Sheet1 (2)'!B508-'Sheet1 (2)'!B$526)/'Sheet1 (2)'!B$527</f>
        <v>-1.2242915745870349</v>
      </c>
      <c r="C508" s="48">
        <f>('Sheet1 (2)'!C508-'Sheet1 (2)'!C$526)/'Sheet1 (2)'!C$527</f>
        <v>-0.27579407712655457</v>
      </c>
      <c r="D508" s="48">
        <f>('Sheet1 (2)'!D508-'Sheet1 (2)'!D$526)/'Sheet1 (2)'!D$527</f>
        <v>1.4257032508898051</v>
      </c>
      <c r="E508" s="48">
        <f>('Sheet1 (2)'!E508-'Sheet1 (2)'!E$526)/'Sheet1 (2)'!E$527</f>
        <v>1.4462452264125614</v>
      </c>
      <c r="F508" s="48">
        <f>('Sheet1 (2)'!F508-'Sheet1 (2)'!F$526)/'Sheet1 (2)'!F$527</f>
        <v>1.2684811135846812</v>
      </c>
      <c r="G508" s="48">
        <f>('Sheet1 (2)'!G508-'Sheet1 (2)'!G$526)/'Sheet1 (2)'!G$527</f>
        <v>-0.50144115274505707</v>
      </c>
      <c r="H508" s="48">
        <f>('Sheet1 (2)'!H508-'Sheet1 (2)'!H$526)/'Sheet1 (2)'!H$527</f>
        <v>0.3494426654785851</v>
      </c>
      <c r="I508" s="48">
        <f>('Sheet1 (2)'!I508-'Sheet1 (2)'!I$526)/'Sheet1 (2)'!I$527</f>
        <v>0.70711022640051224</v>
      </c>
      <c r="J508" s="48">
        <f>('Sheet1 (2)'!J508-'Sheet1 (2)'!J$526)/'Sheet1 (2)'!J$527</f>
        <v>0.45835939722200608</v>
      </c>
      <c r="K508" s="48">
        <f>('Sheet1 (2)'!K508-'Sheet1 (2)'!K$526)/'Sheet1 (2)'!K$527</f>
        <v>-0.37188795080474685</v>
      </c>
    </row>
    <row r="509" spans="1:11" ht="15.75" customHeight="1" x14ac:dyDescent="0.2">
      <c r="A509" s="49">
        <v>30</v>
      </c>
      <c r="B509" s="48">
        <f>('Sheet1 (2)'!B509-'Sheet1 (2)'!B$526)/'Sheet1 (2)'!B$527</f>
        <v>-1.2242915745870349</v>
      </c>
      <c r="C509" s="48">
        <f>('Sheet1 (2)'!C509-'Sheet1 (2)'!C$526)/'Sheet1 (2)'!C$527</f>
        <v>-0.15441052983813322</v>
      </c>
      <c r="D509" s="48">
        <f>('Sheet1 (2)'!D509-'Sheet1 (2)'!D$526)/'Sheet1 (2)'!D$527</f>
        <v>-0.4704097020702403</v>
      </c>
      <c r="E509" s="48">
        <f>('Sheet1 (2)'!E509-'Sheet1 (2)'!E$526)/'Sheet1 (2)'!E$527</f>
        <v>0.90400740472321695</v>
      </c>
      <c r="F509" s="48">
        <f>('Sheet1 (2)'!F509-'Sheet1 (2)'!F$526)/'Sheet1 (2)'!F$527</f>
        <v>1.2684811135846812</v>
      </c>
      <c r="G509" s="48">
        <f>('Sheet1 (2)'!G509-'Sheet1 (2)'!G$526)/'Sheet1 (2)'!G$527</f>
        <v>-0.2406448033812425</v>
      </c>
      <c r="H509" s="48">
        <f>('Sheet1 (2)'!H509-'Sheet1 (2)'!H$526)/'Sheet1 (2)'!H$527</f>
        <v>-1.3635010711503717</v>
      </c>
      <c r="I509" s="48">
        <f>('Sheet1 (2)'!I509-'Sheet1 (2)'!I$526)/'Sheet1 (2)'!I$527</f>
        <v>0.63141071693892525</v>
      </c>
      <c r="J509" s="48">
        <f>('Sheet1 (2)'!J509-'Sheet1 (2)'!J$526)/'Sheet1 (2)'!J$527</f>
        <v>1.4031213641436329</v>
      </c>
      <c r="K509" s="48">
        <f>('Sheet1 (2)'!K509-'Sheet1 (2)'!K$526)/'Sheet1 (2)'!K$527</f>
        <v>-0.96482390142532282</v>
      </c>
    </row>
    <row r="510" spans="1:11" ht="15.75" customHeight="1" x14ac:dyDescent="0.2">
      <c r="A510" s="50">
        <v>30</v>
      </c>
      <c r="B510" s="48">
        <f>('Sheet1 (2)'!B510-'Sheet1 (2)'!B$526)/'Sheet1 (2)'!B$527</f>
        <v>-1.2242915745870349</v>
      </c>
      <c r="C510" s="48">
        <f>('Sheet1 (2)'!C510-'Sheet1 (2)'!C$526)/'Sheet1 (2)'!C$527</f>
        <v>-6.3443105923116278E-2</v>
      </c>
      <c r="D510" s="48">
        <f>('Sheet1 (2)'!D510-'Sheet1 (2)'!D$526)/'Sheet1 (2)'!D$527</f>
        <v>-0.4704097020702403</v>
      </c>
      <c r="E510" s="48">
        <f>('Sheet1 (2)'!E510-'Sheet1 (2)'!E$526)/'Sheet1 (2)'!E$527</f>
        <v>-0.40563479172986006</v>
      </c>
      <c r="F510" s="48">
        <f>('Sheet1 (2)'!F510-'Sheet1 (2)'!F$526)/'Sheet1 (2)'!F$527</f>
        <v>3.5300958634082259E-2</v>
      </c>
      <c r="G510" s="48">
        <f>('Sheet1 (2)'!G510-'Sheet1 (2)'!G$526)/'Sheet1 (2)'!G$527</f>
        <v>0.49502177169713996</v>
      </c>
      <c r="H510" s="48">
        <f>('Sheet1 (2)'!H510-'Sheet1 (2)'!H$526)/'Sheet1 (2)'!H$527</f>
        <v>0.55061994101923484</v>
      </c>
      <c r="I510" s="48">
        <f>('Sheet1 (2)'!I510-'Sheet1 (2)'!I$526)/'Sheet1 (2)'!I$527</f>
        <v>-1.1708326262251447</v>
      </c>
      <c r="J510" s="48">
        <f>('Sheet1 (2)'!J510-'Sheet1 (2)'!J$526)/'Sheet1 (2)'!J$527</f>
        <v>0.80755941401793474</v>
      </c>
      <c r="K510" s="48">
        <f>('Sheet1 (2)'!K510-'Sheet1 (2)'!K$526)/'Sheet1 (2)'!K$527</f>
        <v>0.33708445216902894</v>
      </c>
    </row>
    <row r="511" spans="1:11" ht="15.75" customHeight="1" x14ac:dyDescent="0.2">
      <c r="A511" s="49">
        <v>30</v>
      </c>
      <c r="B511" s="48">
        <f>('Sheet1 (2)'!B511-'Sheet1 (2)'!B$526)/'Sheet1 (2)'!B$527</f>
        <v>-1.2242915745870349</v>
      </c>
      <c r="C511" s="48">
        <f>('Sheet1 (2)'!C511-'Sheet1 (2)'!C$526)/'Sheet1 (2)'!C$527</f>
        <v>0.81075797816005923</v>
      </c>
      <c r="D511" s="48">
        <f>('Sheet1 (2)'!D511-'Sheet1 (2)'!D$526)/'Sheet1 (2)'!D$527</f>
        <v>-0.4704097020702403</v>
      </c>
      <c r="E511" s="48">
        <f>('Sheet1 (2)'!E511-'Sheet1 (2)'!E$526)/'Sheet1 (2)'!E$527</f>
        <v>7.6864964858115642E-2</v>
      </c>
      <c r="F511" s="48">
        <f>('Sheet1 (2)'!F511-'Sheet1 (2)'!F$526)/'Sheet1 (2)'!F$527</f>
        <v>3.5300958634082259E-2</v>
      </c>
      <c r="G511" s="48">
        <f>('Sheet1 (2)'!G511-'Sheet1 (2)'!G$526)/'Sheet1 (2)'!G$527</f>
        <v>-0.50144115274505707</v>
      </c>
      <c r="H511" s="48">
        <f>('Sheet1 (2)'!H511-'Sheet1 (2)'!H$526)/'Sheet1 (2)'!H$527</f>
        <v>1.2224345655436655</v>
      </c>
      <c r="I511" s="48">
        <f>('Sheet1 (2)'!I511-'Sheet1 (2)'!I$526)/'Sheet1 (2)'!I$527</f>
        <v>-0.46110840432982958</v>
      </c>
      <c r="J511" s="48">
        <f>('Sheet1 (2)'!J511-'Sheet1 (2)'!J$526)/'Sheet1 (2)'!J$527</f>
        <v>2.0589281831788278E-2</v>
      </c>
      <c r="K511" s="48">
        <f>('Sheet1 (2)'!K511-'Sheet1 (2)'!K$526)/'Sheet1 (2)'!K$527</f>
        <v>-0.45578215841462072</v>
      </c>
    </row>
    <row r="512" spans="1:11" ht="15.75" customHeight="1" x14ac:dyDescent="0.2">
      <c r="A512" s="50">
        <v>30</v>
      </c>
      <c r="B512" s="48">
        <f>('Sheet1 (2)'!B512-'Sheet1 (2)'!B$526)/'Sheet1 (2)'!B$527</f>
        <v>-1.2242915745870349</v>
      </c>
      <c r="C512" s="48">
        <f>('Sheet1 (2)'!C512-'Sheet1 (2)'!C$526)/'Sheet1 (2)'!C$527</f>
        <v>-0.37635803194548012</v>
      </c>
      <c r="D512" s="48">
        <f>('Sheet1 (2)'!D512-'Sheet1 (2)'!D$526)/'Sheet1 (2)'!D$527</f>
        <v>-0.4704097020702403</v>
      </c>
      <c r="E512" s="48">
        <f>('Sheet1 (2)'!E512-'Sheet1 (2)'!E$526)/'Sheet1 (2)'!E$527</f>
        <v>-0.60322993014207882</v>
      </c>
      <c r="F512" s="48">
        <f>('Sheet1 (2)'!F512-'Sheet1 (2)'!F$526)/'Sheet1 (2)'!F$527</f>
        <v>-1.1978791963165167</v>
      </c>
      <c r="G512" s="48">
        <f>('Sheet1 (2)'!G512-'Sheet1 (2)'!G$526)/'Sheet1 (2)'!G$527</f>
        <v>-9.7928885814073635E-2</v>
      </c>
      <c r="H512" s="48">
        <f>('Sheet1 (2)'!H512-'Sheet1 (2)'!H$526)/'Sheet1 (2)'!H$527</f>
        <v>-1.370109083850612</v>
      </c>
      <c r="I512" s="48">
        <f>('Sheet1 (2)'!I512-'Sheet1 (2)'!I$526)/'Sheet1 (2)'!I$527</f>
        <v>0.64165824878743694</v>
      </c>
      <c r="J512" s="48">
        <f>('Sheet1 (2)'!J512-'Sheet1 (2)'!J$526)/'Sheet1 (2)'!J$527</f>
        <v>0.1518751150944338</v>
      </c>
      <c r="K512" s="48">
        <f>('Sheet1 (2)'!K512-'Sheet1 (2)'!K$526)/'Sheet1 (2)'!K$527</f>
        <v>-1.0423044042354963</v>
      </c>
    </row>
    <row r="513" spans="1:11" ht="15.75" customHeight="1" x14ac:dyDescent="0.2">
      <c r="A513" s="51">
        <v>30</v>
      </c>
      <c r="B513" s="48">
        <f>('Sheet1 (2)'!B513-'Sheet1 (2)'!B$526)/'Sheet1 (2)'!B$527</f>
        <v>-1.2242915745870349</v>
      </c>
      <c r="C513" s="48">
        <f>('Sheet1 (2)'!C513-'Sheet1 (2)'!C$526)/'Sheet1 (2)'!C$527</f>
        <v>-0.76748936727145178</v>
      </c>
      <c r="D513" s="48">
        <f>('Sheet1 (2)'!D513-'Sheet1 (2)'!D$526)/'Sheet1 (2)'!D$527</f>
        <v>-0.4704097020702403</v>
      </c>
      <c r="E513" s="48">
        <f>('Sheet1 (2)'!E513-'Sheet1 (2)'!E$526)/'Sheet1 (2)'!E$527</f>
        <v>-0.17817062076695714</v>
      </c>
      <c r="F513" s="48">
        <f>('Sheet1 (2)'!F513-'Sheet1 (2)'!F$526)/'Sheet1 (2)'!F$527</f>
        <v>-1.1978791963165167</v>
      </c>
      <c r="G513" s="48">
        <f>('Sheet1 (2)'!G513-'Sheet1 (2)'!G$526)/'Sheet1 (2)'!G$527</f>
        <v>-6.1829388066079434E-3</v>
      </c>
      <c r="H513" s="48">
        <f>('Sheet1 (2)'!H513-'Sheet1 (2)'!H$526)/'Sheet1 (2)'!H$527</f>
        <v>6.4196783918213152E-2</v>
      </c>
      <c r="I513" s="48">
        <f>('Sheet1 (2)'!I513-'Sheet1 (2)'!I$526)/'Sheet1 (2)'!I$527</f>
        <v>-1.6319715594081741</v>
      </c>
      <c r="J513" s="48">
        <f>('Sheet1 (2)'!J513-'Sheet1 (2)'!J$526)/'Sheet1 (2)'!J$527</f>
        <v>-0.75235751667642714</v>
      </c>
      <c r="K513" s="48">
        <f>('Sheet1 (2)'!K513-'Sheet1 (2)'!K$526)/'Sheet1 (2)'!K$527</f>
        <v>-3.1371830462033887E-2</v>
      </c>
    </row>
    <row r="514" spans="1:11" ht="15.75" customHeight="1" x14ac:dyDescent="0.2">
      <c r="A514" s="48">
        <v>30</v>
      </c>
      <c r="B514" s="48">
        <f>('Sheet1 (2)'!B514-'Sheet1 (2)'!B$526)/'Sheet1 (2)'!B$527</f>
        <v>1.1794716518179513E-2</v>
      </c>
      <c r="C514" s="48">
        <f>('Sheet1 (2)'!C514-'Sheet1 (2)'!C$526)/'Sheet1 (2)'!C$527</f>
        <v>0.37954187038120468</v>
      </c>
      <c r="D514" s="48">
        <f>('Sheet1 (2)'!D514-'Sheet1 (2)'!D$526)/'Sheet1 (2)'!D$527</f>
        <v>-0.4704097020702403</v>
      </c>
      <c r="E514" s="48">
        <f>('Sheet1 (2)'!E514-'Sheet1 (2)'!E$526)/'Sheet1 (2)'!E$527</f>
        <v>0.74087653463871106</v>
      </c>
      <c r="F514" s="48">
        <f>('Sheet1 (2)'!F514-'Sheet1 (2)'!F$526)/'Sheet1 (2)'!F$527</f>
        <v>1.2684811135846812</v>
      </c>
      <c r="G514" s="48">
        <f>('Sheet1 (2)'!G514-'Sheet1 (2)'!G$526)/'Sheet1 (2)'!G$527</f>
        <v>-0.50144115274505707</v>
      </c>
      <c r="H514" s="48">
        <f>('Sheet1 (2)'!H514-'Sheet1 (2)'!H$526)/'Sheet1 (2)'!H$527</f>
        <v>2.7411381105929609</v>
      </c>
      <c r="I514" s="48">
        <f>('Sheet1 (2)'!I514-'Sheet1 (2)'!I$526)/'Sheet1 (2)'!I$527</f>
        <v>0.70154512324784468</v>
      </c>
      <c r="J514" s="48">
        <f>('Sheet1 (2)'!J514-'Sheet1 (2)'!J$526)/'Sheet1 (2)'!J$527</f>
        <v>-0.2828441785509424</v>
      </c>
      <c r="K514" s="48">
        <f>('Sheet1 (2)'!K514-'Sheet1 (2)'!K$526)/'Sheet1 (2)'!K$527</f>
        <v>1.8033707637963807</v>
      </c>
    </row>
    <row r="515" spans="1:11" ht="15.75" customHeight="1" x14ac:dyDescent="0.2">
      <c r="A515" s="49">
        <v>30</v>
      </c>
      <c r="B515" s="48">
        <f>('Sheet1 (2)'!B515-'Sheet1 (2)'!B$526)/'Sheet1 (2)'!B$527</f>
        <v>1.1794716518179513E-2</v>
      </c>
      <c r="C515" s="48">
        <f>('Sheet1 (2)'!C515-'Sheet1 (2)'!C$526)/'Sheet1 (2)'!C$527</f>
        <v>2.4354543081127535</v>
      </c>
      <c r="D515" s="48">
        <f>('Sheet1 (2)'!D515-'Sheet1 (2)'!D$526)/'Sheet1 (2)'!D$527</f>
        <v>-0.4704097020702403</v>
      </c>
      <c r="E515" s="48">
        <f>('Sheet1 (2)'!E515-'Sheet1 (2)'!E$526)/'Sheet1 (2)'!E$527</f>
        <v>2.8248159595210631</v>
      </c>
      <c r="F515" s="48">
        <f>('Sheet1 (2)'!F515-'Sheet1 (2)'!F$526)/'Sheet1 (2)'!F$527</f>
        <v>1.2684811135846812</v>
      </c>
      <c r="G515" s="48">
        <f>('Sheet1 (2)'!G515-'Sheet1 (2)'!G$526)/'Sheet1 (2)'!G$527</f>
        <v>-0.50144115274505707</v>
      </c>
      <c r="H515" s="48">
        <f>('Sheet1 (2)'!H515-'Sheet1 (2)'!H$526)/'Sheet1 (2)'!H$527</f>
        <v>1.5508630227014755</v>
      </c>
      <c r="I515" s="48">
        <f>('Sheet1 (2)'!I515-'Sheet1 (2)'!I$526)/'Sheet1 (2)'!I$527</f>
        <v>-0.15122631926240743</v>
      </c>
      <c r="J515" s="48">
        <f>('Sheet1 (2)'!J515-'Sheet1 (2)'!J$526)/'Sheet1 (2)'!J$527</f>
        <v>-0.83945425120312078</v>
      </c>
      <c r="K515" s="48">
        <f>('Sheet1 (2)'!K515-'Sheet1 (2)'!K$526)/'Sheet1 (2)'!K$527</f>
        <v>-0.10963155538449032</v>
      </c>
    </row>
    <row r="516" spans="1:11" ht="15.75" customHeight="1" x14ac:dyDescent="0.2">
      <c r="A516" s="50">
        <v>30</v>
      </c>
      <c r="B516" s="48">
        <f>('Sheet1 (2)'!B516-'Sheet1 (2)'!B$526)/'Sheet1 (2)'!B$527</f>
        <v>1.1794716518179513E-2</v>
      </c>
      <c r="C516" s="48">
        <f>('Sheet1 (2)'!C516-'Sheet1 (2)'!C$526)/'Sheet1 (2)'!C$527</f>
        <v>1.8366809307276863</v>
      </c>
      <c r="D516" s="48">
        <f>('Sheet1 (2)'!D516-'Sheet1 (2)'!D$526)/'Sheet1 (2)'!D$527</f>
        <v>-0.4704097020702403</v>
      </c>
      <c r="E516" s="48">
        <f>('Sheet1 (2)'!E516-'Sheet1 (2)'!E$526)/'Sheet1 (2)'!E$527</f>
        <v>0.6903289410913992</v>
      </c>
      <c r="F516" s="48">
        <f>('Sheet1 (2)'!F516-'Sheet1 (2)'!F$526)/'Sheet1 (2)'!F$527</f>
        <v>3.5300958634082259E-2</v>
      </c>
      <c r="G516" s="48">
        <f>('Sheet1 (2)'!G516-'Sheet1 (2)'!G$526)/'Sheet1 (2)'!G$527</f>
        <v>-0.50144115274505707</v>
      </c>
      <c r="H516" s="48">
        <f>('Sheet1 (2)'!H516-'Sheet1 (2)'!H$526)/'Sheet1 (2)'!H$527</f>
        <v>1.5109997923879701</v>
      </c>
      <c r="I516" s="48">
        <f>('Sheet1 (2)'!I516-'Sheet1 (2)'!I$526)/'Sheet1 (2)'!I$527</f>
        <v>0.3336630576245852</v>
      </c>
      <c r="J516" s="48">
        <f>('Sheet1 (2)'!J516-'Sheet1 (2)'!J$526)/'Sheet1 (2)'!J$527</f>
        <v>-0.83945425120312078</v>
      </c>
      <c r="K516" s="48">
        <f>('Sheet1 (2)'!K516-'Sheet1 (2)'!K$526)/'Sheet1 (2)'!K$527</f>
        <v>-0.60102915193020978</v>
      </c>
    </row>
    <row r="517" spans="1:11" ht="15.75" customHeight="1" x14ac:dyDescent="0.2">
      <c r="A517" s="49">
        <v>30</v>
      </c>
      <c r="B517" s="48">
        <f>('Sheet1 (2)'!B517-'Sheet1 (2)'!B$526)/'Sheet1 (2)'!B$527</f>
        <v>1.1794716518179513E-2</v>
      </c>
      <c r="C517" s="48">
        <f>('Sheet1 (2)'!C517-'Sheet1 (2)'!C$526)/'Sheet1 (2)'!C$527</f>
        <v>2.1953339538743712</v>
      </c>
      <c r="D517" s="48">
        <f>('Sheet1 (2)'!D517-'Sheet1 (2)'!D$526)/'Sheet1 (2)'!D$527</f>
        <v>-0.4704097020702403</v>
      </c>
      <c r="E517" s="48">
        <f>('Sheet1 (2)'!E517-'Sheet1 (2)'!E$526)/'Sheet1 (2)'!E$527</f>
        <v>-0.58255136914545125</v>
      </c>
      <c r="F517" s="48">
        <f>('Sheet1 (2)'!F517-'Sheet1 (2)'!F$526)/'Sheet1 (2)'!F$527</f>
        <v>3.5300958634082259E-2</v>
      </c>
      <c r="G517" s="48">
        <f>('Sheet1 (2)'!G517-'Sheet1 (2)'!G$526)/'Sheet1 (2)'!G$527</f>
        <v>-0.50144115274505707</v>
      </c>
      <c r="H517" s="48">
        <f>('Sheet1 (2)'!H517-'Sheet1 (2)'!H$526)/'Sheet1 (2)'!H$527</f>
        <v>1.2268916506806657</v>
      </c>
      <c r="I517" s="48">
        <f>('Sheet1 (2)'!I517-'Sheet1 (2)'!I$526)/'Sheet1 (2)'!I$527</f>
        <v>-0.27001923693827323</v>
      </c>
      <c r="J517" s="48">
        <f>('Sheet1 (2)'!J517-'Sheet1 (2)'!J$526)/'Sheet1 (2)'!J$527</f>
        <v>6.6180460344036129E-2</v>
      </c>
      <c r="K517" s="48">
        <f>('Sheet1 (2)'!K517-'Sheet1 (2)'!K$526)/'Sheet1 (2)'!K$527</f>
        <v>-0.53545374854310468</v>
      </c>
    </row>
    <row r="518" spans="1:11" ht="15.75" customHeight="1" x14ac:dyDescent="0.2">
      <c r="A518" s="50">
        <v>30</v>
      </c>
      <c r="B518" s="48">
        <f>('Sheet1 (2)'!B518-'Sheet1 (2)'!B$526)/'Sheet1 (2)'!B$527</f>
        <v>1.1794716518179513E-2</v>
      </c>
      <c r="C518" s="48">
        <f>('Sheet1 (2)'!C518-'Sheet1 (2)'!C$526)/'Sheet1 (2)'!C$527</f>
        <v>1.9464867512132065</v>
      </c>
      <c r="D518" s="48">
        <f>('Sheet1 (2)'!D518-'Sheet1 (2)'!D$526)/'Sheet1 (2)'!D$527</f>
        <v>1.4257032508898051</v>
      </c>
      <c r="E518" s="48">
        <f>('Sheet1 (2)'!E518-'Sheet1 (2)'!E$526)/'Sheet1 (2)'!E$527</f>
        <v>1.0326740064800106</v>
      </c>
      <c r="F518" s="48">
        <f>('Sheet1 (2)'!F518-'Sheet1 (2)'!F$526)/'Sheet1 (2)'!F$527</f>
        <v>-1.1978791963165167</v>
      </c>
      <c r="G518" s="48">
        <f>('Sheet1 (2)'!G518-'Sheet1 (2)'!G$526)/'Sheet1 (2)'!G$527</f>
        <v>-0.50144115274505707</v>
      </c>
      <c r="H518" s="48">
        <f>('Sheet1 (2)'!H518-'Sheet1 (2)'!H$526)/'Sheet1 (2)'!H$527</f>
        <v>2.2237472822127073</v>
      </c>
      <c r="I518" s="48">
        <f>('Sheet1 (2)'!I518-'Sheet1 (2)'!I$526)/'Sheet1 (2)'!I$527</f>
        <v>0.41783406879456136</v>
      </c>
      <c r="J518" s="48">
        <f>('Sheet1 (2)'!J518-'Sheet1 (2)'!J$526)/'Sheet1 (2)'!J$527</f>
        <v>1.8231004738950733</v>
      </c>
      <c r="K518" s="48">
        <f>('Sheet1 (2)'!K518-'Sheet1 (2)'!K$526)/'Sheet1 (2)'!K$527</f>
        <v>-0.66168140594485736</v>
      </c>
    </row>
    <row r="519" spans="1:11" ht="15.75" customHeight="1" x14ac:dyDescent="0.2">
      <c r="A519" s="51">
        <v>30</v>
      </c>
      <c r="B519" s="48">
        <f>('Sheet1 (2)'!B519-'Sheet1 (2)'!B$526)/'Sheet1 (2)'!B$527</f>
        <v>1.1794716518179513E-2</v>
      </c>
      <c r="C519" s="48">
        <f>('Sheet1 (2)'!C519-'Sheet1 (2)'!C$526)/'Sheet1 (2)'!C$527</f>
        <v>2.4183431231750534</v>
      </c>
      <c r="D519" s="48">
        <f>('Sheet1 (2)'!D519-'Sheet1 (2)'!D$526)/'Sheet1 (2)'!D$527</f>
        <v>-0.4704097020702403</v>
      </c>
      <c r="E519" s="48">
        <f>('Sheet1 (2)'!E519-'Sheet1 (2)'!E$526)/'Sheet1 (2)'!E$527</f>
        <v>-0.71351558879075894</v>
      </c>
      <c r="F519" s="48">
        <f>('Sheet1 (2)'!F519-'Sheet1 (2)'!F$526)/'Sheet1 (2)'!F$527</f>
        <v>-1.1978791963165167</v>
      </c>
      <c r="G519" s="48">
        <f>('Sheet1 (2)'!G519-'Sheet1 (2)'!G$526)/'Sheet1 (2)'!G$527</f>
        <v>-0.50144115274505707</v>
      </c>
      <c r="H519" s="48">
        <f>('Sheet1 (2)'!H519-'Sheet1 (2)'!H$526)/'Sheet1 (2)'!H$527</f>
        <v>1.5893191614836475</v>
      </c>
      <c r="I519" s="48">
        <f>('Sheet1 (2)'!I519-'Sheet1 (2)'!I$526)/'Sheet1 (2)'!I$527</f>
        <v>-0.54261592276685666</v>
      </c>
      <c r="J519" s="48">
        <f>('Sheet1 (2)'!J519-'Sheet1 (2)'!J$526)/'Sheet1 (2)'!J$527</f>
        <v>-0.64404813255528692</v>
      </c>
      <c r="K519" s="48">
        <f>('Sheet1 (2)'!K519-'Sheet1 (2)'!K$526)/'Sheet1 (2)'!K$527</f>
        <v>-1.0346750258721227</v>
      </c>
    </row>
    <row r="520" spans="1:11" ht="15.75" customHeight="1" x14ac:dyDescent="0.2">
      <c r="A520" s="48">
        <v>30</v>
      </c>
      <c r="B520" s="48">
        <f>('Sheet1 (2)'!B520-'Sheet1 (2)'!B$526)/'Sheet1 (2)'!B$527</f>
        <v>1.2478810076233939</v>
      </c>
      <c r="C520" s="48">
        <f>('Sheet1 (2)'!C520-'Sheet1 (2)'!C$526)/'Sheet1 (2)'!C$527</f>
        <v>-0.17878483113551807</v>
      </c>
      <c r="D520" s="48">
        <f>('Sheet1 (2)'!D520-'Sheet1 (2)'!D$526)/'Sheet1 (2)'!D$527</f>
        <v>-0.4704097020702403</v>
      </c>
      <c r="E520" s="48">
        <f>('Sheet1 (2)'!E520-'Sheet1 (2)'!E$526)/'Sheet1 (2)'!E$527</f>
        <v>-0.13911111666221626</v>
      </c>
      <c r="F520" s="48">
        <f>('Sheet1 (2)'!F520-'Sheet1 (2)'!F$526)/'Sheet1 (2)'!F$527</f>
        <v>1.2684811135846812</v>
      </c>
      <c r="G520" s="48">
        <f>('Sheet1 (2)'!G520-'Sheet1 (2)'!G$526)/'Sheet1 (2)'!G$527</f>
        <v>-0.50144115274505707</v>
      </c>
      <c r="H520" s="48">
        <f>('Sheet1 (2)'!H520-'Sheet1 (2)'!H$526)/'Sheet1 (2)'!H$527</f>
        <v>0.47815206840659957</v>
      </c>
      <c r="I520" s="48">
        <f>('Sheet1 (2)'!I520-'Sheet1 (2)'!I$526)/'Sheet1 (2)'!I$527</f>
        <v>0.68509456120338685</v>
      </c>
      <c r="J520" s="48">
        <f>('Sheet1 (2)'!J520-'Sheet1 (2)'!J$526)/'Sheet1 (2)'!J$527</f>
        <v>-0.83945425120312078</v>
      </c>
      <c r="K520" s="48">
        <f>('Sheet1 (2)'!K520-'Sheet1 (2)'!K$526)/'Sheet1 (2)'!K$527</f>
        <v>-0.41349102446717106</v>
      </c>
    </row>
    <row r="521" spans="1:11" ht="15.75" customHeight="1" x14ac:dyDescent="0.2">
      <c r="A521" s="49">
        <v>30</v>
      </c>
      <c r="B521" s="48">
        <f>('Sheet1 (2)'!B521-'Sheet1 (2)'!B$526)/'Sheet1 (2)'!B$527</f>
        <v>1.2478810076233939</v>
      </c>
      <c r="C521" s="48">
        <f>('Sheet1 (2)'!C521-'Sheet1 (2)'!C$526)/'Sheet1 (2)'!C$527</f>
        <v>-0.75518260911551671</v>
      </c>
      <c r="D521" s="48">
        <f>('Sheet1 (2)'!D521-'Sheet1 (2)'!D$526)/'Sheet1 (2)'!D$527</f>
        <v>-0.4704097020702403</v>
      </c>
      <c r="E521" s="48">
        <f>('Sheet1 (2)'!E521-'Sheet1 (2)'!E$526)/'Sheet1 (2)'!E$527</f>
        <v>2.0849829994195006</v>
      </c>
      <c r="F521" s="48">
        <f>('Sheet1 (2)'!F521-'Sheet1 (2)'!F$526)/'Sheet1 (2)'!F$527</f>
        <v>1.2684811135846812</v>
      </c>
      <c r="G521" s="48">
        <f>('Sheet1 (2)'!G521-'Sheet1 (2)'!G$526)/'Sheet1 (2)'!G$527</f>
        <v>1.118724311446041</v>
      </c>
      <c r="H521" s="48">
        <f>('Sheet1 (2)'!H521-'Sheet1 (2)'!H$526)/'Sheet1 (2)'!H$527</f>
        <v>-0.67585169026647662</v>
      </c>
      <c r="I521" s="48">
        <f>('Sheet1 (2)'!I521-'Sheet1 (2)'!I$526)/'Sheet1 (2)'!I$527</f>
        <v>-1.1269335220482941</v>
      </c>
      <c r="J521" s="48">
        <f>('Sheet1 (2)'!J521-'Sheet1 (2)'!J$526)/'Sheet1 (2)'!J$527</f>
        <v>-0.43602170394379974</v>
      </c>
      <c r="K521" s="48">
        <f>('Sheet1 (2)'!K521-'Sheet1 (2)'!K$526)/'Sheet1 (2)'!K$527</f>
        <v>-0.15540944098681392</v>
      </c>
    </row>
    <row r="522" spans="1:11" ht="15.75" customHeight="1" x14ac:dyDescent="0.2">
      <c r="A522" s="50">
        <v>30</v>
      </c>
      <c r="B522" s="48">
        <f>('Sheet1 (2)'!B522-'Sheet1 (2)'!B$526)/'Sheet1 (2)'!B$527</f>
        <v>1.2478810076233939</v>
      </c>
      <c r="C522" s="48">
        <f>('Sheet1 (2)'!C522-'Sheet1 (2)'!C$526)/'Sheet1 (2)'!C$527</f>
        <v>-6.1958527028274639E-2</v>
      </c>
      <c r="D522" s="48">
        <f>('Sheet1 (2)'!D522-'Sheet1 (2)'!D$526)/'Sheet1 (2)'!D$527</f>
        <v>-0.4704097020702403</v>
      </c>
      <c r="E522" s="48">
        <f>('Sheet1 (2)'!E522-'Sheet1 (2)'!E$526)/'Sheet1 (2)'!E$527</f>
        <v>-0.30453960463523666</v>
      </c>
      <c r="F522" s="48">
        <f>('Sheet1 (2)'!F522-'Sheet1 (2)'!F$526)/'Sheet1 (2)'!F$527</f>
        <v>3.5300958634082259E-2</v>
      </c>
      <c r="G522" s="48">
        <f>('Sheet1 (2)'!G522-'Sheet1 (2)'!G$526)/'Sheet1 (2)'!G$527</f>
        <v>0.43368790712363042</v>
      </c>
      <c r="H522" s="48">
        <f>('Sheet1 (2)'!H522-'Sheet1 (2)'!H$526)/'Sheet1 (2)'!H$527</f>
        <v>-0.13233040861115625</v>
      </c>
      <c r="I522" s="48">
        <f>('Sheet1 (2)'!I522-'Sheet1 (2)'!I$526)/'Sheet1 (2)'!I$527</f>
        <v>0.70272472352340709</v>
      </c>
      <c r="J522" s="48">
        <f>('Sheet1 (2)'!J522-'Sheet1 (2)'!J$526)/'Sheet1 (2)'!J$527</f>
        <v>0.52068463751379501</v>
      </c>
      <c r="K522" s="48">
        <f>('Sheet1 (2)'!K522-'Sheet1 (2)'!K$526)/'Sheet1 (2)'!K$527</f>
        <v>-3.249823669784446E-3</v>
      </c>
    </row>
    <row r="523" spans="1:11" ht="15.75" customHeight="1" x14ac:dyDescent="0.2">
      <c r="A523" s="49">
        <v>30</v>
      </c>
      <c r="B523" s="48">
        <f>('Sheet1 (2)'!B523-'Sheet1 (2)'!B$526)/'Sheet1 (2)'!B$527</f>
        <v>1.2478810076233939</v>
      </c>
      <c r="C523" s="48">
        <f>('Sheet1 (2)'!C523-'Sheet1 (2)'!C$526)/'Sheet1 (2)'!C$527</f>
        <v>6.8989349142874912E-2</v>
      </c>
      <c r="D523" s="48">
        <f>('Sheet1 (2)'!D523-'Sheet1 (2)'!D$526)/'Sheet1 (2)'!D$527</f>
        <v>-0.4704097020702403</v>
      </c>
      <c r="E523" s="48">
        <f>('Sheet1 (2)'!E523-'Sheet1 (2)'!E$526)/'Sheet1 (2)'!E$527</f>
        <v>-1.5039750682451048E-2</v>
      </c>
      <c r="F523" s="48">
        <f>('Sheet1 (2)'!F523-'Sheet1 (2)'!F$526)/'Sheet1 (2)'!F$527</f>
        <v>3.5300958634082259E-2</v>
      </c>
      <c r="G523" s="48">
        <f>('Sheet1 (2)'!G523-'Sheet1 (2)'!G$526)/'Sheet1 (2)'!G$527</f>
        <v>0.3557604854679064</v>
      </c>
      <c r="H523" s="48">
        <f>('Sheet1 (2)'!H523-'Sheet1 (2)'!H$526)/'Sheet1 (2)'!H$527</f>
        <v>0.51731066218580157</v>
      </c>
      <c r="I523" s="48">
        <f>('Sheet1 (2)'!I523-'Sheet1 (2)'!I$526)/'Sheet1 (2)'!I$527</f>
        <v>-0.59309220699808107</v>
      </c>
      <c r="J523" s="48">
        <f>('Sheet1 (2)'!J523-'Sheet1 (2)'!J$526)/'Sheet1 (2)'!J$527</f>
        <v>7.658481669820344E-2</v>
      </c>
      <c r="K523" s="48">
        <f>('Sheet1 (2)'!K523-'Sheet1 (2)'!K$526)/'Sheet1 (2)'!K$527</f>
        <v>-0.67747026753345962</v>
      </c>
    </row>
    <row r="524" spans="1:11" ht="15.75" customHeight="1" x14ac:dyDescent="0.2">
      <c r="A524" s="50">
        <v>30</v>
      </c>
      <c r="B524" s="48">
        <f>('Sheet1 (2)'!B524-'Sheet1 (2)'!B$526)/'Sheet1 (2)'!B$527</f>
        <v>1.2478810076233939</v>
      </c>
      <c r="C524" s="48">
        <f>('Sheet1 (2)'!C524-'Sheet1 (2)'!C$526)/'Sheet1 (2)'!C$527</f>
        <v>-0.204357179057647</v>
      </c>
      <c r="D524" s="48">
        <f>('Sheet1 (2)'!D524-'Sheet1 (2)'!D$526)/'Sheet1 (2)'!D$527</f>
        <v>-0.4704097020702403</v>
      </c>
      <c r="E524" s="48">
        <f>('Sheet1 (2)'!E524-'Sheet1 (2)'!E$526)/'Sheet1 (2)'!E$527</f>
        <v>-0.79622983277726911</v>
      </c>
      <c r="F524" s="48">
        <f>('Sheet1 (2)'!F524-'Sheet1 (2)'!F$526)/'Sheet1 (2)'!F$527</f>
        <v>-1.1978791963165167</v>
      </c>
      <c r="G524" s="48">
        <f>('Sheet1 (2)'!G524-'Sheet1 (2)'!G$526)/'Sheet1 (2)'!G$527</f>
        <v>0.54695450836741499</v>
      </c>
      <c r="H524" s="48">
        <f>('Sheet1 (2)'!H524-'Sheet1 (2)'!H$526)/'Sheet1 (2)'!H$527</f>
        <v>7.5210138418613751E-2</v>
      </c>
      <c r="I524" s="48">
        <f>('Sheet1 (2)'!I524-'Sheet1 (2)'!I$526)/'Sheet1 (2)'!I$527</f>
        <v>0.65371287227375086</v>
      </c>
      <c r="J524" s="48">
        <f>('Sheet1 (2)'!J524-'Sheet1 (2)'!J$526)/'Sheet1 (2)'!J$527</f>
        <v>0.66453541655651793</v>
      </c>
      <c r="K524" s="48">
        <f>('Sheet1 (2)'!K524-'Sheet1 (2)'!K$526)/'Sheet1 (2)'!K$527</f>
        <v>-1.1381954343864189</v>
      </c>
    </row>
    <row r="525" spans="1:11" ht="15.75" customHeight="1" x14ac:dyDescent="0.2">
      <c r="A525" s="51">
        <v>30</v>
      </c>
      <c r="B525" s="48">
        <f>('Sheet1 (2)'!B525-'Sheet1 (2)'!B$526)/'Sheet1 (2)'!B$527</f>
        <v>1.2478810076233939</v>
      </c>
      <c r="C525" s="48">
        <f>('Sheet1 (2)'!C525-'Sheet1 (2)'!C$526)/'Sheet1 (2)'!C$527</f>
        <v>-0.99792538788044916</v>
      </c>
      <c r="D525" s="48">
        <f>('Sheet1 (2)'!D525-'Sheet1 (2)'!D$526)/'Sheet1 (2)'!D$527</f>
        <v>-0.4704097020702403</v>
      </c>
      <c r="E525" s="48">
        <f>('Sheet1 (2)'!E525-'Sheet1 (2)'!E$526)/'Sheet1 (2)'!E$527</f>
        <v>-0.74108700345292899</v>
      </c>
      <c r="F525" s="48">
        <f>('Sheet1 (2)'!F525-'Sheet1 (2)'!F$526)/'Sheet1 (2)'!F$527</f>
        <v>-1.1978791963165167</v>
      </c>
      <c r="G525" s="48">
        <f>('Sheet1 (2)'!G525-'Sheet1 (2)'!G$526)/'Sheet1 (2)'!G$527</f>
        <v>-0.19335599736196235</v>
      </c>
      <c r="H525" s="48">
        <f>('Sheet1 (2)'!H525-'Sheet1 (2)'!H$526)/'Sheet1 (2)'!H$527</f>
        <v>9.0873575930293701E-2</v>
      </c>
      <c r="I525" s="48">
        <f>('Sheet1 (2)'!I525-'Sheet1 (2)'!I$526)/'Sheet1 (2)'!I$527</f>
        <v>-1.1357486032083048</v>
      </c>
      <c r="J525" s="48">
        <f>('Sheet1 (2)'!J525-'Sheet1 (2)'!J$526)/'Sheet1 (2)'!J$527</f>
        <v>0.43702375161337342</v>
      </c>
      <c r="K525" s="48">
        <f>('Sheet1 (2)'!K525-'Sheet1 (2)'!K$526)/'Sheet1 (2)'!K$527</f>
        <v>-0.22492318863965835</v>
      </c>
    </row>
    <row r="526" spans="1:11" ht="15.75" customHeight="1" x14ac:dyDescent="0.2">
      <c r="B526" s="47">
        <f>AVERAGE(B2:B525)</f>
        <v>6.7799879366421771E-18</v>
      </c>
      <c r="C526" s="47">
        <f>AVERAGE(C2:C525)</f>
        <v>1.3189195282999235E-15</v>
      </c>
      <c r="D526" s="47">
        <f t="shared" ref="D526:K526" si="0">AVERAGE(D2:D525)</f>
        <v>-5.5956087939599968E-16</v>
      </c>
      <c r="E526" s="47">
        <f t="shared" si="0"/>
        <v>-1.4949873400296002E-15</v>
      </c>
      <c r="F526" s="47">
        <f t="shared" si="0"/>
        <v>9.8309825081311575E-17</v>
      </c>
      <c r="G526" s="47">
        <f t="shared" si="0"/>
        <v>2.4365581647307823E-18</v>
      </c>
      <c r="H526" s="47">
        <f t="shared" si="0"/>
        <v>6.7757504441817757E-16</v>
      </c>
      <c r="I526" s="47">
        <f t="shared" si="0"/>
        <v>-1.0975105472439525E-16</v>
      </c>
      <c r="J526" s="47">
        <f t="shared" si="0"/>
        <v>-1.4863004804857772E-16</v>
      </c>
      <c r="K526" s="47">
        <f t="shared" si="0"/>
        <v>4.4864451424499406E-17</v>
      </c>
    </row>
    <row r="527" spans="1:11" ht="15.75" customHeight="1" x14ac:dyDescent="0.2">
      <c r="B527" s="47">
        <f>_xlfn.STDEV.P(B2:B525)</f>
        <v>0.99999999999999556</v>
      </c>
      <c r="C527" s="47">
        <f>_xlfn.STDEV.P(C2:C525)</f>
        <v>0.99999999999999556</v>
      </c>
      <c r="D527" s="47">
        <f t="shared" ref="D527:K527" si="1">_xlfn.STDEV.P(D2:D525)</f>
        <v>1.0000000000000031</v>
      </c>
      <c r="E527" s="47">
        <f t="shared" si="1"/>
        <v>1.0000000000000009</v>
      </c>
      <c r="F527" s="47">
        <f t="shared" si="1"/>
        <v>1.0000000000000009</v>
      </c>
      <c r="G527" s="47">
        <f t="shared" si="1"/>
        <v>0.99999999999999845</v>
      </c>
      <c r="H527" s="47">
        <f t="shared" si="1"/>
        <v>0.99999999999999689</v>
      </c>
      <c r="I527" s="47">
        <f t="shared" si="1"/>
        <v>0.99999999999999933</v>
      </c>
      <c r="J527" s="47">
        <f t="shared" si="1"/>
        <v>1.0000000000000009</v>
      </c>
      <c r="K527" s="47">
        <f t="shared" si="1"/>
        <v>0.99999999999999956</v>
      </c>
    </row>
  </sheetData>
  <autoFilter ref="A1:K150">
    <sortState ref="A2:L525">
      <sortCondition ref="A1:A150"/>
    </sortState>
  </autoFilter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041"/>
  <sheetViews>
    <sheetView topLeftCell="B134" workbookViewId="0">
      <selection activeCell="E134" sqref="E134"/>
    </sheetView>
  </sheetViews>
  <sheetFormatPr defaultColWidth="14.42578125" defaultRowHeight="12.75" x14ac:dyDescent="0.2"/>
  <cols>
    <col min="1" max="1" width="8.5703125" customWidth="1"/>
    <col min="2" max="2" width="8.28515625" customWidth="1"/>
    <col min="3" max="3" width="6.7109375" customWidth="1"/>
    <col min="4" max="4" width="17.28515625" customWidth="1"/>
    <col min="5" max="5" width="8.85546875" customWidth="1"/>
    <col min="6" max="6" width="6.7109375" customWidth="1"/>
    <col min="7" max="7" width="17.28515625" customWidth="1"/>
    <col min="8" max="8" width="8.85546875" customWidth="1"/>
    <col min="9" max="9" width="6.7109375" customWidth="1"/>
    <col min="10" max="10" width="17.28515625" customWidth="1"/>
    <col min="11" max="11" width="8.85546875" customWidth="1"/>
    <col min="12" max="12" width="6.7109375" customWidth="1"/>
    <col min="13" max="13" width="17.28515625" customWidth="1"/>
    <col min="14" max="14" width="8.85546875" customWidth="1"/>
    <col min="15" max="15" width="6.7109375" customWidth="1"/>
    <col min="16" max="16" width="17.28515625" customWidth="1"/>
    <col min="17" max="17" width="8.85546875" customWidth="1"/>
    <col min="18" max="18" width="6.7109375" customWidth="1"/>
    <col min="19" max="19" width="17.28515625" customWidth="1"/>
    <col min="20" max="20" width="8.85546875" customWidth="1"/>
    <col min="21" max="21" width="9.42578125" customWidth="1"/>
    <col min="22" max="22" width="6.42578125" customWidth="1"/>
  </cols>
  <sheetData>
    <row r="1" spans="1:32" ht="33.75" customHeight="1" x14ac:dyDescent="0.2">
      <c r="A1" s="1">
        <v>9.2899999999999991</v>
      </c>
      <c r="B1" s="2"/>
      <c r="C1" s="72" t="s">
        <v>28</v>
      </c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x14ac:dyDescent="0.2">
      <c r="A2" s="4"/>
      <c r="B2" s="5"/>
      <c r="C2" s="5"/>
      <c r="D2" s="6" t="s">
        <v>29</v>
      </c>
      <c r="E2" s="7"/>
      <c r="F2" s="5"/>
      <c r="G2" s="5"/>
      <c r="H2" s="7"/>
      <c r="I2" s="5"/>
      <c r="J2" s="5"/>
      <c r="K2" s="7"/>
      <c r="L2" s="5"/>
      <c r="M2" s="5"/>
      <c r="N2" s="7"/>
      <c r="O2" s="5"/>
      <c r="P2" s="5"/>
      <c r="Q2" s="7"/>
      <c r="R2" s="8"/>
      <c r="S2" s="9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</row>
    <row r="3" spans="1:32" x14ac:dyDescent="0.2">
      <c r="A3" s="10" t="s">
        <v>30</v>
      </c>
      <c r="B3" s="11"/>
      <c r="C3" s="12" t="s">
        <v>31</v>
      </c>
      <c r="D3" s="12" t="s">
        <v>32</v>
      </c>
      <c r="E3" s="12" t="s">
        <v>33</v>
      </c>
      <c r="F3" s="12" t="s">
        <v>31</v>
      </c>
      <c r="G3" s="12" t="s">
        <v>32</v>
      </c>
      <c r="H3" s="12" t="s">
        <v>33</v>
      </c>
      <c r="I3" s="12" t="s">
        <v>31</v>
      </c>
      <c r="J3" s="12" t="s">
        <v>34</v>
      </c>
      <c r="K3" s="12" t="s">
        <v>33</v>
      </c>
      <c r="L3" s="12" t="s">
        <v>31</v>
      </c>
      <c r="M3" s="12" t="s">
        <v>34</v>
      </c>
      <c r="N3" s="12" t="s">
        <v>33</v>
      </c>
      <c r="O3" s="12" t="s">
        <v>31</v>
      </c>
      <c r="P3" s="12" t="s">
        <v>35</v>
      </c>
      <c r="Q3" s="12" t="s">
        <v>33</v>
      </c>
      <c r="R3" s="12" t="s">
        <v>31</v>
      </c>
      <c r="S3" s="12" t="s">
        <v>35</v>
      </c>
      <c r="T3" s="12" t="s">
        <v>33</v>
      </c>
      <c r="U3" s="13" t="s">
        <v>36</v>
      </c>
      <c r="V3" s="14">
        <f>SUM(E4:E6,H4:H6,K4:K6,N4:N6,Q4:Q6,T4:T6)</f>
        <v>0</v>
      </c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4"/>
      <c r="B4" s="16" t="s">
        <v>37</v>
      </c>
      <c r="C4" s="17"/>
      <c r="D4" s="17"/>
      <c r="E4" s="18">
        <v>0</v>
      </c>
      <c r="F4" s="17"/>
      <c r="G4" s="17"/>
      <c r="H4" s="18">
        <v>0</v>
      </c>
      <c r="I4" s="17"/>
      <c r="J4" s="17"/>
      <c r="K4" s="18">
        <v>0</v>
      </c>
      <c r="L4" s="17"/>
      <c r="M4" s="17"/>
      <c r="N4" s="18">
        <v>0</v>
      </c>
      <c r="O4" s="17"/>
      <c r="P4" s="17"/>
      <c r="Q4" s="18">
        <v>0</v>
      </c>
      <c r="R4" s="17"/>
      <c r="S4" s="17"/>
      <c r="T4" s="18">
        <v>0</v>
      </c>
      <c r="U4" s="13" t="s">
        <v>38</v>
      </c>
      <c r="V4" s="14" t="e">
        <f>AVERAGE(C4:C6,F4:F6)</f>
        <v>#DIV/0!</v>
      </c>
    </row>
    <row r="5" spans="1:32" x14ac:dyDescent="0.2">
      <c r="A5" s="4"/>
      <c r="B5" s="19" t="s">
        <v>39</v>
      </c>
      <c r="C5" s="17"/>
      <c r="D5" s="17"/>
      <c r="E5" s="18">
        <v>0</v>
      </c>
      <c r="F5" s="17"/>
      <c r="G5" s="17"/>
      <c r="H5" s="18">
        <v>0</v>
      </c>
      <c r="I5" s="17"/>
      <c r="J5" s="17"/>
      <c r="K5" s="18">
        <v>0</v>
      </c>
      <c r="L5" s="17"/>
      <c r="M5" s="17"/>
      <c r="N5" s="18">
        <v>0</v>
      </c>
      <c r="O5" s="17"/>
      <c r="P5" s="17"/>
      <c r="Q5" s="18">
        <v>0</v>
      </c>
      <c r="R5" s="17"/>
      <c r="S5" s="17"/>
      <c r="T5" s="18">
        <v>0</v>
      </c>
      <c r="U5" s="13" t="s">
        <v>40</v>
      </c>
      <c r="V5" s="14" t="e">
        <f>AVERAGE(L4:L6, I4:I6)</f>
        <v>#DIV/0!</v>
      </c>
    </row>
    <row r="6" spans="1:32" x14ac:dyDescent="0.2">
      <c r="A6" s="4"/>
      <c r="B6" s="20" t="s">
        <v>41</v>
      </c>
      <c r="C6" s="21"/>
      <c r="D6" s="21"/>
      <c r="E6" s="22">
        <v>0</v>
      </c>
      <c r="F6" s="21"/>
      <c r="G6" s="21"/>
      <c r="H6" s="22">
        <v>0</v>
      </c>
      <c r="I6" s="21"/>
      <c r="J6" s="21"/>
      <c r="K6" s="22">
        <v>0</v>
      </c>
      <c r="L6" s="21"/>
      <c r="M6" s="21"/>
      <c r="N6" s="22">
        <v>0</v>
      </c>
      <c r="O6" s="21"/>
      <c r="P6" s="21"/>
      <c r="Q6" s="22">
        <v>0</v>
      </c>
      <c r="R6" s="21"/>
      <c r="S6" s="21"/>
      <c r="T6" s="22">
        <v>0</v>
      </c>
      <c r="U6" s="13" t="s">
        <v>42</v>
      </c>
      <c r="V6" s="14" t="e">
        <f>AVERAGE(R4:R6, O4:O6)</f>
        <v>#DIV/0!</v>
      </c>
    </row>
    <row r="7" spans="1:32" x14ac:dyDescent="0.2">
      <c r="A7" s="4"/>
      <c r="B7" s="5"/>
      <c r="C7" s="5"/>
      <c r="D7" s="5"/>
      <c r="E7" s="7"/>
      <c r="F7" s="5"/>
      <c r="G7" s="5"/>
      <c r="H7" s="7"/>
      <c r="I7" s="5"/>
      <c r="J7" s="5"/>
      <c r="K7" s="7"/>
      <c r="L7" s="5"/>
      <c r="M7" s="5"/>
      <c r="N7" s="7"/>
      <c r="O7" s="5"/>
      <c r="P7" s="5"/>
      <c r="Q7" s="7"/>
      <c r="T7" s="8"/>
      <c r="U7" s="8"/>
      <c r="V7" s="9"/>
      <c r="W7" s="8"/>
      <c r="X7" s="8"/>
      <c r="Y7" s="8"/>
      <c r="Z7" s="8"/>
      <c r="AA7" s="8"/>
      <c r="AB7" s="8"/>
      <c r="AC7" s="8"/>
      <c r="AD7" s="8"/>
      <c r="AE7" s="8"/>
      <c r="AF7" s="8"/>
    </row>
    <row r="8" spans="1:32" x14ac:dyDescent="0.2">
      <c r="A8" s="4"/>
      <c r="B8" s="23"/>
      <c r="C8" s="23"/>
      <c r="D8" s="6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13"/>
      <c r="S8" s="13"/>
      <c r="T8" s="23"/>
      <c r="U8" s="23"/>
      <c r="V8" s="24"/>
      <c r="W8" s="8"/>
      <c r="X8" s="8"/>
      <c r="Y8" s="8"/>
      <c r="Z8" s="8"/>
      <c r="AA8" s="8"/>
      <c r="AB8" s="8"/>
      <c r="AC8" s="8"/>
      <c r="AD8" s="8"/>
      <c r="AE8" s="8"/>
      <c r="AF8" s="8"/>
    </row>
    <row r="9" spans="1:32" x14ac:dyDescent="0.2">
      <c r="A9" s="4"/>
      <c r="B9" s="23"/>
      <c r="C9" s="25"/>
      <c r="D9" s="26" t="s">
        <v>21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7"/>
      <c r="S9" s="27"/>
      <c r="T9" s="25"/>
      <c r="U9" s="23"/>
      <c r="V9" s="24"/>
      <c r="W9" s="8"/>
      <c r="X9" s="8"/>
      <c r="Y9" s="8"/>
      <c r="Z9" s="8"/>
      <c r="AA9" s="8"/>
      <c r="AB9" s="8"/>
      <c r="AC9" s="8"/>
      <c r="AD9" s="8"/>
      <c r="AE9" s="8"/>
      <c r="AF9" s="8"/>
    </row>
    <row r="10" spans="1:32" x14ac:dyDescent="0.2">
      <c r="A10" s="4"/>
      <c r="B10" s="28"/>
      <c r="C10" s="29" t="s">
        <v>31</v>
      </c>
      <c r="D10" s="29" t="s">
        <v>32</v>
      </c>
      <c r="E10" s="29" t="s">
        <v>33</v>
      </c>
      <c r="F10" s="29" t="s">
        <v>31</v>
      </c>
      <c r="G10" s="29" t="s">
        <v>32</v>
      </c>
      <c r="H10" s="29" t="s">
        <v>33</v>
      </c>
      <c r="I10" s="29" t="s">
        <v>31</v>
      </c>
      <c r="J10" s="29" t="s">
        <v>34</v>
      </c>
      <c r="K10" s="29" t="s">
        <v>33</v>
      </c>
      <c r="L10" s="29" t="s">
        <v>31</v>
      </c>
      <c r="M10" s="29" t="s">
        <v>34</v>
      </c>
      <c r="N10" s="29" t="s">
        <v>33</v>
      </c>
      <c r="O10" s="29" t="s">
        <v>31</v>
      </c>
      <c r="P10" s="29" t="s">
        <v>35</v>
      </c>
      <c r="Q10" s="29" t="s">
        <v>33</v>
      </c>
      <c r="R10" s="29" t="s">
        <v>31</v>
      </c>
      <c r="S10" s="29" t="s">
        <v>35</v>
      </c>
      <c r="T10" s="29" t="s">
        <v>33</v>
      </c>
      <c r="U10" s="13" t="s">
        <v>36</v>
      </c>
      <c r="V10" s="14">
        <f>SUM(E11:E13,H11:H13,K11:K13,N11:N13,Q11:Q13,T11:T13)</f>
        <v>2</v>
      </c>
      <c r="W10" s="8"/>
      <c r="X10" s="8"/>
      <c r="Y10" s="8"/>
      <c r="Z10" s="8"/>
      <c r="AA10" s="8"/>
      <c r="AB10" s="8"/>
      <c r="AC10" s="8"/>
      <c r="AD10" s="8"/>
      <c r="AE10" s="8"/>
      <c r="AF10" s="8"/>
    </row>
    <row r="11" spans="1:32" x14ac:dyDescent="0.2">
      <c r="A11" s="4"/>
      <c r="B11" s="19" t="s">
        <v>37</v>
      </c>
      <c r="C11" s="30">
        <v>9.2899999999999991</v>
      </c>
      <c r="D11" s="30"/>
      <c r="E11" s="31">
        <v>0</v>
      </c>
      <c r="F11" s="30">
        <v>8.6300000000000008</v>
      </c>
      <c r="G11" s="30"/>
      <c r="H11" s="31">
        <v>0</v>
      </c>
      <c r="I11" s="30">
        <v>8.98</v>
      </c>
      <c r="J11" s="30"/>
      <c r="K11" s="31">
        <v>1</v>
      </c>
      <c r="L11" s="30">
        <v>3.74</v>
      </c>
      <c r="M11" s="30"/>
      <c r="N11" s="31">
        <v>0</v>
      </c>
      <c r="O11" s="30">
        <v>2.29</v>
      </c>
      <c r="P11" s="30"/>
      <c r="Q11" s="31">
        <v>0</v>
      </c>
      <c r="R11" s="30">
        <v>4.29</v>
      </c>
      <c r="S11" s="30"/>
      <c r="T11" s="31">
        <v>0</v>
      </c>
      <c r="U11" s="13" t="s">
        <v>38</v>
      </c>
      <c r="V11" s="14">
        <f>AVERAGE(C11:C13,F11:F13)</f>
        <v>5.8466666666666676</v>
      </c>
      <c r="W11" s="8"/>
      <c r="X11" s="8"/>
      <c r="Y11" s="8"/>
      <c r="Z11" s="8"/>
      <c r="AA11" s="8"/>
      <c r="AB11" s="8"/>
      <c r="AC11" s="8"/>
      <c r="AD11" s="8"/>
      <c r="AE11" s="8"/>
      <c r="AF11" s="8"/>
    </row>
    <row r="12" spans="1:32" x14ac:dyDescent="0.2">
      <c r="A12" s="4"/>
      <c r="B12" s="19" t="s">
        <v>39</v>
      </c>
      <c r="C12" s="30">
        <v>4.41</v>
      </c>
      <c r="D12" s="30"/>
      <c r="E12" s="31">
        <v>0</v>
      </c>
      <c r="F12" s="30">
        <v>5.17</v>
      </c>
      <c r="G12" s="30"/>
      <c r="H12" s="31">
        <v>0</v>
      </c>
      <c r="I12" s="30">
        <v>5.4</v>
      </c>
      <c r="J12" s="30"/>
      <c r="K12" s="31">
        <v>0</v>
      </c>
      <c r="L12" s="30">
        <v>3.01</v>
      </c>
      <c r="M12" s="30"/>
      <c r="N12" s="31">
        <v>0</v>
      </c>
      <c r="O12" s="30">
        <v>1.75</v>
      </c>
      <c r="P12" s="30"/>
      <c r="Q12" s="31">
        <v>0</v>
      </c>
      <c r="R12" s="30">
        <v>9.8699999999999992</v>
      </c>
      <c r="S12" s="30"/>
      <c r="T12" s="31">
        <v>1</v>
      </c>
      <c r="U12" s="13" t="s">
        <v>40</v>
      </c>
      <c r="V12" s="14">
        <f>AVERAGE(L11:L13, I11:I13)</f>
        <v>4.668333333333333</v>
      </c>
      <c r="W12" s="8"/>
      <c r="X12" s="8"/>
      <c r="Y12" s="8"/>
      <c r="Z12" s="8"/>
      <c r="AA12" s="8"/>
      <c r="AB12" s="8"/>
      <c r="AC12" s="8"/>
      <c r="AD12" s="8"/>
      <c r="AE12" s="8"/>
      <c r="AF12" s="8"/>
    </row>
    <row r="13" spans="1:32" x14ac:dyDescent="0.2">
      <c r="A13" s="4"/>
      <c r="B13" s="20" t="s">
        <v>41</v>
      </c>
      <c r="C13" s="32">
        <v>4.16</v>
      </c>
      <c r="D13" s="32"/>
      <c r="E13" s="33">
        <v>0</v>
      </c>
      <c r="F13" s="32">
        <v>3.42</v>
      </c>
      <c r="G13" s="32"/>
      <c r="H13" s="33">
        <v>0</v>
      </c>
      <c r="I13" s="32">
        <v>2.54</v>
      </c>
      <c r="J13" s="32"/>
      <c r="K13" s="33">
        <v>0</v>
      </c>
      <c r="L13" s="32">
        <v>4.34</v>
      </c>
      <c r="M13" s="32"/>
      <c r="N13" s="33">
        <v>0</v>
      </c>
      <c r="O13" s="32">
        <v>1.57</v>
      </c>
      <c r="P13" s="32"/>
      <c r="Q13" s="33">
        <v>0</v>
      </c>
      <c r="R13" s="32">
        <v>2.6</v>
      </c>
      <c r="S13" s="32"/>
      <c r="T13" s="33">
        <v>0</v>
      </c>
      <c r="U13" s="13" t="s">
        <v>42</v>
      </c>
      <c r="V13" s="14">
        <f>AVERAGE(R11:R13, O11:O13)</f>
        <v>3.7283333333333335</v>
      </c>
      <c r="W13" s="8"/>
      <c r="X13" s="8"/>
      <c r="Y13" s="8"/>
      <c r="Z13" s="8"/>
      <c r="AA13" s="8"/>
      <c r="AB13" s="8"/>
      <c r="AC13" s="8"/>
      <c r="AD13" s="8"/>
      <c r="AE13" s="8"/>
      <c r="AF13" s="8"/>
    </row>
    <row r="14" spans="1:32" x14ac:dyDescent="0.2">
      <c r="A14" s="4"/>
      <c r="B14" s="23"/>
      <c r="C14" s="23"/>
      <c r="D14" s="6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13"/>
      <c r="S14" s="13"/>
      <c r="T14" s="23"/>
      <c r="U14" s="23"/>
      <c r="V14" s="24"/>
      <c r="W14" s="8"/>
      <c r="X14" s="8"/>
      <c r="Y14" s="8"/>
      <c r="Z14" s="8"/>
      <c r="AA14" s="8"/>
      <c r="AB14" s="8"/>
      <c r="AC14" s="8"/>
      <c r="AD14" s="8"/>
      <c r="AE14" s="8"/>
      <c r="AF14" s="8"/>
    </row>
    <row r="15" spans="1:32" x14ac:dyDescent="0.2">
      <c r="A15" s="4"/>
      <c r="B15" s="23"/>
      <c r="C15" s="25"/>
      <c r="D15" s="26" t="s">
        <v>11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7"/>
      <c r="S15" s="27"/>
      <c r="T15" s="25"/>
      <c r="U15" s="23"/>
      <c r="V15" s="24"/>
      <c r="W15" s="8"/>
      <c r="X15" s="8"/>
      <c r="Y15" s="8"/>
      <c r="Z15" s="8"/>
      <c r="AA15" s="8"/>
      <c r="AB15" s="8"/>
      <c r="AC15" s="8"/>
      <c r="AD15" s="8"/>
      <c r="AE15" s="8"/>
      <c r="AF15" s="8"/>
    </row>
    <row r="16" spans="1:32" x14ac:dyDescent="0.2">
      <c r="A16" s="4"/>
      <c r="B16" s="28"/>
      <c r="C16" s="29" t="s">
        <v>31</v>
      </c>
      <c r="D16" s="29" t="s">
        <v>32</v>
      </c>
      <c r="E16" s="29" t="s">
        <v>33</v>
      </c>
      <c r="F16" s="29" t="s">
        <v>31</v>
      </c>
      <c r="G16" s="29" t="s">
        <v>32</v>
      </c>
      <c r="H16" s="29" t="s">
        <v>33</v>
      </c>
      <c r="I16" s="29" t="s">
        <v>31</v>
      </c>
      <c r="J16" s="29" t="s">
        <v>34</v>
      </c>
      <c r="K16" s="29" t="s">
        <v>33</v>
      </c>
      <c r="L16" s="29" t="s">
        <v>31</v>
      </c>
      <c r="M16" s="29" t="s">
        <v>34</v>
      </c>
      <c r="N16" s="29" t="s">
        <v>33</v>
      </c>
      <c r="O16" s="29" t="s">
        <v>31</v>
      </c>
      <c r="P16" s="29" t="s">
        <v>35</v>
      </c>
      <c r="Q16" s="29" t="s">
        <v>33</v>
      </c>
      <c r="R16" s="29" t="s">
        <v>31</v>
      </c>
      <c r="S16" s="29" t="s">
        <v>35</v>
      </c>
      <c r="T16" s="29" t="s">
        <v>33</v>
      </c>
      <c r="U16" s="13" t="s">
        <v>36</v>
      </c>
      <c r="V16" s="14">
        <f>SUM(E17:E19,H17:H19,K17:K19,N17:N19,Q17:Q19,T17:T19)</f>
        <v>2</v>
      </c>
      <c r="W16" s="8"/>
      <c r="X16" s="8"/>
      <c r="Y16" s="8"/>
      <c r="Z16" s="8"/>
      <c r="AA16" s="8"/>
      <c r="AB16" s="8"/>
      <c r="AC16" s="8"/>
      <c r="AD16" s="8"/>
      <c r="AE16" s="8"/>
      <c r="AF16" s="8"/>
    </row>
    <row r="17" spans="1:32" x14ac:dyDescent="0.2">
      <c r="A17" s="4"/>
      <c r="B17" s="19" t="s">
        <v>37</v>
      </c>
      <c r="C17" s="30">
        <v>5.09</v>
      </c>
      <c r="D17" s="30"/>
      <c r="E17" s="31">
        <v>0</v>
      </c>
      <c r="F17" s="30">
        <v>4.58</v>
      </c>
      <c r="G17" s="30"/>
      <c r="H17" s="31">
        <v>0</v>
      </c>
      <c r="I17" s="30">
        <v>2.58</v>
      </c>
      <c r="J17" s="30"/>
      <c r="K17" s="31">
        <v>0</v>
      </c>
      <c r="L17" s="30">
        <v>5.33</v>
      </c>
      <c r="M17" s="30"/>
      <c r="N17" s="31">
        <v>0</v>
      </c>
      <c r="O17" s="30">
        <v>1.36</v>
      </c>
      <c r="P17" s="30"/>
      <c r="Q17" s="31">
        <v>0</v>
      </c>
      <c r="R17" s="30">
        <v>3.72</v>
      </c>
      <c r="S17" s="30"/>
      <c r="T17" s="31">
        <v>0</v>
      </c>
      <c r="U17" s="13" t="s">
        <v>38</v>
      </c>
      <c r="V17" s="14">
        <f>AVERAGE(C17:C19,F17:F19)</f>
        <v>5.7216666666666667</v>
      </c>
      <c r="W17" s="8"/>
      <c r="X17" s="8"/>
      <c r="Y17" s="8"/>
      <c r="Z17" s="8"/>
      <c r="AA17" s="8"/>
      <c r="AB17" s="8"/>
      <c r="AC17" s="8"/>
      <c r="AD17" s="8"/>
      <c r="AE17" s="8"/>
      <c r="AF17" s="8"/>
    </row>
    <row r="18" spans="1:32" x14ac:dyDescent="0.2">
      <c r="A18" s="4"/>
      <c r="B18" s="19" t="s">
        <v>39</v>
      </c>
      <c r="C18" s="30">
        <v>5</v>
      </c>
      <c r="D18" s="30"/>
      <c r="E18" s="31">
        <v>0</v>
      </c>
      <c r="F18" s="30">
        <v>5.73</v>
      </c>
      <c r="G18" s="30"/>
      <c r="H18" s="31">
        <v>0</v>
      </c>
      <c r="I18" s="30">
        <v>3.18</v>
      </c>
      <c r="J18" s="30"/>
      <c r="K18" s="31">
        <v>0</v>
      </c>
      <c r="L18" s="30">
        <v>3.05</v>
      </c>
      <c r="M18" s="30"/>
      <c r="N18" s="31">
        <v>0</v>
      </c>
      <c r="O18" s="30">
        <v>14.71</v>
      </c>
      <c r="P18" s="30"/>
      <c r="Q18" s="31">
        <v>0</v>
      </c>
      <c r="R18" s="30">
        <v>3.17</v>
      </c>
      <c r="S18" s="30"/>
      <c r="T18" s="31">
        <v>2</v>
      </c>
      <c r="U18" s="13" t="s">
        <v>40</v>
      </c>
      <c r="V18" s="14">
        <f>AVERAGE(L17:L19, I17:I19)</f>
        <v>4.456666666666667</v>
      </c>
      <c r="W18" s="8"/>
      <c r="X18" s="8"/>
      <c r="Y18" s="8"/>
      <c r="Z18" s="8"/>
      <c r="AA18" s="8"/>
      <c r="AB18" s="8"/>
      <c r="AC18" s="8"/>
      <c r="AD18" s="8"/>
      <c r="AE18" s="8"/>
      <c r="AF18" s="8"/>
    </row>
    <row r="19" spans="1:32" x14ac:dyDescent="0.2">
      <c r="A19" s="4"/>
      <c r="B19" s="20" t="s">
        <v>41</v>
      </c>
      <c r="C19" s="32">
        <v>6.2</v>
      </c>
      <c r="D19" s="32"/>
      <c r="E19" s="33">
        <v>0</v>
      </c>
      <c r="F19" s="32">
        <v>7.73</v>
      </c>
      <c r="G19" s="32"/>
      <c r="H19" s="33">
        <v>0</v>
      </c>
      <c r="I19" s="32">
        <v>8.31</v>
      </c>
      <c r="J19" s="32"/>
      <c r="K19" s="33">
        <v>0</v>
      </c>
      <c r="L19" s="32">
        <v>4.29</v>
      </c>
      <c r="M19" s="32"/>
      <c r="N19" s="33">
        <v>0</v>
      </c>
      <c r="O19" s="32">
        <v>3.14</v>
      </c>
      <c r="P19" s="32"/>
      <c r="Q19" s="33">
        <v>0</v>
      </c>
      <c r="R19" s="32">
        <v>3.18</v>
      </c>
      <c r="S19" s="32"/>
      <c r="T19" s="33">
        <v>0</v>
      </c>
      <c r="U19" s="13" t="s">
        <v>42</v>
      </c>
      <c r="V19" s="14">
        <f>AVERAGE(R17:R19, O17:O19)</f>
        <v>4.88</v>
      </c>
      <c r="W19" s="8"/>
      <c r="X19" s="8"/>
      <c r="Y19" s="8"/>
      <c r="Z19" s="8"/>
      <c r="AA19" s="8"/>
      <c r="AB19" s="8"/>
      <c r="AC19" s="8"/>
      <c r="AD19" s="8"/>
      <c r="AE19" s="8"/>
      <c r="AF19" s="8"/>
    </row>
    <row r="20" spans="1:32" x14ac:dyDescent="0.2">
      <c r="A20" s="4"/>
      <c r="B20" s="23"/>
      <c r="C20" s="23"/>
      <c r="D20" s="6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13"/>
      <c r="S20" s="13"/>
      <c r="T20" s="23"/>
      <c r="U20" s="23"/>
      <c r="V20" s="24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1:32" x14ac:dyDescent="0.2">
      <c r="A21" s="4"/>
      <c r="B21" s="23"/>
      <c r="C21" s="25"/>
      <c r="D21" s="26" t="s">
        <v>12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7"/>
      <c r="S21" s="27"/>
      <c r="T21" s="25"/>
      <c r="U21" s="23"/>
      <c r="V21" s="24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1:32" x14ac:dyDescent="0.2">
      <c r="A22" s="4"/>
      <c r="B22" s="28"/>
      <c r="C22" s="29" t="s">
        <v>31</v>
      </c>
      <c r="D22" s="29" t="s">
        <v>32</v>
      </c>
      <c r="E22" s="29" t="s">
        <v>33</v>
      </c>
      <c r="F22" s="29" t="s">
        <v>31</v>
      </c>
      <c r="G22" s="29" t="s">
        <v>32</v>
      </c>
      <c r="H22" s="29" t="s">
        <v>33</v>
      </c>
      <c r="I22" s="29" t="s">
        <v>31</v>
      </c>
      <c r="J22" s="29" t="s">
        <v>34</v>
      </c>
      <c r="K22" s="29" t="s">
        <v>33</v>
      </c>
      <c r="L22" s="29" t="s">
        <v>31</v>
      </c>
      <c r="M22" s="29" t="s">
        <v>34</v>
      </c>
      <c r="N22" s="29" t="s">
        <v>33</v>
      </c>
      <c r="O22" s="29" t="s">
        <v>31</v>
      </c>
      <c r="P22" s="29" t="s">
        <v>35</v>
      </c>
      <c r="Q22" s="29" t="s">
        <v>33</v>
      </c>
      <c r="R22" s="29" t="s">
        <v>31</v>
      </c>
      <c r="S22" s="29" t="s">
        <v>35</v>
      </c>
      <c r="T22" s="29" t="s">
        <v>33</v>
      </c>
      <c r="U22" s="13" t="s">
        <v>36</v>
      </c>
      <c r="V22" s="14">
        <f>SUM(E23:E25,H23:H25,K23:K25,N23:N25,Q23:Q25,T23:T25)</f>
        <v>0</v>
      </c>
      <c r="W22" s="8"/>
      <c r="X22" s="8"/>
      <c r="Y22" s="8"/>
      <c r="Z22" s="8"/>
      <c r="AA22" s="8"/>
      <c r="AB22" s="8"/>
      <c r="AC22" s="8"/>
      <c r="AD22" s="8"/>
      <c r="AE22" s="8"/>
      <c r="AF22" s="8"/>
    </row>
    <row r="23" spans="1:32" x14ac:dyDescent="0.2">
      <c r="A23" s="4"/>
      <c r="B23" s="19" t="s">
        <v>37</v>
      </c>
      <c r="C23" s="30">
        <v>4.54</v>
      </c>
      <c r="D23" s="30"/>
      <c r="E23" s="31">
        <v>0</v>
      </c>
      <c r="F23" s="30">
        <v>5.24</v>
      </c>
      <c r="G23" s="30"/>
      <c r="H23" s="31">
        <v>0</v>
      </c>
      <c r="I23" s="30">
        <v>2.84</v>
      </c>
      <c r="J23" s="30"/>
      <c r="K23" s="31">
        <v>0</v>
      </c>
      <c r="L23" s="30">
        <v>3.36</v>
      </c>
      <c r="M23" s="30"/>
      <c r="N23" s="31">
        <v>0</v>
      </c>
      <c r="O23" s="30">
        <v>2.27</v>
      </c>
      <c r="P23" s="30"/>
      <c r="Q23" s="31">
        <v>0</v>
      </c>
      <c r="R23" s="30">
        <v>1.8</v>
      </c>
      <c r="S23" s="30"/>
      <c r="T23" s="31">
        <v>0</v>
      </c>
      <c r="U23" s="13" t="s">
        <v>38</v>
      </c>
      <c r="V23" s="14">
        <f>AVERAGE(C23:C25,F23:F25)</f>
        <v>4.8283333333333331</v>
      </c>
      <c r="W23" s="8"/>
      <c r="X23" s="8"/>
      <c r="Y23" s="8"/>
      <c r="Z23" s="8"/>
      <c r="AA23" s="8"/>
      <c r="AB23" s="8"/>
      <c r="AC23" s="8"/>
      <c r="AD23" s="8"/>
      <c r="AE23" s="8"/>
      <c r="AF23" s="8"/>
    </row>
    <row r="24" spans="1:32" x14ac:dyDescent="0.2">
      <c r="A24" s="4"/>
      <c r="B24" s="19" t="s">
        <v>39</v>
      </c>
      <c r="C24" s="30">
        <v>4.4400000000000004</v>
      </c>
      <c r="D24" s="30"/>
      <c r="E24" s="31">
        <v>0</v>
      </c>
      <c r="F24" s="30">
        <v>4.97</v>
      </c>
      <c r="G24" s="30"/>
      <c r="H24" s="31">
        <v>0</v>
      </c>
      <c r="I24" s="30">
        <v>3.85</v>
      </c>
      <c r="J24" s="30"/>
      <c r="K24" s="31">
        <v>0</v>
      </c>
      <c r="L24" s="30">
        <v>3.18</v>
      </c>
      <c r="M24" s="30"/>
      <c r="N24" s="31">
        <v>0</v>
      </c>
      <c r="O24" s="30">
        <v>2</v>
      </c>
      <c r="P24" s="30"/>
      <c r="Q24" s="31">
        <v>0</v>
      </c>
      <c r="R24" s="30">
        <v>3.15</v>
      </c>
      <c r="S24" s="30"/>
      <c r="T24" s="31">
        <v>0</v>
      </c>
      <c r="U24" s="13" t="s">
        <v>40</v>
      </c>
      <c r="V24" s="14">
        <f>AVERAGE(L23:L25, I23:I25)</f>
        <v>3.44</v>
      </c>
      <c r="W24" s="8"/>
      <c r="X24" s="8"/>
      <c r="Y24" s="8"/>
      <c r="Z24" s="8"/>
      <c r="AA24" s="8"/>
      <c r="AB24" s="8"/>
      <c r="AC24" s="8"/>
      <c r="AD24" s="8"/>
      <c r="AE24" s="8"/>
      <c r="AF24" s="8"/>
    </row>
    <row r="25" spans="1:32" x14ac:dyDescent="0.2">
      <c r="A25" s="4"/>
      <c r="B25" s="20" t="s">
        <v>41</v>
      </c>
      <c r="C25" s="32">
        <v>4.7</v>
      </c>
      <c r="D25" s="32"/>
      <c r="E25" s="33">
        <v>0</v>
      </c>
      <c r="F25" s="32">
        <v>5.08</v>
      </c>
      <c r="G25" s="32"/>
      <c r="H25" s="33">
        <v>0</v>
      </c>
      <c r="I25" s="32">
        <v>2.4700000000000002</v>
      </c>
      <c r="J25" s="32"/>
      <c r="K25" s="33">
        <v>0</v>
      </c>
      <c r="L25" s="32">
        <v>4.9400000000000004</v>
      </c>
      <c r="M25" s="32"/>
      <c r="N25" s="33">
        <v>0</v>
      </c>
      <c r="O25" s="32">
        <v>2.0099999999999998</v>
      </c>
      <c r="P25" s="32"/>
      <c r="Q25" s="33">
        <v>0</v>
      </c>
      <c r="R25" s="32">
        <v>1.91</v>
      </c>
      <c r="S25" s="32"/>
      <c r="T25" s="33">
        <v>0</v>
      </c>
      <c r="U25" s="13" t="s">
        <v>42</v>
      </c>
      <c r="V25" s="14">
        <f>AVERAGE(R23:R25, O23:O25)</f>
        <v>2.19</v>
      </c>
      <c r="W25" s="8"/>
      <c r="X25" s="8"/>
      <c r="Y25" s="8"/>
      <c r="Z25" s="8"/>
      <c r="AA25" s="8"/>
      <c r="AB25" s="8"/>
      <c r="AC25" s="8"/>
      <c r="AD25" s="8"/>
      <c r="AE25" s="8"/>
      <c r="AF25" s="8"/>
    </row>
    <row r="26" spans="1:32" x14ac:dyDescent="0.2">
      <c r="A26" s="4"/>
      <c r="B26" s="5"/>
      <c r="C26" s="5"/>
      <c r="D26" s="6"/>
      <c r="E26" s="7"/>
      <c r="F26" s="5"/>
      <c r="G26" s="5"/>
      <c r="H26" s="7"/>
      <c r="I26" s="5"/>
      <c r="J26" s="5"/>
      <c r="K26" s="7"/>
      <c r="L26" s="5"/>
      <c r="M26" s="5"/>
      <c r="N26" s="7"/>
      <c r="O26" s="5"/>
      <c r="P26" s="5"/>
      <c r="Q26" s="7"/>
      <c r="T26" s="8"/>
      <c r="U26" s="8"/>
      <c r="V26" s="9"/>
      <c r="W26" s="8"/>
      <c r="X26" s="8"/>
      <c r="Y26" s="8"/>
      <c r="Z26" s="8"/>
      <c r="AA26" s="8"/>
      <c r="AB26" s="8"/>
      <c r="AC26" s="8"/>
      <c r="AD26" s="8"/>
      <c r="AE26" s="8"/>
      <c r="AF26" s="8"/>
    </row>
    <row r="27" spans="1:32" x14ac:dyDescent="0.2">
      <c r="A27" s="4"/>
      <c r="B27" s="23"/>
      <c r="C27" s="25"/>
      <c r="D27" s="26" t="s">
        <v>13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7"/>
      <c r="S27" s="27"/>
      <c r="T27" s="25"/>
      <c r="U27" s="23"/>
      <c r="V27" s="24"/>
      <c r="W27" s="8"/>
      <c r="X27" s="8"/>
      <c r="Y27" s="8"/>
      <c r="Z27" s="8"/>
      <c r="AA27" s="8"/>
      <c r="AB27" s="8"/>
      <c r="AC27" s="8"/>
      <c r="AD27" s="8"/>
      <c r="AE27" s="8"/>
      <c r="AF27" s="8"/>
    </row>
    <row r="28" spans="1:32" x14ac:dyDescent="0.2">
      <c r="A28" s="4"/>
      <c r="B28" s="28"/>
      <c r="C28" s="29" t="s">
        <v>31</v>
      </c>
      <c r="D28" s="29" t="s">
        <v>32</v>
      </c>
      <c r="E28" s="29" t="s">
        <v>33</v>
      </c>
      <c r="F28" s="29" t="s">
        <v>31</v>
      </c>
      <c r="G28" s="29" t="s">
        <v>32</v>
      </c>
      <c r="H28" s="29" t="s">
        <v>33</v>
      </c>
      <c r="I28" s="29" t="s">
        <v>31</v>
      </c>
      <c r="J28" s="29" t="s">
        <v>34</v>
      </c>
      <c r="K28" s="29" t="s">
        <v>33</v>
      </c>
      <c r="L28" s="29" t="s">
        <v>31</v>
      </c>
      <c r="M28" s="29" t="s">
        <v>34</v>
      </c>
      <c r="N28" s="29" t="s">
        <v>33</v>
      </c>
      <c r="O28" s="29" t="s">
        <v>31</v>
      </c>
      <c r="P28" s="29" t="s">
        <v>35</v>
      </c>
      <c r="Q28" s="29" t="s">
        <v>33</v>
      </c>
      <c r="R28" s="29" t="s">
        <v>31</v>
      </c>
      <c r="S28" s="29" t="s">
        <v>35</v>
      </c>
      <c r="T28" s="29" t="s">
        <v>33</v>
      </c>
      <c r="U28" s="13" t="s">
        <v>36</v>
      </c>
      <c r="V28" s="14">
        <f>SUM(E29:E31,H29:H31,K29:K31,N29:N31,Q29:Q31,T29:T31)</f>
        <v>7</v>
      </c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1:32" x14ac:dyDescent="0.2">
      <c r="A29" s="4"/>
      <c r="B29" s="19" t="s">
        <v>37</v>
      </c>
      <c r="C29" s="30">
        <v>10.38</v>
      </c>
      <c r="D29" s="30"/>
      <c r="E29" s="31">
        <v>1</v>
      </c>
      <c r="F29" s="30">
        <v>14.59</v>
      </c>
      <c r="G29" s="30"/>
      <c r="H29" s="31">
        <v>1</v>
      </c>
      <c r="I29" s="30">
        <v>5.69</v>
      </c>
      <c r="J29" s="30"/>
      <c r="K29" s="31">
        <v>0</v>
      </c>
      <c r="L29" s="30">
        <v>4.16</v>
      </c>
      <c r="M29" s="30"/>
      <c r="N29" s="31">
        <v>0</v>
      </c>
      <c r="O29" s="30">
        <v>4.37</v>
      </c>
      <c r="P29" s="30"/>
      <c r="Q29" s="31">
        <v>0</v>
      </c>
      <c r="R29" s="30">
        <v>3.56</v>
      </c>
      <c r="S29" s="30"/>
      <c r="T29" s="31">
        <v>1</v>
      </c>
      <c r="U29" s="13" t="s">
        <v>38</v>
      </c>
      <c r="V29" s="14">
        <f>AVERAGE(C29:C31,F29:F31)</f>
        <v>12.303333333333333</v>
      </c>
      <c r="W29" s="8"/>
      <c r="X29" s="8"/>
      <c r="Y29" s="8"/>
      <c r="Z29" s="8"/>
      <c r="AA29" s="8"/>
      <c r="AB29" s="8"/>
      <c r="AC29" s="8"/>
      <c r="AD29" s="8"/>
      <c r="AE29" s="8"/>
      <c r="AF29" s="8"/>
    </row>
    <row r="30" spans="1:32" x14ac:dyDescent="0.2">
      <c r="A30" s="4"/>
      <c r="B30" s="19" t="s">
        <v>39</v>
      </c>
      <c r="C30" s="30">
        <v>13.33</v>
      </c>
      <c r="D30" s="30"/>
      <c r="E30" s="31">
        <v>0</v>
      </c>
      <c r="F30" s="30">
        <v>7.3</v>
      </c>
      <c r="G30" s="30"/>
      <c r="H30" s="31">
        <v>1</v>
      </c>
      <c r="I30" s="30">
        <v>12.66</v>
      </c>
      <c r="J30" s="30"/>
      <c r="K30" s="31">
        <v>1</v>
      </c>
      <c r="L30" s="30">
        <v>3.47</v>
      </c>
      <c r="M30" s="30"/>
      <c r="N30" s="31">
        <v>0</v>
      </c>
      <c r="O30" s="30">
        <v>5.35</v>
      </c>
      <c r="P30" s="30"/>
      <c r="Q30" s="31">
        <v>0</v>
      </c>
      <c r="R30" s="30">
        <v>4.32</v>
      </c>
      <c r="S30" s="30"/>
      <c r="T30" s="31">
        <v>0</v>
      </c>
      <c r="U30" s="13" t="s">
        <v>40</v>
      </c>
      <c r="V30" s="14">
        <f>AVERAGE(L29:L31, I29:I31)</f>
        <v>6.9750000000000005</v>
      </c>
      <c r="W30" s="8"/>
      <c r="X30" s="8"/>
      <c r="Y30" s="8"/>
      <c r="Z30" s="8"/>
      <c r="AA30" s="8"/>
      <c r="AB30" s="8"/>
      <c r="AC30" s="8"/>
      <c r="AD30" s="8"/>
      <c r="AE30" s="8"/>
      <c r="AF30" s="8"/>
    </row>
    <row r="31" spans="1:32" x14ac:dyDescent="0.2">
      <c r="A31" s="4"/>
      <c r="B31" s="20" t="s">
        <v>41</v>
      </c>
      <c r="C31" s="32">
        <v>9.17</v>
      </c>
      <c r="D31" s="32"/>
      <c r="E31" s="33">
        <v>0</v>
      </c>
      <c r="F31" s="32">
        <v>19.05</v>
      </c>
      <c r="G31" s="32"/>
      <c r="H31" s="33">
        <v>1</v>
      </c>
      <c r="I31" s="32">
        <v>12.54</v>
      </c>
      <c r="J31" s="32"/>
      <c r="K31" s="33">
        <v>1</v>
      </c>
      <c r="L31" s="32">
        <v>3.33</v>
      </c>
      <c r="M31" s="32"/>
      <c r="N31" s="33">
        <v>0</v>
      </c>
      <c r="O31" s="32">
        <v>4.87</v>
      </c>
      <c r="P31" s="32"/>
      <c r="Q31" s="33">
        <v>0</v>
      </c>
      <c r="R31" s="32">
        <v>3.85</v>
      </c>
      <c r="S31" s="32"/>
      <c r="T31" s="33">
        <v>0</v>
      </c>
      <c r="U31" s="13" t="s">
        <v>42</v>
      </c>
      <c r="V31" s="14">
        <f>AVERAGE(R29:R31, O29:O31)</f>
        <v>4.3866666666666676</v>
      </c>
      <c r="W31" s="8"/>
      <c r="X31" s="8"/>
      <c r="Y31" s="8"/>
      <c r="Z31" s="8"/>
      <c r="AA31" s="8"/>
      <c r="AB31" s="8"/>
      <c r="AC31" s="8"/>
      <c r="AD31" s="8"/>
      <c r="AE31" s="8"/>
      <c r="AF31" s="8"/>
    </row>
    <row r="32" spans="1:32" x14ac:dyDescent="0.2">
      <c r="A32" s="4"/>
      <c r="B32" s="5"/>
      <c r="C32" s="5"/>
      <c r="D32" s="6"/>
      <c r="E32" s="7"/>
      <c r="F32" s="5"/>
      <c r="G32" s="5"/>
      <c r="H32" s="7"/>
      <c r="I32" s="5"/>
      <c r="J32" s="5"/>
      <c r="K32" s="7"/>
      <c r="L32" s="5"/>
      <c r="M32" s="5"/>
      <c r="N32" s="7"/>
      <c r="O32" s="5"/>
      <c r="P32" s="5"/>
      <c r="Q32" s="7"/>
      <c r="T32" s="8"/>
      <c r="U32" s="8"/>
      <c r="V32" s="9"/>
      <c r="W32" s="8"/>
      <c r="X32" s="8"/>
      <c r="Y32" s="8"/>
      <c r="Z32" s="8"/>
      <c r="AA32" s="8"/>
      <c r="AB32" s="8"/>
      <c r="AC32" s="8"/>
      <c r="AD32" s="8"/>
      <c r="AE32" s="8"/>
      <c r="AF32" s="8"/>
    </row>
    <row r="33" spans="1:32" x14ac:dyDescent="0.2">
      <c r="A33" s="4"/>
      <c r="B33" s="5"/>
      <c r="C33" s="5"/>
      <c r="D33" s="6" t="s">
        <v>14</v>
      </c>
      <c r="E33" s="7"/>
      <c r="F33" s="5"/>
      <c r="G33" s="5"/>
      <c r="H33" s="7"/>
      <c r="I33" s="5"/>
      <c r="J33" s="5"/>
      <c r="K33" s="7"/>
      <c r="L33" s="5"/>
      <c r="M33" s="5"/>
      <c r="N33" s="7"/>
      <c r="O33" s="5"/>
      <c r="P33" s="5"/>
      <c r="Q33" s="7"/>
      <c r="T33" s="8"/>
      <c r="U33" s="8"/>
      <c r="V33" s="9"/>
      <c r="W33" s="8"/>
      <c r="X33" s="8"/>
      <c r="Y33" s="8"/>
      <c r="Z33" s="8"/>
      <c r="AA33" s="8"/>
      <c r="AB33" s="8"/>
      <c r="AC33" s="8"/>
      <c r="AD33" s="8"/>
      <c r="AE33" s="8"/>
      <c r="AF33" s="8"/>
    </row>
    <row r="34" spans="1:32" x14ac:dyDescent="0.2">
      <c r="A34" s="4"/>
      <c r="B34" s="11"/>
      <c r="C34" s="12" t="s">
        <v>31</v>
      </c>
      <c r="D34" s="12" t="s">
        <v>32</v>
      </c>
      <c r="E34" s="12" t="s">
        <v>33</v>
      </c>
      <c r="F34" s="12" t="s">
        <v>31</v>
      </c>
      <c r="G34" s="12" t="s">
        <v>32</v>
      </c>
      <c r="H34" s="12" t="s">
        <v>33</v>
      </c>
      <c r="I34" s="12" t="s">
        <v>31</v>
      </c>
      <c r="J34" s="12" t="s">
        <v>34</v>
      </c>
      <c r="K34" s="12" t="s">
        <v>33</v>
      </c>
      <c r="L34" s="12" t="s">
        <v>31</v>
      </c>
      <c r="M34" s="12" t="s">
        <v>34</v>
      </c>
      <c r="N34" s="12" t="s">
        <v>33</v>
      </c>
      <c r="O34" s="12" t="s">
        <v>31</v>
      </c>
      <c r="P34" s="12" t="s">
        <v>35</v>
      </c>
      <c r="Q34" s="12" t="s">
        <v>33</v>
      </c>
      <c r="R34" s="12" t="s">
        <v>31</v>
      </c>
      <c r="S34" s="12" t="s">
        <v>35</v>
      </c>
      <c r="T34" s="12" t="s">
        <v>33</v>
      </c>
      <c r="U34" s="13" t="s">
        <v>36</v>
      </c>
      <c r="V34" s="14">
        <f>SUM(E35:E37,H35:H37,K35:K37,N35:N37,Q35:Q37,T35:T37)</f>
        <v>1</v>
      </c>
      <c r="W34" s="8"/>
      <c r="X34" s="8"/>
      <c r="Y34" s="8"/>
      <c r="Z34" s="8"/>
      <c r="AA34" s="8"/>
      <c r="AB34" s="8"/>
      <c r="AC34" s="8"/>
      <c r="AD34" s="8"/>
      <c r="AE34" s="8"/>
      <c r="AF34" s="8"/>
    </row>
    <row r="35" spans="1:32" x14ac:dyDescent="0.2">
      <c r="A35" s="4"/>
      <c r="B35" s="16" t="s">
        <v>37</v>
      </c>
      <c r="C35" s="17">
        <v>10.56</v>
      </c>
      <c r="D35" s="17"/>
      <c r="E35" s="18">
        <v>0</v>
      </c>
      <c r="F35" s="17">
        <v>8.01</v>
      </c>
      <c r="G35" s="17"/>
      <c r="H35" s="18">
        <v>0</v>
      </c>
      <c r="I35" s="17">
        <v>3.77</v>
      </c>
      <c r="J35" s="17"/>
      <c r="K35" s="18">
        <v>0</v>
      </c>
      <c r="L35" s="17">
        <v>4.2</v>
      </c>
      <c r="M35" s="17"/>
      <c r="N35" s="18">
        <v>0</v>
      </c>
      <c r="O35" s="17">
        <v>5.23</v>
      </c>
      <c r="P35" s="17"/>
      <c r="Q35" s="18">
        <v>1</v>
      </c>
      <c r="R35" s="17">
        <v>2.19</v>
      </c>
      <c r="S35" s="17"/>
      <c r="T35" s="18">
        <v>0</v>
      </c>
      <c r="U35" s="13" t="s">
        <v>38</v>
      </c>
      <c r="V35" s="14">
        <f>AVERAGE(C35:C37,F35:F37)</f>
        <v>8.831666666666667</v>
      </c>
      <c r="W35" s="8"/>
      <c r="X35" s="8"/>
      <c r="Y35" s="8"/>
      <c r="Z35" s="8"/>
      <c r="AA35" s="8"/>
      <c r="AB35" s="8"/>
      <c r="AC35" s="8"/>
      <c r="AD35" s="8"/>
      <c r="AE35" s="8"/>
      <c r="AF35" s="8"/>
    </row>
    <row r="36" spans="1:32" x14ac:dyDescent="0.2">
      <c r="A36" s="4"/>
      <c r="B36" s="19" t="s">
        <v>39</v>
      </c>
      <c r="C36" s="17">
        <v>9.69</v>
      </c>
      <c r="D36" s="17"/>
      <c r="E36" s="18">
        <v>0</v>
      </c>
      <c r="F36" s="17">
        <v>16.41</v>
      </c>
      <c r="G36" s="17"/>
      <c r="H36" s="18">
        <v>0</v>
      </c>
      <c r="I36" s="17">
        <v>5.12</v>
      </c>
      <c r="J36" s="17"/>
      <c r="K36" s="18">
        <v>0</v>
      </c>
      <c r="L36" s="17">
        <v>4.78</v>
      </c>
      <c r="M36" s="17"/>
      <c r="N36" s="18">
        <v>0</v>
      </c>
      <c r="O36" s="17">
        <v>2.37</v>
      </c>
      <c r="P36" s="17"/>
      <c r="Q36" s="18">
        <v>0</v>
      </c>
      <c r="R36" s="17">
        <v>2.2799999999999998</v>
      </c>
      <c r="S36" s="17"/>
      <c r="T36" s="18">
        <v>0</v>
      </c>
      <c r="U36" s="13" t="s">
        <v>40</v>
      </c>
      <c r="V36" s="14">
        <f>AVERAGE(L35:L37, I35:I37)</f>
        <v>4.1400000000000006</v>
      </c>
      <c r="W36" s="8"/>
      <c r="X36" s="8"/>
      <c r="Y36" s="8"/>
      <c r="Z36" s="8"/>
      <c r="AA36" s="8"/>
      <c r="AB36" s="8"/>
      <c r="AC36" s="8"/>
      <c r="AD36" s="8"/>
      <c r="AE36" s="8"/>
      <c r="AF36" s="8"/>
    </row>
    <row r="37" spans="1:32" x14ac:dyDescent="0.2">
      <c r="A37" s="4"/>
      <c r="B37" s="20" t="s">
        <v>41</v>
      </c>
      <c r="C37" s="21">
        <v>2.42</v>
      </c>
      <c r="D37" s="21"/>
      <c r="E37" s="22">
        <v>0</v>
      </c>
      <c r="F37" s="21">
        <v>5.9</v>
      </c>
      <c r="G37" s="21"/>
      <c r="H37" s="22">
        <v>0</v>
      </c>
      <c r="I37" s="21">
        <v>3.85</v>
      </c>
      <c r="J37" s="21"/>
      <c r="K37" s="22">
        <v>0</v>
      </c>
      <c r="L37" s="21">
        <v>3.12</v>
      </c>
      <c r="M37" s="21"/>
      <c r="N37" s="22">
        <v>0</v>
      </c>
      <c r="O37" s="21">
        <v>2.95</v>
      </c>
      <c r="P37" s="21"/>
      <c r="Q37" s="22">
        <v>0</v>
      </c>
      <c r="R37" s="21">
        <v>2.2999999999999998</v>
      </c>
      <c r="S37" s="21"/>
      <c r="T37" s="22">
        <v>0</v>
      </c>
      <c r="U37" s="13" t="s">
        <v>42</v>
      </c>
      <c r="V37" s="14">
        <f>AVERAGE(R35:R37, O35:O37)</f>
        <v>2.8866666666666667</v>
      </c>
      <c r="W37" s="8"/>
      <c r="X37" s="8"/>
      <c r="Y37" s="8"/>
      <c r="Z37" s="8"/>
      <c r="AA37" s="8"/>
      <c r="AB37" s="8"/>
      <c r="AC37" s="8"/>
      <c r="AD37" s="8"/>
      <c r="AE37" s="8"/>
      <c r="AF37" s="8"/>
    </row>
    <row r="38" spans="1:32" x14ac:dyDescent="0.2">
      <c r="A38" s="4"/>
      <c r="B38" s="5"/>
      <c r="C38" s="5"/>
      <c r="D38" s="5"/>
      <c r="E38" s="7"/>
      <c r="F38" s="5"/>
      <c r="G38" s="5"/>
      <c r="H38" s="7"/>
      <c r="I38" s="5"/>
      <c r="J38" s="5"/>
      <c r="K38" s="7"/>
      <c r="L38" s="5"/>
      <c r="M38" s="5"/>
      <c r="N38" s="7"/>
      <c r="O38" s="5"/>
      <c r="P38" s="5"/>
      <c r="Q38" s="7"/>
      <c r="T38" s="8"/>
      <c r="U38" s="8"/>
      <c r="V38" s="9"/>
      <c r="W38" s="8"/>
      <c r="X38" s="8"/>
      <c r="Y38" s="8"/>
      <c r="Z38" s="8"/>
      <c r="AA38" s="8"/>
      <c r="AB38" s="8"/>
      <c r="AC38" s="8"/>
      <c r="AD38" s="8"/>
      <c r="AE38" s="8"/>
      <c r="AF38" s="8"/>
    </row>
    <row r="39" spans="1:32" x14ac:dyDescent="0.2">
      <c r="A39" s="4"/>
      <c r="B39" s="5"/>
      <c r="C39" s="5"/>
      <c r="D39" s="6" t="s">
        <v>15</v>
      </c>
      <c r="E39" s="7"/>
      <c r="F39" s="5"/>
      <c r="G39" s="5"/>
      <c r="H39" s="7"/>
      <c r="I39" s="5"/>
      <c r="J39" s="5"/>
      <c r="K39" s="7"/>
      <c r="L39" s="5"/>
      <c r="M39" s="5"/>
      <c r="N39" s="7"/>
      <c r="O39" s="5"/>
      <c r="P39" s="5"/>
      <c r="Q39" s="7"/>
      <c r="T39" s="8"/>
      <c r="U39" s="8"/>
      <c r="V39" s="9"/>
      <c r="W39" s="8"/>
      <c r="X39" s="8"/>
      <c r="Y39" s="8"/>
      <c r="Z39" s="8"/>
      <c r="AA39" s="8"/>
      <c r="AB39" s="8"/>
      <c r="AC39" s="8"/>
      <c r="AD39" s="8"/>
      <c r="AE39" s="8"/>
      <c r="AF39" s="8"/>
    </row>
    <row r="40" spans="1:32" x14ac:dyDescent="0.2">
      <c r="A40" s="10"/>
      <c r="B40" s="11"/>
      <c r="C40" s="34" t="s">
        <v>31</v>
      </c>
      <c r="D40" s="34" t="s">
        <v>32</v>
      </c>
      <c r="E40" s="34" t="s">
        <v>33</v>
      </c>
      <c r="F40" s="34" t="s">
        <v>31</v>
      </c>
      <c r="G40" s="29" t="s">
        <v>32</v>
      </c>
      <c r="H40" s="29" t="s">
        <v>33</v>
      </c>
      <c r="I40" s="34" t="s">
        <v>31</v>
      </c>
      <c r="J40" s="34" t="s">
        <v>34</v>
      </c>
      <c r="K40" s="34" t="s">
        <v>33</v>
      </c>
      <c r="L40" s="34" t="s">
        <v>31</v>
      </c>
      <c r="M40" s="34" t="s">
        <v>34</v>
      </c>
      <c r="N40" s="34" t="s">
        <v>33</v>
      </c>
      <c r="O40" s="34" t="s">
        <v>31</v>
      </c>
      <c r="P40" s="34" t="s">
        <v>35</v>
      </c>
      <c r="Q40" s="34" t="s">
        <v>33</v>
      </c>
      <c r="R40" s="34" t="s">
        <v>31</v>
      </c>
      <c r="S40" s="34" t="s">
        <v>35</v>
      </c>
      <c r="T40" s="34" t="s">
        <v>33</v>
      </c>
      <c r="U40" s="13" t="s">
        <v>36</v>
      </c>
      <c r="V40" s="14">
        <f>SUM(E41:E43,H41:H43,K41:K43,N41:N43,Q41:Q43,T41:T43)</f>
        <v>5</v>
      </c>
      <c r="W40" s="15"/>
      <c r="X40" s="15"/>
      <c r="Y40" s="15"/>
      <c r="Z40" s="15"/>
      <c r="AA40" s="15"/>
      <c r="AB40" s="15"/>
      <c r="AC40" s="15"/>
      <c r="AD40" s="15"/>
      <c r="AE40" s="15"/>
      <c r="AF40" s="15"/>
    </row>
    <row r="41" spans="1:32" x14ac:dyDescent="0.2">
      <c r="A41" s="4"/>
      <c r="B41" s="16" t="s">
        <v>37</v>
      </c>
      <c r="C41" s="35">
        <v>8.34</v>
      </c>
      <c r="D41" s="35" t="s">
        <v>43</v>
      </c>
      <c r="E41" s="36">
        <v>0</v>
      </c>
      <c r="F41" s="35"/>
      <c r="G41" s="35"/>
      <c r="H41" s="36"/>
      <c r="I41" s="35">
        <v>11.58</v>
      </c>
      <c r="J41" s="35" t="s">
        <v>89</v>
      </c>
      <c r="K41" s="36">
        <v>0</v>
      </c>
      <c r="L41" s="35">
        <v>14.47</v>
      </c>
      <c r="M41" s="35" t="s">
        <v>44</v>
      </c>
      <c r="N41" s="36">
        <v>1</v>
      </c>
      <c r="O41" s="35">
        <v>1.97</v>
      </c>
      <c r="P41" s="35" t="s">
        <v>45</v>
      </c>
      <c r="Q41" s="36">
        <v>0</v>
      </c>
      <c r="R41" s="35">
        <v>6.11</v>
      </c>
      <c r="S41" s="35" t="s">
        <v>46</v>
      </c>
      <c r="T41" s="36">
        <v>0</v>
      </c>
      <c r="U41" s="13" t="s">
        <v>38</v>
      </c>
      <c r="V41" s="14">
        <f>AVERAGE(C41:C43,F41:F43)</f>
        <v>6.71</v>
      </c>
    </row>
    <row r="42" spans="1:32" x14ac:dyDescent="0.2">
      <c r="A42" s="4"/>
      <c r="B42" s="19" t="s">
        <v>39</v>
      </c>
      <c r="C42" s="17">
        <v>3.61</v>
      </c>
      <c r="D42" s="17" t="s">
        <v>90</v>
      </c>
      <c r="E42" s="18">
        <v>0</v>
      </c>
      <c r="F42" s="17"/>
      <c r="G42" s="17"/>
      <c r="H42" s="18"/>
      <c r="I42" s="17">
        <v>4.6500000000000004</v>
      </c>
      <c r="J42" s="17" t="s">
        <v>91</v>
      </c>
      <c r="K42" s="18">
        <v>0</v>
      </c>
      <c r="L42" s="17">
        <v>5.1100000000000003</v>
      </c>
      <c r="M42" s="17" t="s">
        <v>47</v>
      </c>
      <c r="N42" s="18">
        <v>0</v>
      </c>
      <c r="O42" s="17">
        <v>3.28</v>
      </c>
      <c r="P42" s="17" t="s">
        <v>48</v>
      </c>
      <c r="Q42" s="18">
        <v>0</v>
      </c>
      <c r="R42" s="17">
        <v>2.38</v>
      </c>
      <c r="S42" s="17" t="s">
        <v>49</v>
      </c>
      <c r="T42" s="18">
        <v>0</v>
      </c>
      <c r="U42" s="13" t="s">
        <v>40</v>
      </c>
      <c r="V42" s="14">
        <f>AVERAGE(L41:L43, I41:I43)</f>
        <v>9.7533333333333339</v>
      </c>
    </row>
    <row r="43" spans="1:32" x14ac:dyDescent="0.2">
      <c r="A43" s="4"/>
      <c r="B43" s="20" t="s">
        <v>41</v>
      </c>
      <c r="C43" s="21">
        <v>8.18</v>
      </c>
      <c r="D43" s="21" t="s">
        <v>50</v>
      </c>
      <c r="E43" s="22">
        <v>2</v>
      </c>
      <c r="F43" s="21"/>
      <c r="G43" s="21"/>
      <c r="H43" s="22"/>
      <c r="I43" s="21">
        <v>14.06</v>
      </c>
      <c r="J43" s="21" t="s">
        <v>92</v>
      </c>
      <c r="K43" s="22">
        <v>1</v>
      </c>
      <c r="L43" s="21">
        <v>8.65</v>
      </c>
      <c r="M43" s="21" t="s">
        <v>51</v>
      </c>
      <c r="N43" s="22">
        <v>0</v>
      </c>
      <c r="O43" s="21">
        <v>2.64</v>
      </c>
      <c r="P43" s="21" t="s">
        <v>46</v>
      </c>
      <c r="Q43" s="22">
        <v>0</v>
      </c>
      <c r="R43" s="21">
        <v>3.97</v>
      </c>
      <c r="S43" s="21" t="s">
        <v>46</v>
      </c>
      <c r="T43" s="22">
        <v>1</v>
      </c>
      <c r="U43" s="13" t="s">
        <v>42</v>
      </c>
      <c r="V43" s="14">
        <f>AVERAGE(R41:R43, O41:O43)</f>
        <v>3.3916666666666671</v>
      </c>
    </row>
    <row r="44" spans="1:32" x14ac:dyDescent="0.2">
      <c r="A44" s="4"/>
      <c r="B44" s="5"/>
      <c r="C44" s="5"/>
      <c r="D44" s="5"/>
      <c r="E44" s="7"/>
      <c r="F44" s="23"/>
      <c r="G44" s="23"/>
      <c r="H44" s="23"/>
      <c r="I44" s="5"/>
      <c r="J44" s="5"/>
      <c r="K44" s="7"/>
      <c r="L44" s="5"/>
      <c r="M44" s="5"/>
      <c r="N44" s="7"/>
      <c r="O44" s="5"/>
      <c r="P44" s="5"/>
      <c r="Q44" s="7"/>
      <c r="R44" s="5"/>
      <c r="S44" s="5"/>
      <c r="T44" s="7"/>
      <c r="U44" s="8"/>
      <c r="V44" s="9"/>
      <c r="W44" s="8"/>
      <c r="X44" s="8"/>
      <c r="Y44" s="8"/>
      <c r="Z44" s="8"/>
      <c r="AA44" s="8"/>
      <c r="AB44" s="8"/>
      <c r="AC44" s="8"/>
      <c r="AD44" s="8"/>
      <c r="AE44" s="8"/>
      <c r="AF44" s="8"/>
    </row>
    <row r="45" spans="1:32" x14ac:dyDescent="0.2">
      <c r="A45" s="4"/>
      <c r="B45" s="5"/>
      <c r="C45" s="5"/>
      <c r="D45" s="6" t="s">
        <v>16</v>
      </c>
      <c r="E45" s="7"/>
      <c r="F45" s="25"/>
      <c r="G45" s="25"/>
      <c r="H45" s="25"/>
      <c r="I45" s="5"/>
      <c r="J45" s="5"/>
      <c r="K45" s="7"/>
      <c r="L45" s="5"/>
      <c r="M45" s="5"/>
      <c r="N45" s="7"/>
      <c r="O45" s="5"/>
      <c r="P45" s="5"/>
      <c r="Q45" s="7"/>
      <c r="R45" s="5"/>
      <c r="S45" s="5"/>
      <c r="T45" s="7"/>
      <c r="U45" s="8"/>
      <c r="V45" s="9"/>
      <c r="W45" s="8"/>
      <c r="X45" s="8"/>
      <c r="Y45" s="8"/>
      <c r="Z45" s="8"/>
      <c r="AA45" s="8"/>
      <c r="AB45" s="8"/>
      <c r="AC45" s="8"/>
      <c r="AD45" s="8"/>
      <c r="AE45" s="8"/>
      <c r="AF45" s="8"/>
    </row>
    <row r="46" spans="1:32" x14ac:dyDescent="0.2">
      <c r="A46" s="10"/>
      <c r="B46" s="11"/>
      <c r="C46" s="34" t="s">
        <v>31</v>
      </c>
      <c r="D46" s="34" t="s">
        <v>32</v>
      </c>
      <c r="E46" s="34" t="s">
        <v>33</v>
      </c>
      <c r="F46" s="34" t="s">
        <v>31</v>
      </c>
      <c r="G46" s="29" t="s">
        <v>32</v>
      </c>
      <c r="H46" s="29" t="s">
        <v>33</v>
      </c>
      <c r="I46" s="34" t="s">
        <v>31</v>
      </c>
      <c r="J46" s="34" t="s">
        <v>34</v>
      </c>
      <c r="K46" s="34" t="s">
        <v>33</v>
      </c>
      <c r="L46" s="34" t="s">
        <v>31</v>
      </c>
      <c r="M46" s="34" t="s">
        <v>34</v>
      </c>
      <c r="N46" s="34" t="s">
        <v>33</v>
      </c>
      <c r="O46" s="34" t="s">
        <v>31</v>
      </c>
      <c r="P46" s="34" t="s">
        <v>35</v>
      </c>
      <c r="Q46" s="34" t="s">
        <v>33</v>
      </c>
      <c r="R46" s="34" t="s">
        <v>31</v>
      </c>
      <c r="S46" s="34" t="s">
        <v>35</v>
      </c>
      <c r="T46" s="34" t="s">
        <v>33</v>
      </c>
      <c r="U46" s="13" t="s">
        <v>36</v>
      </c>
      <c r="V46" s="14">
        <f>SUM(E47:E49,H47:H49,K47:K49,N47:N49,Q47:Q49,T47:T49)</f>
        <v>5</v>
      </c>
      <c r="W46" s="15"/>
      <c r="X46" s="15"/>
      <c r="Y46" s="15"/>
      <c r="Z46" s="15"/>
      <c r="AA46" s="15"/>
      <c r="AB46" s="15"/>
      <c r="AC46" s="15"/>
      <c r="AD46" s="15"/>
      <c r="AE46" s="15"/>
      <c r="AF46" s="15"/>
    </row>
    <row r="47" spans="1:32" x14ac:dyDescent="0.2">
      <c r="A47" s="4"/>
      <c r="B47" s="16" t="s">
        <v>37</v>
      </c>
      <c r="C47" s="35">
        <v>4.5999999999999996</v>
      </c>
      <c r="D47" s="35" t="s">
        <v>43</v>
      </c>
      <c r="E47" s="36">
        <v>0</v>
      </c>
      <c r="F47" s="35"/>
      <c r="G47" s="35"/>
      <c r="H47" s="36"/>
      <c r="I47" s="35">
        <v>7.91</v>
      </c>
      <c r="J47" s="35" t="s">
        <v>89</v>
      </c>
      <c r="K47" s="36">
        <v>1</v>
      </c>
      <c r="L47" s="35">
        <v>29.1</v>
      </c>
      <c r="M47" s="35" t="s">
        <v>51</v>
      </c>
      <c r="N47" s="36">
        <v>1</v>
      </c>
      <c r="O47" s="35">
        <v>1.93</v>
      </c>
      <c r="P47" s="35" t="s">
        <v>48</v>
      </c>
      <c r="Q47" s="36">
        <v>0</v>
      </c>
      <c r="R47" s="35">
        <v>2.74</v>
      </c>
      <c r="S47" s="35" t="s">
        <v>46</v>
      </c>
      <c r="T47" s="36">
        <v>0</v>
      </c>
      <c r="U47" s="13" t="s">
        <v>38</v>
      </c>
      <c r="V47" s="14">
        <f>AVERAGE(C47:C49,F47:F49)</f>
        <v>8.7633333333333336</v>
      </c>
    </row>
    <row r="48" spans="1:32" x14ac:dyDescent="0.2">
      <c r="A48" s="4"/>
      <c r="B48" s="19" t="s">
        <v>39</v>
      </c>
      <c r="C48" s="17">
        <v>8.58</v>
      </c>
      <c r="D48" s="17" t="s">
        <v>90</v>
      </c>
      <c r="E48" s="18">
        <v>0</v>
      </c>
      <c r="F48" s="17"/>
      <c r="G48" s="17"/>
      <c r="H48" s="18"/>
      <c r="I48" s="17">
        <v>6.07</v>
      </c>
      <c r="J48" s="17" t="s">
        <v>92</v>
      </c>
      <c r="K48" s="18">
        <v>0</v>
      </c>
      <c r="L48" s="17">
        <v>3.8</v>
      </c>
      <c r="M48" s="17" t="s">
        <v>44</v>
      </c>
      <c r="N48" s="18">
        <v>0</v>
      </c>
      <c r="O48" s="17">
        <v>1.4</v>
      </c>
      <c r="P48" s="17" t="s">
        <v>48</v>
      </c>
      <c r="Q48" s="18">
        <v>0</v>
      </c>
      <c r="R48" s="17">
        <v>2.5499999999999998</v>
      </c>
      <c r="S48" s="17" t="s">
        <v>46</v>
      </c>
      <c r="T48" s="18">
        <v>0</v>
      </c>
      <c r="U48" s="13" t="s">
        <v>40</v>
      </c>
      <c r="V48" s="14">
        <f>AVERAGE(L47:L49, I47:I49)</f>
        <v>9.3683333333333323</v>
      </c>
    </row>
    <row r="49" spans="1:32" x14ac:dyDescent="0.2">
      <c r="A49" s="4"/>
      <c r="B49" s="20" t="s">
        <v>41</v>
      </c>
      <c r="C49" s="21">
        <v>13.11</v>
      </c>
      <c r="D49" s="21" t="s">
        <v>52</v>
      </c>
      <c r="E49" s="22">
        <v>2</v>
      </c>
      <c r="F49" s="21"/>
      <c r="G49" s="21"/>
      <c r="H49" s="22"/>
      <c r="I49" s="21">
        <v>5.15</v>
      </c>
      <c r="J49" s="21" t="s">
        <v>47</v>
      </c>
      <c r="K49" s="22">
        <v>0</v>
      </c>
      <c r="L49" s="21">
        <v>4.18</v>
      </c>
      <c r="M49" s="21" t="s">
        <v>93</v>
      </c>
      <c r="N49" s="22">
        <v>0</v>
      </c>
      <c r="O49" s="21">
        <v>6.33</v>
      </c>
      <c r="P49" s="21" t="s">
        <v>48</v>
      </c>
      <c r="Q49" s="22">
        <v>1</v>
      </c>
      <c r="R49" s="21">
        <v>2.5</v>
      </c>
      <c r="S49" s="21" t="s">
        <v>46</v>
      </c>
      <c r="T49" s="22">
        <v>0</v>
      </c>
      <c r="U49" s="13" t="s">
        <v>42</v>
      </c>
      <c r="V49" s="14">
        <f>AVERAGE(R47:R49, O47:O49)</f>
        <v>2.9083333333333337</v>
      </c>
    </row>
    <row r="50" spans="1:32" x14ac:dyDescent="0.2">
      <c r="A50" s="37"/>
      <c r="B50" s="8"/>
      <c r="E50" s="38"/>
      <c r="F50" s="5"/>
      <c r="G50" s="5"/>
      <c r="H50" s="7"/>
      <c r="K50" s="38"/>
      <c r="N50" s="38"/>
      <c r="Q50" s="38"/>
      <c r="T50" s="38"/>
      <c r="V50" s="14"/>
    </row>
    <row r="51" spans="1:32" x14ac:dyDescent="0.2">
      <c r="A51" s="37"/>
      <c r="B51" s="8"/>
      <c r="D51" s="39" t="s">
        <v>17</v>
      </c>
      <c r="E51" s="38"/>
      <c r="F51" s="25"/>
      <c r="G51" s="25"/>
      <c r="H51" s="25"/>
      <c r="K51" s="38"/>
      <c r="N51" s="38"/>
      <c r="Q51" s="38"/>
      <c r="T51" s="38"/>
      <c r="V51" s="14"/>
    </row>
    <row r="52" spans="1:32" x14ac:dyDescent="0.2">
      <c r="A52" s="10"/>
      <c r="B52" s="11"/>
      <c r="C52" s="12" t="s">
        <v>31</v>
      </c>
      <c r="D52" s="12" t="s">
        <v>32</v>
      </c>
      <c r="E52" s="12" t="s">
        <v>33</v>
      </c>
      <c r="F52" s="34" t="s">
        <v>31</v>
      </c>
      <c r="G52" s="29" t="s">
        <v>32</v>
      </c>
      <c r="H52" s="29" t="s">
        <v>33</v>
      </c>
      <c r="I52" s="12" t="s">
        <v>31</v>
      </c>
      <c r="J52" s="12" t="s">
        <v>34</v>
      </c>
      <c r="K52" s="12" t="s">
        <v>33</v>
      </c>
      <c r="L52" s="12" t="s">
        <v>31</v>
      </c>
      <c r="M52" s="12" t="s">
        <v>34</v>
      </c>
      <c r="N52" s="12" t="s">
        <v>33</v>
      </c>
      <c r="O52" s="12" t="s">
        <v>31</v>
      </c>
      <c r="P52" s="12" t="s">
        <v>35</v>
      </c>
      <c r="Q52" s="12" t="s">
        <v>33</v>
      </c>
      <c r="R52" s="12" t="s">
        <v>31</v>
      </c>
      <c r="S52" s="12" t="s">
        <v>35</v>
      </c>
      <c r="T52" s="12" t="s">
        <v>33</v>
      </c>
      <c r="U52" s="13" t="s">
        <v>36</v>
      </c>
      <c r="V52" s="14">
        <f>SUM(E53:E55,H53:H55,K53:K55,N53:N55,Q53:Q55,T53:T55)</f>
        <v>3</v>
      </c>
      <c r="W52" s="15"/>
      <c r="X52" s="15"/>
      <c r="Y52" s="15"/>
      <c r="Z52" s="15"/>
      <c r="AA52" s="15"/>
      <c r="AB52" s="15"/>
      <c r="AC52" s="15"/>
      <c r="AD52" s="15"/>
      <c r="AE52" s="15"/>
      <c r="AF52" s="15"/>
    </row>
    <row r="53" spans="1:32" x14ac:dyDescent="0.2">
      <c r="A53" s="4"/>
      <c r="B53" s="16" t="s">
        <v>37</v>
      </c>
      <c r="C53" s="17">
        <v>5.75</v>
      </c>
      <c r="D53" s="17" t="s">
        <v>53</v>
      </c>
      <c r="E53" s="18">
        <v>0</v>
      </c>
      <c r="F53" s="17"/>
      <c r="G53" s="17"/>
      <c r="H53" s="18"/>
      <c r="I53" s="17">
        <v>18.95</v>
      </c>
      <c r="J53" s="17" t="s">
        <v>54</v>
      </c>
      <c r="K53" s="18">
        <v>1</v>
      </c>
      <c r="L53" s="17">
        <v>3.04</v>
      </c>
      <c r="M53" s="17" t="s">
        <v>51</v>
      </c>
      <c r="N53" s="18">
        <v>0</v>
      </c>
      <c r="O53" s="17">
        <v>2.4300000000000002</v>
      </c>
      <c r="P53" s="17" t="s">
        <v>46</v>
      </c>
      <c r="Q53" s="18">
        <v>0</v>
      </c>
      <c r="R53" s="17">
        <v>3.11</v>
      </c>
      <c r="S53" s="17" t="s">
        <v>45</v>
      </c>
      <c r="T53" s="18">
        <v>0</v>
      </c>
      <c r="U53" s="13" t="s">
        <v>38</v>
      </c>
      <c r="V53" s="14">
        <f>AVERAGE(C53:C55,F53:F55)</f>
        <v>9.8699999999999992</v>
      </c>
    </row>
    <row r="54" spans="1:32" x14ac:dyDescent="0.2">
      <c r="A54" s="4"/>
      <c r="B54" s="19" t="s">
        <v>39</v>
      </c>
      <c r="C54" s="17">
        <v>16.96</v>
      </c>
      <c r="D54" s="17" t="s">
        <v>90</v>
      </c>
      <c r="E54" s="18">
        <v>2</v>
      </c>
      <c r="F54" s="17"/>
      <c r="G54" s="17"/>
      <c r="H54" s="18"/>
      <c r="I54" s="17">
        <v>4.18</v>
      </c>
      <c r="J54" s="17" t="s">
        <v>55</v>
      </c>
      <c r="K54" s="18">
        <v>0</v>
      </c>
      <c r="L54" s="17">
        <v>4.54</v>
      </c>
      <c r="M54" s="17" t="s">
        <v>56</v>
      </c>
      <c r="N54" s="18">
        <v>0</v>
      </c>
      <c r="O54" s="17">
        <v>2.41</v>
      </c>
      <c r="P54" s="17" t="s">
        <v>48</v>
      </c>
      <c r="Q54" s="18">
        <v>0</v>
      </c>
      <c r="R54" s="17">
        <v>2.4700000000000002</v>
      </c>
      <c r="S54" s="17" t="s">
        <v>49</v>
      </c>
      <c r="T54" s="18">
        <v>0</v>
      </c>
      <c r="U54" s="13" t="s">
        <v>40</v>
      </c>
      <c r="V54" s="14">
        <f>AVERAGE(L53:L55, I53:I55)</f>
        <v>6.41</v>
      </c>
    </row>
    <row r="55" spans="1:32" x14ac:dyDescent="0.2">
      <c r="A55" s="4"/>
      <c r="B55" s="20" t="s">
        <v>41</v>
      </c>
      <c r="C55" s="21">
        <v>6.9</v>
      </c>
      <c r="D55" s="21" t="s">
        <v>57</v>
      </c>
      <c r="E55" s="22">
        <v>0</v>
      </c>
      <c r="F55" s="21"/>
      <c r="G55" s="21"/>
      <c r="H55" s="22"/>
      <c r="I55" s="21">
        <v>4.6399999999999997</v>
      </c>
      <c r="J55" s="21" t="s">
        <v>89</v>
      </c>
      <c r="K55" s="22">
        <v>0</v>
      </c>
      <c r="L55" s="21">
        <v>3.11</v>
      </c>
      <c r="M55" s="21" t="s">
        <v>58</v>
      </c>
      <c r="N55" s="22">
        <v>0</v>
      </c>
      <c r="O55" s="21">
        <v>1.81</v>
      </c>
      <c r="P55" s="21" t="s">
        <v>45</v>
      </c>
      <c r="Q55" s="22">
        <v>0</v>
      </c>
      <c r="R55" s="21">
        <v>2.46</v>
      </c>
      <c r="S55" s="21" t="s">
        <v>46</v>
      </c>
      <c r="T55" s="22">
        <v>0</v>
      </c>
      <c r="U55" s="13" t="s">
        <v>42</v>
      </c>
      <c r="V55" s="14">
        <f>AVERAGE(R53:R55, O53:O55)</f>
        <v>2.4483333333333333</v>
      </c>
    </row>
    <row r="56" spans="1:32" x14ac:dyDescent="0.2">
      <c r="A56" s="37"/>
      <c r="B56" s="8"/>
      <c r="E56" s="38"/>
      <c r="F56" s="5"/>
      <c r="G56" s="5"/>
      <c r="H56" s="7"/>
      <c r="K56" s="38"/>
      <c r="N56" s="38"/>
      <c r="Q56" s="38"/>
      <c r="T56" s="38"/>
      <c r="V56" s="14"/>
    </row>
    <row r="57" spans="1:32" x14ac:dyDescent="0.2">
      <c r="A57" s="4" t="s">
        <v>30</v>
      </c>
      <c r="B57" s="5"/>
      <c r="C57" s="5"/>
      <c r="D57" s="6" t="s">
        <v>18</v>
      </c>
      <c r="E57" s="7"/>
      <c r="F57" s="5"/>
      <c r="G57" s="5"/>
      <c r="H57" s="7"/>
      <c r="I57" s="5"/>
      <c r="J57" s="5"/>
      <c r="K57" s="7"/>
      <c r="L57" s="5"/>
      <c r="M57" s="5"/>
      <c r="N57" s="7"/>
      <c r="O57" s="5"/>
      <c r="P57" s="5"/>
      <c r="Q57" s="7"/>
      <c r="R57" s="5"/>
      <c r="S57" s="5"/>
      <c r="T57" s="7"/>
      <c r="U57" s="8"/>
      <c r="V57" s="9"/>
      <c r="W57" s="8"/>
      <c r="X57" s="8"/>
      <c r="Y57" s="8"/>
      <c r="Z57" s="8"/>
      <c r="AA57" s="8"/>
      <c r="AB57" s="8"/>
      <c r="AC57" s="8"/>
      <c r="AD57" s="8"/>
      <c r="AE57" s="8"/>
      <c r="AF57" s="8"/>
    </row>
    <row r="58" spans="1:32" x14ac:dyDescent="0.2">
      <c r="A58" s="10"/>
      <c r="B58" s="11"/>
      <c r="C58" s="34" t="s">
        <v>31</v>
      </c>
      <c r="D58" s="34" t="s">
        <v>32</v>
      </c>
      <c r="E58" s="34" t="s">
        <v>33</v>
      </c>
      <c r="F58" s="34" t="s">
        <v>31</v>
      </c>
      <c r="G58" s="29" t="s">
        <v>32</v>
      </c>
      <c r="H58" s="29" t="s">
        <v>33</v>
      </c>
      <c r="I58" s="34" t="s">
        <v>31</v>
      </c>
      <c r="J58" s="34" t="s">
        <v>34</v>
      </c>
      <c r="K58" s="34" t="s">
        <v>33</v>
      </c>
      <c r="L58" s="34" t="s">
        <v>31</v>
      </c>
      <c r="M58" s="34" t="s">
        <v>34</v>
      </c>
      <c r="N58" s="34" t="s">
        <v>33</v>
      </c>
      <c r="O58" s="34" t="s">
        <v>31</v>
      </c>
      <c r="P58" s="34" t="s">
        <v>35</v>
      </c>
      <c r="Q58" s="34" t="s">
        <v>33</v>
      </c>
      <c r="R58" s="34" t="s">
        <v>31</v>
      </c>
      <c r="S58" s="34" t="s">
        <v>35</v>
      </c>
      <c r="T58" s="34" t="s">
        <v>33</v>
      </c>
      <c r="U58" s="13" t="s">
        <v>36</v>
      </c>
      <c r="V58" s="14">
        <f>SUM(E59:E61,H59:H61,K59:K61,N59:N61,Q59:Q61,T59:T61)</f>
        <v>6</v>
      </c>
      <c r="W58" s="15"/>
      <c r="X58" s="15"/>
      <c r="Y58" s="15"/>
      <c r="Z58" s="15"/>
      <c r="AA58" s="15"/>
      <c r="AB58" s="15"/>
      <c r="AC58" s="15"/>
      <c r="AD58" s="15"/>
      <c r="AE58" s="15"/>
      <c r="AF58" s="15"/>
    </row>
    <row r="59" spans="1:32" x14ac:dyDescent="0.2">
      <c r="A59" s="4"/>
      <c r="B59" s="16" t="s">
        <v>37</v>
      </c>
      <c r="C59" s="35">
        <v>25.24</v>
      </c>
      <c r="D59" s="35" t="s">
        <v>50</v>
      </c>
      <c r="E59" s="36">
        <v>0</v>
      </c>
      <c r="F59" s="35"/>
      <c r="G59" s="35"/>
      <c r="H59" s="36"/>
      <c r="I59" s="35">
        <v>6.45</v>
      </c>
      <c r="J59" s="35" t="s">
        <v>45</v>
      </c>
      <c r="K59" s="36">
        <v>0</v>
      </c>
      <c r="L59" s="35">
        <v>0</v>
      </c>
      <c r="M59" s="35">
        <v>0</v>
      </c>
      <c r="N59" s="36">
        <v>2</v>
      </c>
      <c r="O59" s="35">
        <v>12.21</v>
      </c>
      <c r="P59" s="35" t="s">
        <v>59</v>
      </c>
      <c r="Q59" s="36">
        <v>0</v>
      </c>
      <c r="R59" s="35">
        <v>3.24</v>
      </c>
      <c r="S59" s="35" t="s">
        <v>60</v>
      </c>
      <c r="T59" s="36">
        <v>0</v>
      </c>
      <c r="U59" s="13" t="s">
        <v>38</v>
      </c>
      <c r="V59" s="14">
        <f>AVERAGE(C59:C61,F59:F61)</f>
        <v>13.593333333333332</v>
      </c>
    </row>
    <row r="60" spans="1:32" x14ac:dyDescent="0.2">
      <c r="A60" s="4"/>
      <c r="B60" s="19" t="s">
        <v>39</v>
      </c>
      <c r="C60" s="17">
        <v>10.28</v>
      </c>
      <c r="D60" s="17" t="s">
        <v>90</v>
      </c>
      <c r="E60" s="18">
        <v>1</v>
      </c>
      <c r="F60" s="17"/>
      <c r="G60" s="17"/>
      <c r="H60" s="18"/>
      <c r="I60" s="17">
        <v>6.09</v>
      </c>
      <c r="J60" s="17" t="s">
        <v>94</v>
      </c>
      <c r="K60" s="18">
        <v>0</v>
      </c>
      <c r="L60" s="17">
        <v>4.4000000000000004</v>
      </c>
      <c r="M60" s="17" t="s">
        <v>44</v>
      </c>
      <c r="N60" s="18">
        <v>0</v>
      </c>
      <c r="O60" s="17">
        <v>3.81</v>
      </c>
      <c r="P60" s="17" t="s">
        <v>61</v>
      </c>
      <c r="Q60" s="18">
        <v>0</v>
      </c>
      <c r="R60" s="17">
        <v>3.17</v>
      </c>
      <c r="S60" s="17" t="s">
        <v>62</v>
      </c>
      <c r="T60" s="18">
        <v>0</v>
      </c>
      <c r="U60" s="13" t="s">
        <v>40</v>
      </c>
      <c r="V60" s="14">
        <f>AVERAGE(L59:L61, I59:I61)</f>
        <v>4.09</v>
      </c>
    </row>
    <row r="61" spans="1:32" x14ac:dyDescent="0.2">
      <c r="A61" s="4"/>
      <c r="B61" s="20" t="s">
        <v>41</v>
      </c>
      <c r="C61" s="21">
        <v>5.26</v>
      </c>
      <c r="D61" s="21" t="s">
        <v>63</v>
      </c>
      <c r="E61" s="22">
        <v>0</v>
      </c>
      <c r="F61" s="21"/>
      <c r="G61" s="21"/>
      <c r="H61" s="22"/>
      <c r="I61" s="21">
        <v>5.54</v>
      </c>
      <c r="J61" s="21" t="s">
        <v>91</v>
      </c>
      <c r="K61" s="22">
        <v>0</v>
      </c>
      <c r="L61" s="21">
        <v>2.06</v>
      </c>
      <c r="M61" s="21" t="s">
        <v>61</v>
      </c>
      <c r="N61" s="22">
        <v>1</v>
      </c>
      <c r="O61" s="21">
        <v>3.25</v>
      </c>
      <c r="P61" s="21" t="s">
        <v>48</v>
      </c>
      <c r="Q61" s="22">
        <v>1</v>
      </c>
      <c r="R61" s="21">
        <v>8.19</v>
      </c>
      <c r="S61" s="21" t="s">
        <v>64</v>
      </c>
      <c r="T61" s="22">
        <v>1</v>
      </c>
      <c r="U61" s="13" t="s">
        <v>42</v>
      </c>
      <c r="V61" s="14">
        <f>AVERAGE(R59:R61, O59:O61)</f>
        <v>5.6450000000000005</v>
      </c>
    </row>
    <row r="62" spans="1:32" x14ac:dyDescent="0.2">
      <c r="A62" s="37"/>
      <c r="B62" s="8"/>
      <c r="E62" s="38"/>
      <c r="K62" s="38"/>
      <c r="N62" s="38"/>
      <c r="Q62" s="38"/>
      <c r="T62" s="38"/>
      <c r="V62" s="14"/>
    </row>
    <row r="63" spans="1:32" x14ac:dyDescent="0.2">
      <c r="A63" s="37"/>
      <c r="B63" s="5"/>
      <c r="C63" s="5"/>
      <c r="D63" s="6" t="s">
        <v>19</v>
      </c>
      <c r="E63" s="7"/>
      <c r="I63" s="5"/>
      <c r="J63" s="5"/>
      <c r="K63" s="7"/>
      <c r="L63" s="5"/>
      <c r="M63" s="5"/>
      <c r="N63" s="7"/>
      <c r="O63" s="5"/>
      <c r="P63" s="5"/>
      <c r="Q63" s="7"/>
      <c r="R63" s="5"/>
      <c r="S63" s="5"/>
      <c r="T63" s="7"/>
      <c r="U63" s="8"/>
      <c r="V63" s="9"/>
    </row>
    <row r="64" spans="1:32" x14ac:dyDescent="0.2">
      <c r="A64" s="37"/>
      <c r="B64" s="11"/>
      <c r="C64" s="34" t="s">
        <v>31</v>
      </c>
      <c r="D64" s="34" t="s">
        <v>32</v>
      </c>
      <c r="E64" s="34" t="s">
        <v>33</v>
      </c>
      <c r="F64" s="34" t="s">
        <v>31</v>
      </c>
      <c r="G64" s="29" t="s">
        <v>32</v>
      </c>
      <c r="H64" s="29" t="s">
        <v>33</v>
      </c>
      <c r="I64" s="34" t="s">
        <v>31</v>
      </c>
      <c r="J64" s="34" t="s">
        <v>34</v>
      </c>
      <c r="K64" s="34" t="s">
        <v>33</v>
      </c>
      <c r="L64" s="34" t="s">
        <v>31</v>
      </c>
      <c r="M64" s="34" t="s">
        <v>34</v>
      </c>
      <c r="N64" s="34" t="s">
        <v>33</v>
      </c>
      <c r="O64" s="34" t="s">
        <v>31</v>
      </c>
      <c r="P64" s="34" t="s">
        <v>35</v>
      </c>
      <c r="Q64" s="34" t="s">
        <v>33</v>
      </c>
      <c r="R64" s="34" t="s">
        <v>31</v>
      </c>
      <c r="S64" s="34" t="s">
        <v>35</v>
      </c>
      <c r="T64" s="34" t="s">
        <v>33</v>
      </c>
      <c r="U64" s="13" t="s">
        <v>36</v>
      </c>
      <c r="V64" s="14">
        <f>SUM(E65:E67,H65:H67,K65:K67,N65:N67,Q65:Q67,T65:T67)</f>
        <v>3</v>
      </c>
    </row>
    <row r="65" spans="1:22" x14ac:dyDescent="0.2">
      <c r="A65" s="37"/>
      <c r="B65" s="16" t="s">
        <v>37</v>
      </c>
      <c r="C65" s="35">
        <v>7.74</v>
      </c>
      <c r="D65" s="35" t="s">
        <v>95</v>
      </c>
      <c r="E65" s="36">
        <v>0</v>
      </c>
      <c r="F65" s="35"/>
      <c r="G65" s="35"/>
      <c r="H65" s="36"/>
      <c r="I65" s="35">
        <v>4.9800000000000004</v>
      </c>
      <c r="J65" s="35" t="s">
        <v>92</v>
      </c>
      <c r="K65" s="36">
        <v>0</v>
      </c>
      <c r="L65" s="35">
        <v>5.12</v>
      </c>
      <c r="M65" s="35" t="s">
        <v>65</v>
      </c>
      <c r="N65" s="36">
        <v>0</v>
      </c>
      <c r="O65" s="35">
        <v>4.2</v>
      </c>
      <c r="P65" s="35" t="s">
        <v>66</v>
      </c>
      <c r="Q65" s="36">
        <v>0</v>
      </c>
      <c r="R65" s="35">
        <v>2.76</v>
      </c>
      <c r="S65" s="35" t="s">
        <v>45</v>
      </c>
      <c r="T65" s="36">
        <v>0</v>
      </c>
      <c r="U65" s="13" t="s">
        <v>38</v>
      </c>
      <c r="V65" s="14">
        <f>AVERAGE(C65:C67,F65:F67)</f>
        <v>9.0633333333333344</v>
      </c>
    </row>
    <row r="66" spans="1:22" x14ac:dyDescent="0.2">
      <c r="A66" s="37"/>
      <c r="B66" s="19" t="s">
        <v>39</v>
      </c>
      <c r="C66" s="17">
        <v>12.24</v>
      </c>
      <c r="D66" s="17" t="s">
        <v>67</v>
      </c>
      <c r="E66" s="18">
        <v>1</v>
      </c>
      <c r="F66" s="17"/>
      <c r="G66" s="17"/>
      <c r="H66" s="18"/>
      <c r="I66" s="17">
        <v>14.48</v>
      </c>
      <c r="J66" s="17" t="s">
        <v>44</v>
      </c>
      <c r="K66" s="18">
        <v>2</v>
      </c>
      <c r="L66" s="17">
        <v>8.67</v>
      </c>
      <c r="M66" s="17" t="s">
        <v>65</v>
      </c>
      <c r="N66" s="18">
        <v>0</v>
      </c>
      <c r="O66" s="17">
        <v>3.65</v>
      </c>
      <c r="P66" s="17" t="s">
        <v>45</v>
      </c>
      <c r="Q66" s="18">
        <v>0</v>
      </c>
      <c r="R66" s="17">
        <v>4.71</v>
      </c>
      <c r="S66" s="17" t="s">
        <v>66</v>
      </c>
      <c r="T66" s="18">
        <v>0</v>
      </c>
      <c r="U66" s="13" t="s">
        <v>40</v>
      </c>
      <c r="V66" s="14">
        <f>AVERAGE(L65:L67, I65:I67)</f>
        <v>7.3583333333333334</v>
      </c>
    </row>
    <row r="67" spans="1:22" x14ac:dyDescent="0.2">
      <c r="A67" s="37"/>
      <c r="B67" s="20" t="s">
        <v>41</v>
      </c>
      <c r="C67" s="21">
        <v>7.21</v>
      </c>
      <c r="D67" s="21" t="s">
        <v>90</v>
      </c>
      <c r="E67" s="22">
        <v>0</v>
      </c>
      <c r="F67" s="21"/>
      <c r="G67" s="21"/>
      <c r="H67" s="22"/>
      <c r="I67" s="21">
        <v>5.38</v>
      </c>
      <c r="J67" s="21" t="s">
        <v>96</v>
      </c>
      <c r="K67" s="22">
        <v>0</v>
      </c>
      <c r="L67" s="21">
        <v>5.52</v>
      </c>
      <c r="M67" s="21" t="s">
        <v>97</v>
      </c>
      <c r="N67" s="22">
        <v>0</v>
      </c>
      <c r="O67" s="21">
        <v>3.94</v>
      </c>
      <c r="P67" s="21" t="s">
        <v>68</v>
      </c>
      <c r="Q67" s="22">
        <v>0</v>
      </c>
      <c r="R67" s="21">
        <v>4.51</v>
      </c>
      <c r="S67" s="21" t="s">
        <v>69</v>
      </c>
      <c r="T67" s="22">
        <v>0</v>
      </c>
      <c r="U67" s="13" t="s">
        <v>42</v>
      </c>
      <c r="V67" s="14">
        <f>AVERAGE(R65:R67, O65:O67)</f>
        <v>3.9616666666666664</v>
      </c>
    </row>
    <row r="68" spans="1:22" x14ac:dyDescent="0.2">
      <c r="A68" s="37"/>
    </row>
    <row r="69" spans="1:22" x14ac:dyDescent="0.2">
      <c r="A69" s="37"/>
      <c r="B69" s="5"/>
      <c r="C69" s="5"/>
      <c r="D69" s="6" t="s">
        <v>20</v>
      </c>
      <c r="E69" s="7"/>
      <c r="F69" s="5"/>
      <c r="G69" s="5"/>
      <c r="H69" s="7"/>
      <c r="I69" s="5"/>
      <c r="J69" s="5"/>
      <c r="K69" s="7"/>
      <c r="L69" s="5"/>
      <c r="M69" s="5"/>
      <c r="N69" s="7"/>
      <c r="O69" s="5"/>
      <c r="P69" s="5"/>
      <c r="Q69" s="7"/>
      <c r="U69" s="8"/>
      <c r="V69" s="9"/>
    </row>
    <row r="70" spans="1:22" x14ac:dyDescent="0.2">
      <c r="A70" s="37"/>
      <c r="B70" s="11"/>
      <c r="C70" s="12" t="s">
        <v>31</v>
      </c>
      <c r="D70" s="12" t="s">
        <v>32</v>
      </c>
      <c r="E70" s="12" t="s">
        <v>33</v>
      </c>
      <c r="F70" s="12" t="s">
        <v>31</v>
      </c>
      <c r="G70" s="12" t="s">
        <v>32</v>
      </c>
      <c r="H70" s="12" t="s">
        <v>33</v>
      </c>
      <c r="I70" s="12" t="s">
        <v>31</v>
      </c>
      <c r="J70" s="12" t="s">
        <v>34</v>
      </c>
      <c r="K70" s="12" t="s">
        <v>33</v>
      </c>
      <c r="L70" s="12" t="s">
        <v>31</v>
      </c>
      <c r="M70" s="12" t="s">
        <v>34</v>
      </c>
      <c r="N70" s="12" t="s">
        <v>33</v>
      </c>
      <c r="O70" s="12" t="s">
        <v>31</v>
      </c>
      <c r="P70" s="12" t="s">
        <v>35</v>
      </c>
      <c r="Q70" s="12" t="s">
        <v>33</v>
      </c>
      <c r="R70" s="12" t="s">
        <v>31</v>
      </c>
      <c r="S70" s="12" t="s">
        <v>35</v>
      </c>
      <c r="T70" s="12" t="s">
        <v>33</v>
      </c>
      <c r="U70" s="13" t="s">
        <v>36</v>
      </c>
      <c r="V70" s="14">
        <f>SUM(E71:E73,H71:H73,K71:K73,N71:N73,Q71:Q73,T71:T73)</f>
        <v>13</v>
      </c>
    </row>
    <row r="71" spans="1:22" x14ac:dyDescent="0.2">
      <c r="A71" s="37"/>
      <c r="B71" s="16" t="s">
        <v>37</v>
      </c>
      <c r="C71" s="17">
        <v>16.53</v>
      </c>
      <c r="D71" s="17" t="s">
        <v>90</v>
      </c>
      <c r="E71" s="18">
        <v>1</v>
      </c>
      <c r="F71" s="17">
        <v>12.93</v>
      </c>
      <c r="G71" s="17" t="s">
        <v>50</v>
      </c>
      <c r="H71" s="18">
        <v>0</v>
      </c>
      <c r="I71" s="17">
        <v>5.13</v>
      </c>
      <c r="J71" s="17" t="s">
        <v>54</v>
      </c>
      <c r="K71" s="18">
        <v>1</v>
      </c>
      <c r="L71" s="17">
        <v>6.18</v>
      </c>
      <c r="M71" s="17" t="s">
        <v>70</v>
      </c>
      <c r="N71" s="18">
        <v>0</v>
      </c>
      <c r="O71" s="17">
        <v>8.6199999999999992</v>
      </c>
      <c r="P71" s="17" t="s">
        <v>68</v>
      </c>
      <c r="Q71" s="18">
        <v>2</v>
      </c>
      <c r="R71" s="17">
        <v>3.24</v>
      </c>
      <c r="S71" s="17" t="s">
        <v>48</v>
      </c>
      <c r="T71" s="18">
        <v>0</v>
      </c>
      <c r="U71" s="13" t="s">
        <v>38</v>
      </c>
      <c r="V71" s="14">
        <f>AVERAGE(C71:C73,F71:F73)</f>
        <v>14.37</v>
      </c>
    </row>
    <row r="72" spans="1:22" x14ac:dyDescent="0.2">
      <c r="A72" s="37"/>
      <c r="B72" s="19" t="s">
        <v>39</v>
      </c>
      <c r="C72" s="17">
        <v>18.3</v>
      </c>
      <c r="D72" s="17" t="s">
        <v>95</v>
      </c>
      <c r="E72" s="18">
        <v>0</v>
      </c>
      <c r="F72" s="17">
        <v>18.53</v>
      </c>
      <c r="G72" s="17" t="s">
        <v>43</v>
      </c>
      <c r="H72" s="18">
        <v>3</v>
      </c>
      <c r="I72" s="17">
        <v>5.35</v>
      </c>
      <c r="J72" s="17" t="s">
        <v>98</v>
      </c>
      <c r="K72" s="18">
        <v>0</v>
      </c>
      <c r="L72" s="17">
        <v>15.63</v>
      </c>
      <c r="M72" s="17" t="s">
        <v>55</v>
      </c>
      <c r="N72" s="18">
        <v>2</v>
      </c>
      <c r="O72" s="17">
        <v>4.1399999999999997</v>
      </c>
      <c r="P72" s="17" t="s">
        <v>66</v>
      </c>
      <c r="Q72" s="18">
        <v>0</v>
      </c>
      <c r="R72" s="17">
        <v>3.09</v>
      </c>
      <c r="S72" s="17" t="s">
        <v>71</v>
      </c>
      <c r="T72" s="18">
        <v>0</v>
      </c>
      <c r="U72" s="13" t="s">
        <v>40</v>
      </c>
      <c r="V72" s="14">
        <f>AVERAGE(L71:L73, I71:I73)</f>
        <v>8.3783333333333339</v>
      </c>
    </row>
    <row r="73" spans="1:22" x14ac:dyDescent="0.2">
      <c r="A73" s="37"/>
      <c r="B73" s="20" t="s">
        <v>41</v>
      </c>
      <c r="C73" s="21">
        <v>5.79</v>
      </c>
      <c r="D73" s="21" t="s">
        <v>99</v>
      </c>
      <c r="E73" s="22">
        <v>0</v>
      </c>
      <c r="F73" s="21">
        <v>14.14</v>
      </c>
      <c r="G73" s="21" t="s">
        <v>50</v>
      </c>
      <c r="H73" s="22">
        <v>2</v>
      </c>
      <c r="I73" s="21">
        <v>8.86</v>
      </c>
      <c r="J73" s="21" t="s">
        <v>54</v>
      </c>
      <c r="K73" s="22">
        <v>1</v>
      </c>
      <c r="L73" s="21">
        <v>9.1199999999999992</v>
      </c>
      <c r="M73" s="21" t="s">
        <v>98</v>
      </c>
      <c r="N73" s="22">
        <v>0</v>
      </c>
      <c r="O73" s="21">
        <v>5.17</v>
      </c>
      <c r="P73" s="21" t="s">
        <v>68</v>
      </c>
      <c r="Q73" s="22">
        <v>1</v>
      </c>
      <c r="R73" s="21">
        <v>5.67</v>
      </c>
      <c r="S73" s="21" t="s">
        <v>48</v>
      </c>
      <c r="T73" s="22">
        <v>0</v>
      </c>
      <c r="U73" s="13" t="s">
        <v>42</v>
      </c>
      <c r="V73" s="14">
        <f>AVERAGE(R71:R73, O71:O73)</f>
        <v>4.9883333333333333</v>
      </c>
    </row>
    <row r="74" spans="1:22" x14ac:dyDescent="0.2">
      <c r="A74" s="37"/>
      <c r="B74" s="8"/>
      <c r="E74" s="38"/>
      <c r="H74" s="38"/>
      <c r="K74" s="38"/>
      <c r="N74" s="38"/>
      <c r="Q74" s="38"/>
      <c r="V74" s="14"/>
    </row>
    <row r="75" spans="1:22" x14ac:dyDescent="0.2">
      <c r="A75" s="37"/>
      <c r="B75" s="5"/>
      <c r="C75" s="5"/>
      <c r="D75" s="6" t="s">
        <v>22</v>
      </c>
      <c r="E75" s="7"/>
      <c r="F75" s="5"/>
      <c r="G75" s="5"/>
      <c r="H75" s="7"/>
      <c r="I75" s="5"/>
      <c r="J75" s="5"/>
      <c r="K75" s="7"/>
      <c r="L75" s="5"/>
      <c r="M75" s="5"/>
      <c r="N75" s="7"/>
      <c r="O75" s="5"/>
      <c r="P75" s="5"/>
      <c r="Q75" s="7"/>
      <c r="U75" s="8"/>
      <c r="V75" s="9"/>
    </row>
    <row r="76" spans="1:22" x14ac:dyDescent="0.2">
      <c r="A76" s="37"/>
      <c r="B76" s="11"/>
      <c r="C76" s="12" t="s">
        <v>31</v>
      </c>
      <c r="D76" s="12" t="s">
        <v>32</v>
      </c>
      <c r="E76" s="12" t="s">
        <v>33</v>
      </c>
      <c r="F76" s="12" t="s">
        <v>31</v>
      </c>
      <c r="G76" s="12" t="s">
        <v>32</v>
      </c>
      <c r="H76" s="12" t="s">
        <v>33</v>
      </c>
      <c r="I76" s="12" t="s">
        <v>31</v>
      </c>
      <c r="J76" s="12" t="s">
        <v>34</v>
      </c>
      <c r="K76" s="12" t="s">
        <v>33</v>
      </c>
      <c r="L76" s="12" t="s">
        <v>31</v>
      </c>
      <c r="M76" s="12" t="s">
        <v>34</v>
      </c>
      <c r="N76" s="12" t="s">
        <v>33</v>
      </c>
      <c r="O76" s="12" t="s">
        <v>31</v>
      </c>
      <c r="P76" s="12" t="s">
        <v>35</v>
      </c>
      <c r="Q76" s="12" t="s">
        <v>33</v>
      </c>
      <c r="R76" s="12" t="s">
        <v>31</v>
      </c>
      <c r="S76" s="12" t="s">
        <v>35</v>
      </c>
      <c r="T76" s="12" t="s">
        <v>33</v>
      </c>
      <c r="U76" s="13" t="s">
        <v>36</v>
      </c>
      <c r="V76" s="14">
        <f>SUM(E77:E79,H77:H79,K77:K79,N77:N79,Q77:Q79,T77:T79)</f>
        <v>3</v>
      </c>
    </row>
    <row r="77" spans="1:22" x14ac:dyDescent="0.2">
      <c r="A77" s="37"/>
      <c r="B77" s="16" t="s">
        <v>37</v>
      </c>
      <c r="C77" s="17">
        <v>6.93</v>
      </c>
      <c r="D77" s="17" t="s">
        <v>72</v>
      </c>
      <c r="E77" s="18">
        <v>0</v>
      </c>
      <c r="F77" s="17">
        <v>11.15</v>
      </c>
      <c r="G77" s="17" t="s">
        <v>52</v>
      </c>
      <c r="H77" s="18">
        <v>0</v>
      </c>
      <c r="I77" s="17">
        <v>6.3</v>
      </c>
      <c r="J77" s="17" t="s">
        <v>89</v>
      </c>
      <c r="K77" s="18">
        <v>0</v>
      </c>
      <c r="L77" s="17">
        <v>3.73</v>
      </c>
      <c r="M77" s="17" t="s">
        <v>56</v>
      </c>
      <c r="N77" s="18">
        <v>0</v>
      </c>
      <c r="O77" s="17">
        <v>4.68</v>
      </c>
      <c r="P77" s="17" t="s">
        <v>68</v>
      </c>
      <c r="Q77" s="18">
        <v>1</v>
      </c>
      <c r="R77" s="17">
        <v>2.98</v>
      </c>
      <c r="S77" s="17" t="s">
        <v>45</v>
      </c>
      <c r="T77" s="18">
        <v>0</v>
      </c>
      <c r="U77" s="13" t="s">
        <v>38</v>
      </c>
      <c r="V77" s="14">
        <f>AVERAGE(C77:C79,F77:F79)</f>
        <v>6.4849999999999994</v>
      </c>
    </row>
    <row r="78" spans="1:22" x14ac:dyDescent="0.2">
      <c r="A78" s="37"/>
      <c r="B78" s="19" t="s">
        <v>39</v>
      </c>
      <c r="C78" s="17">
        <v>3.04</v>
      </c>
      <c r="D78" s="17" t="s">
        <v>43</v>
      </c>
      <c r="E78" s="18">
        <v>0</v>
      </c>
      <c r="F78" s="17">
        <v>9.09</v>
      </c>
      <c r="G78" s="17" t="s">
        <v>90</v>
      </c>
      <c r="H78" s="18">
        <v>1</v>
      </c>
      <c r="I78" s="17">
        <v>3.55</v>
      </c>
      <c r="J78" s="17" t="s">
        <v>54</v>
      </c>
      <c r="K78" s="18">
        <v>0</v>
      </c>
      <c r="L78" s="17">
        <v>4.1399999999999997</v>
      </c>
      <c r="M78" s="17" t="s">
        <v>100</v>
      </c>
      <c r="N78" s="18">
        <v>0</v>
      </c>
      <c r="O78" s="17">
        <v>3.6</v>
      </c>
      <c r="P78" s="17" t="s">
        <v>68</v>
      </c>
      <c r="Q78" s="18">
        <v>0</v>
      </c>
      <c r="R78" s="17">
        <v>1.78</v>
      </c>
      <c r="S78" s="17" t="s">
        <v>69</v>
      </c>
      <c r="T78" s="18">
        <v>0</v>
      </c>
      <c r="U78" s="13" t="s">
        <v>40</v>
      </c>
      <c r="V78" s="14">
        <f>AVERAGE(L77:L79, I77:I79)</f>
        <v>4.7866666666666662</v>
      </c>
    </row>
    <row r="79" spans="1:22" x14ac:dyDescent="0.2">
      <c r="A79" s="37"/>
      <c r="B79" s="20" t="s">
        <v>41</v>
      </c>
      <c r="C79" s="21">
        <v>3.98</v>
      </c>
      <c r="D79" s="21" t="s">
        <v>73</v>
      </c>
      <c r="E79" s="22">
        <v>0</v>
      </c>
      <c r="F79" s="21">
        <v>4.72</v>
      </c>
      <c r="G79" s="21" t="s">
        <v>101</v>
      </c>
      <c r="H79" s="22">
        <v>0</v>
      </c>
      <c r="I79" s="21">
        <v>6.01</v>
      </c>
      <c r="J79" s="21" t="s">
        <v>58</v>
      </c>
      <c r="K79" s="22">
        <v>1</v>
      </c>
      <c r="L79" s="21">
        <v>4.99</v>
      </c>
      <c r="M79" s="21" t="s">
        <v>102</v>
      </c>
      <c r="N79" s="22">
        <v>0</v>
      </c>
      <c r="O79" s="21">
        <v>2.0299999999999998</v>
      </c>
      <c r="P79" s="21" t="s">
        <v>74</v>
      </c>
      <c r="Q79" s="22">
        <v>0</v>
      </c>
      <c r="R79" s="21">
        <v>3.54</v>
      </c>
      <c r="S79" s="21" t="s">
        <v>66</v>
      </c>
      <c r="T79" s="22">
        <v>0</v>
      </c>
      <c r="U79" s="13" t="s">
        <v>42</v>
      </c>
      <c r="V79" s="14">
        <f>AVERAGE(R77:R79, O77:O79)</f>
        <v>3.101666666666667</v>
      </c>
    </row>
    <row r="80" spans="1:22" x14ac:dyDescent="0.2">
      <c r="A80" s="37"/>
      <c r="B80" s="8"/>
      <c r="E80" s="38"/>
      <c r="H80" s="38"/>
      <c r="K80" s="38"/>
      <c r="N80" s="38"/>
      <c r="Q80" s="38"/>
      <c r="V80" s="14"/>
    </row>
    <row r="81" spans="1:22" x14ac:dyDescent="0.2">
      <c r="A81" s="37"/>
      <c r="B81" s="5"/>
      <c r="C81" s="5"/>
      <c r="D81" s="6" t="s">
        <v>23</v>
      </c>
      <c r="E81" s="7"/>
      <c r="F81" s="5"/>
      <c r="G81" s="5"/>
      <c r="H81" s="7"/>
      <c r="I81" s="5"/>
      <c r="J81" s="5"/>
      <c r="K81" s="7"/>
      <c r="L81" s="5"/>
      <c r="M81" s="5"/>
      <c r="N81" s="7"/>
      <c r="O81" s="5"/>
      <c r="P81" s="5"/>
      <c r="Q81" s="7"/>
      <c r="U81" s="8"/>
      <c r="V81" s="9"/>
    </row>
    <row r="82" spans="1:22" x14ac:dyDescent="0.2">
      <c r="A82" s="37"/>
      <c r="B82" s="11"/>
      <c r="C82" s="12" t="s">
        <v>31</v>
      </c>
      <c r="D82" s="12" t="s">
        <v>32</v>
      </c>
      <c r="E82" s="12" t="s">
        <v>33</v>
      </c>
      <c r="F82" s="12" t="s">
        <v>31</v>
      </c>
      <c r="G82" s="12" t="s">
        <v>32</v>
      </c>
      <c r="H82" s="12" t="s">
        <v>33</v>
      </c>
      <c r="I82" s="12" t="s">
        <v>31</v>
      </c>
      <c r="J82" s="12" t="s">
        <v>34</v>
      </c>
      <c r="K82" s="12" t="s">
        <v>33</v>
      </c>
      <c r="L82" s="12" t="s">
        <v>31</v>
      </c>
      <c r="M82" s="12" t="s">
        <v>34</v>
      </c>
      <c r="N82" s="12" t="s">
        <v>33</v>
      </c>
      <c r="O82" s="12" t="s">
        <v>31</v>
      </c>
      <c r="P82" s="12" t="s">
        <v>35</v>
      </c>
      <c r="Q82" s="12" t="s">
        <v>33</v>
      </c>
      <c r="R82" s="12" t="s">
        <v>31</v>
      </c>
      <c r="S82" s="12" t="s">
        <v>35</v>
      </c>
      <c r="T82" s="12" t="s">
        <v>33</v>
      </c>
      <c r="U82" s="13" t="s">
        <v>36</v>
      </c>
      <c r="V82" s="14">
        <f>SUM(E83:E85,H83:H85,K83:K85,N83:N85,Q83:Q85,T83:T85)</f>
        <v>4</v>
      </c>
    </row>
    <row r="83" spans="1:22" x14ac:dyDescent="0.2">
      <c r="A83" s="37"/>
      <c r="B83" s="16" t="s">
        <v>37</v>
      </c>
      <c r="C83" s="17">
        <v>23.44</v>
      </c>
      <c r="D83" s="17" t="s">
        <v>75</v>
      </c>
      <c r="E83" s="18">
        <v>1</v>
      </c>
      <c r="F83" s="17">
        <v>8.4</v>
      </c>
      <c r="G83" s="17" t="s">
        <v>90</v>
      </c>
      <c r="H83" s="18">
        <v>0</v>
      </c>
      <c r="I83" s="17">
        <v>3.4</v>
      </c>
      <c r="J83" s="17" t="s">
        <v>97</v>
      </c>
      <c r="K83" s="18">
        <v>0</v>
      </c>
      <c r="L83" s="17">
        <v>3.32</v>
      </c>
      <c r="M83" s="17" t="s">
        <v>56</v>
      </c>
      <c r="N83" s="18">
        <v>0</v>
      </c>
      <c r="O83" s="17">
        <v>3.29</v>
      </c>
      <c r="P83" s="17" t="s">
        <v>74</v>
      </c>
      <c r="Q83" s="18">
        <v>0</v>
      </c>
      <c r="R83" s="17">
        <v>1.78</v>
      </c>
      <c r="S83" s="17" t="s">
        <v>45</v>
      </c>
      <c r="T83" s="18">
        <v>0</v>
      </c>
      <c r="U83" s="13" t="s">
        <v>38</v>
      </c>
      <c r="V83" s="14">
        <f>AVERAGE(C83:C85,F83:F85)</f>
        <v>8.8133333333333326</v>
      </c>
    </row>
    <row r="84" spans="1:22" x14ac:dyDescent="0.2">
      <c r="A84" s="37"/>
      <c r="B84" s="19" t="s">
        <v>39</v>
      </c>
      <c r="C84" s="17">
        <v>8.0500000000000007</v>
      </c>
      <c r="D84" s="17" t="s">
        <v>72</v>
      </c>
      <c r="E84" s="18">
        <v>0</v>
      </c>
      <c r="F84" s="17">
        <v>3.79</v>
      </c>
      <c r="G84" s="17" t="s">
        <v>101</v>
      </c>
      <c r="H84" s="18">
        <v>0</v>
      </c>
      <c r="I84" s="17">
        <v>3.85</v>
      </c>
      <c r="J84" s="17" t="s">
        <v>89</v>
      </c>
      <c r="K84" s="18">
        <v>0</v>
      </c>
      <c r="L84" s="17">
        <v>4.7</v>
      </c>
      <c r="M84" s="17" t="s">
        <v>103</v>
      </c>
      <c r="N84" s="18">
        <v>1</v>
      </c>
      <c r="O84" s="17">
        <v>3.03</v>
      </c>
      <c r="P84" s="17" t="s">
        <v>66</v>
      </c>
      <c r="Q84" s="18">
        <v>0</v>
      </c>
      <c r="R84" s="17">
        <v>6.34</v>
      </c>
      <c r="S84" s="17" t="s">
        <v>69</v>
      </c>
      <c r="T84" s="18">
        <v>2</v>
      </c>
      <c r="U84" s="13" t="s">
        <v>40</v>
      </c>
      <c r="V84" s="14">
        <f>AVERAGE(L83:L85, I83:I85)</f>
        <v>3.9833333333333329</v>
      </c>
    </row>
    <row r="85" spans="1:22" x14ac:dyDescent="0.2">
      <c r="A85" s="37"/>
      <c r="B85" s="20" t="s">
        <v>41</v>
      </c>
      <c r="C85" s="21">
        <v>3.62</v>
      </c>
      <c r="D85" s="21" t="s">
        <v>104</v>
      </c>
      <c r="E85" s="22">
        <v>0</v>
      </c>
      <c r="F85" s="21">
        <v>5.58</v>
      </c>
      <c r="G85" s="21" t="s">
        <v>67</v>
      </c>
      <c r="H85" s="22">
        <v>0</v>
      </c>
      <c r="I85" s="21">
        <v>5.75</v>
      </c>
      <c r="J85" s="21" t="s">
        <v>96</v>
      </c>
      <c r="K85" s="22">
        <v>0</v>
      </c>
      <c r="L85" s="21">
        <v>2.88</v>
      </c>
      <c r="M85" s="21" t="s">
        <v>102</v>
      </c>
      <c r="N85" s="22">
        <v>0</v>
      </c>
      <c r="O85" s="21">
        <v>3.37</v>
      </c>
      <c r="P85" s="21" t="s">
        <v>68</v>
      </c>
      <c r="Q85" s="22">
        <v>0</v>
      </c>
      <c r="R85" s="21">
        <v>2.57</v>
      </c>
      <c r="S85" s="21" t="s">
        <v>76</v>
      </c>
      <c r="T85" s="22">
        <v>0</v>
      </c>
      <c r="U85" s="13" t="s">
        <v>42</v>
      </c>
      <c r="V85" s="14">
        <f>AVERAGE(R83:R85, O83:O85)</f>
        <v>3.3966666666666669</v>
      </c>
    </row>
    <row r="86" spans="1:22" x14ac:dyDescent="0.2">
      <c r="A86" s="37"/>
      <c r="B86" s="8"/>
      <c r="E86" s="38"/>
      <c r="H86" s="38"/>
      <c r="K86" s="38"/>
      <c r="N86" s="38"/>
      <c r="Q86" s="38"/>
      <c r="V86" s="14"/>
    </row>
    <row r="87" spans="1:22" x14ac:dyDescent="0.2">
      <c r="A87" s="37"/>
      <c r="B87" s="5"/>
      <c r="C87" s="5"/>
      <c r="D87" s="6" t="s">
        <v>24</v>
      </c>
      <c r="E87" s="7"/>
      <c r="F87" s="5"/>
      <c r="G87" s="5"/>
      <c r="H87" s="7"/>
      <c r="I87" s="5"/>
      <c r="J87" s="5"/>
      <c r="K87" s="7"/>
      <c r="L87" s="5"/>
      <c r="M87" s="5"/>
      <c r="N87" s="7"/>
      <c r="O87" s="5"/>
      <c r="P87" s="5"/>
      <c r="Q87" s="7"/>
      <c r="U87" s="8"/>
      <c r="V87" s="9"/>
    </row>
    <row r="88" spans="1:22" x14ac:dyDescent="0.2">
      <c r="A88" s="37"/>
      <c r="B88" s="11"/>
      <c r="C88" s="12" t="s">
        <v>31</v>
      </c>
      <c r="D88" s="12" t="s">
        <v>32</v>
      </c>
      <c r="E88" s="12" t="s">
        <v>33</v>
      </c>
      <c r="F88" s="12" t="s">
        <v>31</v>
      </c>
      <c r="G88" s="12" t="s">
        <v>32</v>
      </c>
      <c r="H88" s="12" t="s">
        <v>33</v>
      </c>
      <c r="I88" s="12" t="s">
        <v>31</v>
      </c>
      <c r="J88" s="12" t="s">
        <v>34</v>
      </c>
      <c r="K88" s="12" t="s">
        <v>33</v>
      </c>
      <c r="L88" s="12" t="s">
        <v>31</v>
      </c>
      <c r="M88" s="12" t="s">
        <v>34</v>
      </c>
      <c r="N88" s="12" t="s">
        <v>33</v>
      </c>
      <c r="O88" s="12" t="s">
        <v>31</v>
      </c>
      <c r="P88" s="12" t="s">
        <v>35</v>
      </c>
      <c r="Q88" s="12" t="s">
        <v>33</v>
      </c>
      <c r="R88" s="12" t="s">
        <v>31</v>
      </c>
      <c r="S88" s="12" t="s">
        <v>35</v>
      </c>
      <c r="T88" s="12" t="s">
        <v>33</v>
      </c>
      <c r="U88" s="13" t="s">
        <v>36</v>
      </c>
      <c r="V88" s="14">
        <f>SUM(E89:E91,H89:H91,K89:K91,N89:N91,Q89:Q91,T89:T91)</f>
        <v>5</v>
      </c>
    </row>
    <row r="89" spans="1:22" x14ac:dyDescent="0.2">
      <c r="A89" s="37"/>
      <c r="B89" s="16" t="s">
        <v>37</v>
      </c>
      <c r="C89" s="17">
        <v>11.7</v>
      </c>
      <c r="D89" s="17" t="s">
        <v>67</v>
      </c>
      <c r="E89" s="18">
        <v>1</v>
      </c>
      <c r="F89" s="17">
        <v>5.2</v>
      </c>
      <c r="G89" s="17" t="s">
        <v>90</v>
      </c>
      <c r="H89" s="18">
        <v>0</v>
      </c>
      <c r="I89" s="17">
        <v>6.79</v>
      </c>
      <c r="J89" s="17" t="s">
        <v>105</v>
      </c>
      <c r="K89" s="18">
        <v>0</v>
      </c>
      <c r="L89" s="17">
        <v>3.79</v>
      </c>
      <c r="M89" s="17" t="s">
        <v>58</v>
      </c>
      <c r="N89" s="18">
        <v>0</v>
      </c>
      <c r="O89" s="17">
        <v>2.86</v>
      </c>
      <c r="P89" s="17" t="s">
        <v>68</v>
      </c>
      <c r="Q89" s="18">
        <v>1</v>
      </c>
      <c r="R89" s="17">
        <v>6.02</v>
      </c>
      <c r="S89" s="17" t="s">
        <v>69</v>
      </c>
      <c r="T89" s="18">
        <v>2</v>
      </c>
      <c r="U89" s="13" t="s">
        <v>38</v>
      </c>
      <c r="V89" s="14">
        <f>AVERAGE(C89:C91,F89:F91)</f>
        <v>6.7633333333333328</v>
      </c>
    </row>
    <row r="90" spans="1:22" x14ac:dyDescent="0.2">
      <c r="A90" s="37"/>
      <c r="B90" s="19" t="s">
        <v>39</v>
      </c>
      <c r="C90" s="17">
        <v>4.43</v>
      </c>
      <c r="D90" s="17" t="s">
        <v>106</v>
      </c>
      <c r="E90" s="18">
        <v>0</v>
      </c>
      <c r="F90" s="17">
        <v>5.33</v>
      </c>
      <c r="G90" s="17" t="s">
        <v>67</v>
      </c>
      <c r="H90" s="18">
        <v>0</v>
      </c>
      <c r="I90" s="17">
        <v>3.01</v>
      </c>
      <c r="J90" s="17" t="s">
        <v>103</v>
      </c>
      <c r="K90" s="18">
        <v>0</v>
      </c>
      <c r="L90" s="17">
        <v>4.8499999999999996</v>
      </c>
      <c r="M90" s="17" t="s">
        <v>107</v>
      </c>
      <c r="N90" s="18">
        <v>0</v>
      </c>
      <c r="O90" s="17">
        <v>8.02</v>
      </c>
      <c r="P90" s="17" t="s">
        <v>77</v>
      </c>
      <c r="Q90" s="18">
        <v>1</v>
      </c>
      <c r="R90" s="17">
        <v>2.92</v>
      </c>
      <c r="S90" s="17" t="s">
        <v>66</v>
      </c>
      <c r="T90" s="18">
        <v>0</v>
      </c>
      <c r="U90" s="13" t="s">
        <v>40</v>
      </c>
      <c r="V90" s="14">
        <f>AVERAGE(L89:L91, I89:I91)</f>
        <v>5.333333333333333</v>
      </c>
    </row>
    <row r="91" spans="1:22" x14ac:dyDescent="0.2">
      <c r="A91" s="37"/>
      <c r="B91" s="20" t="s">
        <v>41</v>
      </c>
      <c r="C91" s="21">
        <v>3.9</v>
      </c>
      <c r="D91" s="21" t="s">
        <v>95</v>
      </c>
      <c r="E91" s="22">
        <v>0</v>
      </c>
      <c r="F91" s="21">
        <v>10.02</v>
      </c>
      <c r="G91" s="21" t="s">
        <v>72</v>
      </c>
      <c r="H91" s="22">
        <v>0</v>
      </c>
      <c r="I91" s="21">
        <v>7.95</v>
      </c>
      <c r="J91" s="21" t="s">
        <v>51</v>
      </c>
      <c r="K91" s="22">
        <v>0</v>
      </c>
      <c r="L91" s="21">
        <v>5.61</v>
      </c>
      <c r="M91" s="21" t="s">
        <v>92</v>
      </c>
      <c r="N91" s="22">
        <v>0</v>
      </c>
      <c r="O91" s="21">
        <v>2.23</v>
      </c>
      <c r="P91" s="21" t="s">
        <v>45</v>
      </c>
      <c r="Q91" s="22">
        <v>0</v>
      </c>
      <c r="R91" s="21">
        <v>3.02</v>
      </c>
      <c r="S91" s="21" t="s">
        <v>68</v>
      </c>
      <c r="T91" s="22">
        <v>0</v>
      </c>
      <c r="U91" s="13" t="s">
        <v>42</v>
      </c>
      <c r="V91" s="14">
        <f>AVERAGE(R89:R91, O89:O91)</f>
        <v>4.1783333333333328</v>
      </c>
    </row>
    <row r="92" spans="1:22" x14ac:dyDescent="0.2">
      <c r="A92" s="37"/>
      <c r="B92" s="8"/>
      <c r="E92" s="38"/>
      <c r="H92" s="38"/>
      <c r="K92" s="38"/>
      <c r="N92" s="38"/>
      <c r="Q92" s="38"/>
      <c r="S92" s="14"/>
    </row>
    <row r="93" spans="1:22" x14ac:dyDescent="0.2">
      <c r="A93" s="37"/>
      <c r="B93" s="5"/>
      <c r="C93" s="5"/>
      <c r="D93" s="6" t="s">
        <v>25</v>
      </c>
      <c r="E93" s="7"/>
      <c r="F93" s="5"/>
      <c r="G93" s="5"/>
      <c r="H93" s="7"/>
      <c r="I93" s="5"/>
      <c r="J93" s="5"/>
      <c r="K93" s="7"/>
      <c r="L93" s="5"/>
      <c r="M93" s="5"/>
      <c r="N93" s="7"/>
      <c r="O93" s="5"/>
      <c r="P93" s="5"/>
      <c r="Q93" s="7"/>
      <c r="R93" s="8"/>
      <c r="S93" s="9"/>
      <c r="T93" s="8"/>
      <c r="U93" s="8"/>
      <c r="V93" s="8"/>
    </row>
    <row r="94" spans="1:22" x14ac:dyDescent="0.2">
      <c r="A94" s="37"/>
      <c r="B94" s="11"/>
      <c r="C94" s="12" t="s">
        <v>31</v>
      </c>
      <c r="D94" s="12" t="s">
        <v>32</v>
      </c>
      <c r="E94" s="12" t="s">
        <v>33</v>
      </c>
      <c r="F94" s="12" t="s">
        <v>31</v>
      </c>
      <c r="G94" s="12" t="s">
        <v>32</v>
      </c>
      <c r="H94" s="12" t="s">
        <v>33</v>
      </c>
      <c r="I94" s="12" t="s">
        <v>31</v>
      </c>
      <c r="J94" s="12" t="s">
        <v>34</v>
      </c>
      <c r="K94" s="12" t="s">
        <v>33</v>
      </c>
      <c r="L94" s="12" t="s">
        <v>31</v>
      </c>
      <c r="M94" s="12" t="s">
        <v>34</v>
      </c>
      <c r="N94" s="12" t="s">
        <v>33</v>
      </c>
      <c r="O94" s="12" t="s">
        <v>31</v>
      </c>
      <c r="P94" s="12" t="s">
        <v>35</v>
      </c>
      <c r="Q94" s="12" t="s">
        <v>33</v>
      </c>
      <c r="R94" s="12" t="s">
        <v>31</v>
      </c>
      <c r="S94" s="12" t="s">
        <v>35</v>
      </c>
      <c r="T94" s="12" t="s">
        <v>33</v>
      </c>
      <c r="U94" s="13" t="s">
        <v>36</v>
      </c>
      <c r="V94" s="14">
        <f>SUM(E95:E97,H95:H97,K95:K97,N95:N97,Q95:Q97,T95:T97)</f>
        <v>6</v>
      </c>
    </row>
    <row r="95" spans="1:22" x14ac:dyDescent="0.2">
      <c r="A95" s="37"/>
      <c r="B95" s="16" t="s">
        <v>37</v>
      </c>
      <c r="C95" s="17">
        <v>5.37</v>
      </c>
      <c r="D95" s="17" t="s">
        <v>90</v>
      </c>
      <c r="E95" s="18">
        <v>0</v>
      </c>
      <c r="F95" s="17">
        <v>4.05</v>
      </c>
      <c r="G95" s="17" t="s">
        <v>75</v>
      </c>
      <c r="H95" s="18">
        <v>0</v>
      </c>
      <c r="I95" s="17">
        <v>5.43</v>
      </c>
      <c r="J95" s="17" t="s">
        <v>78</v>
      </c>
      <c r="K95" s="18">
        <v>0</v>
      </c>
      <c r="L95" s="17">
        <v>3.21</v>
      </c>
      <c r="M95" s="17" t="s">
        <v>108</v>
      </c>
      <c r="N95" s="18">
        <v>0</v>
      </c>
      <c r="O95" s="17">
        <v>13.4</v>
      </c>
      <c r="P95" s="17" t="s">
        <v>45</v>
      </c>
      <c r="Q95" s="18">
        <v>1</v>
      </c>
      <c r="R95" s="17">
        <v>2.69</v>
      </c>
      <c r="S95" s="17" t="s">
        <v>71</v>
      </c>
      <c r="T95" s="18">
        <v>0</v>
      </c>
      <c r="U95" s="13" t="s">
        <v>38</v>
      </c>
      <c r="V95" s="14">
        <f>AVERAGE(C95:C97,F95:F97)</f>
        <v>5.3816666666666668</v>
      </c>
    </row>
    <row r="96" spans="1:22" x14ac:dyDescent="0.2">
      <c r="A96" s="37"/>
      <c r="B96" s="19" t="s">
        <v>39</v>
      </c>
      <c r="C96" s="17">
        <v>4.46</v>
      </c>
      <c r="D96" s="17" t="s">
        <v>72</v>
      </c>
      <c r="E96" s="18">
        <v>0</v>
      </c>
      <c r="F96" s="17">
        <v>6.31</v>
      </c>
      <c r="G96" s="17" t="s">
        <v>104</v>
      </c>
      <c r="H96" s="18">
        <v>0</v>
      </c>
      <c r="I96" s="17">
        <v>3.6</v>
      </c>
      <c r="J96" s="17" t="s">
        <v>92</v>
      </c>
      <c r="K96" s="18">
        <v>0</v>
      </c>
      <c r="L96" s="17">
        <v>8.1300000000000008</v>
      </c>
      <c r="M96" s="17" t="s">
        <v>47</v>
      </c>
      <c r="N96" s="18">
        <v>1</v>
      </c>
      <c r="O96" s="17">
        <v>6.08</v>
      </c>
      <c r="P96" s="17" t="s">
        <v>45</v>
      </c>
      <c r="Q96" s="18">
        <v>1</v>
      </c>
      <c r="R96" s="17">
        <v>5.17</v>
      </c>
      <c r="S96" s="17" t="s">
        <v>66</v>
      </c>
      <c r="T96" s="18">
        <v>0</v>
      </c>
      <c r="U96" s="13" t="s">
        <v>40</v>
      </c>
      <c r="V96" s="14">
        <f>AVERAGE(L95:L97, I95:I97)</f>
        <v>7.0133333333333328</v>
      </c>
    </row>
    <row r="97" spans="1:22" x14ac:dyDescent="0.2">
      <c r="A97" s="37"/>
      <c r="B97" s="20" t="s">
        <v>41</v>
      </c>
      <c r="C97" s="21">
        <v>6.01</v>
      </c>
      <c r="D97" s="21" t="s">
        <v>106</v>
      </c>
      <c r="E97" s="22">
        <v>0</v>
      </c>
      <c r="F97" s="21">
        <v>6.09</v>
      </c>
      <c r="G97" s="21" t="s">
        <v>75</v>
      </c>
      <c r="H97" s="22">
        <v>0</v>
      </c>
      <c r="I97" s="21">
        <v>16.579999999999998</v>
      </c>
      <c r="J97" s="21" t="s">
        <v>109</v>
      </c>
      <c r="K97" s="22">
        <v>1</v>
      </c>
      <c r="L97" s="21">
        <v>5.13</v>
      </c>
      <c r="M97" s="21" t="s">
        <v>79</v>
      </c>
      <c r="N97" s="22">
        <v>0</v>
      </c>
      <c r="O97" s="21">
        <v>5.24</v>
      </c>
      <c r="P97" s="21" t="s">
        <v>68</v>
      </c>
      <c r="Q97" s="22">
        <v>1</v>
      </c>
      <c r="R97" s="21">
        <v>8.1300000000000008</v>
      </c>
      <c r="S97" s="21" t="s">
        <v>110</v>
      </c>
      <c r="T97" s="22">
        <v>1</v>
      </c>
      <c r="U97" s="13" t="s">
        <v>42</v>
      </c>
      <c r="V97" s="14">
        <f>AVERAGE(R95:R97, O95:O97)</f>
        <v>6.7850000000000001</v>
      </c>
    </row>
    <row r="98" spans="1:22" x14ac:dyDescent="0.2">
      <c r="A98" s="37"/>
      <c r="B98" s="8"/>
      <c r="E98" s="38"/>
      <c r="H98" s="38"/>
      <c r="K98" s="38"/>
      <c r="N98" s="38"/>
      <c r="Q98" s="38"/>
      <c r="S98" s="14"/>
    </row>
    <row r="99" spans="1:22" x14ac:dyDescent="0.2">
      <c r="A99" s="37"/>
      <c r="B99" s="5"/>
      <c r="C99" s="5"/>
      <c r="D99" s="6" t="s">
        <v>26</v>
      </c>
      <c r="E99" s="7"/>
      <c r="F99" s="5"/>
      <c r="G99" s="5"/>
      <c r="H99" s="7"/>
      <c r="I99" s="5"/>
      <c r="J99" s="5"/>
      <c r="K99" s="7"/>
      <c r="L99" s="5"/>
      <c r="M99" s="5"/>
      <c r="N99" s="7"/>
      <c r="O99" s="5"/>
      <c r="P99" s="5"/>
      <c r="Q99" s="7"/>
      <c r="R99" s="8"/>
      <c r="S99" s="9"/>
      <c r="T99" s="8"/>
      <c r="U99" s="8"/>
      <c r="V99" s="8"/>
    </row>
    <row r="100" spans="1:22" x14ac:dyDescent="0.2">
      <c r="A100" s="37"/>
      <c r="B100" s="11"/>
      <c r="C100" s="12" t="s">
        <v>31</v>
      </c>
      <c r="D100" s="12" t="s">
        <v>32</v>
      </c>
      <c r="E100" s="12" t="s">
        <v>33</v>
      </c>
      <c r="F100" s="12" t="s">
        <v>31</v>
      </c>
      <c r="G100" s="12" t="s">
        <v>32</v>
      </c>
      <c r="H100" s="12" t="s">
        <v>33</v>
      </c>
      <c r="I100" s="12" t="s">
        <v>31</v>
      </c>
      <c r="J100" s="12" t="s">
        <v>34</v>
      </c>
      <c r="K100" s="12" t="s">
        <v>33</v>
      </c>
      <c r="L100" s="12" t="s">
        <v>31</v>
      </c>
      <c r="M100" s="12" t="s">
        <v>34</v>
      </c>
      <c r="N100" s="12" t="s">
        <v>33</v>
      </c>
      <c r="O100" s="12" t="s">
        <v>31</v>
      </c>
      <c r="P100" s="12" t="s">
        <v>35</v>
      </c>
      <c r="Q100" s="12" t="s">
        <v>33</v>
      </c>
      <c r="R100" s="12" t="s">
        <v>31</v>
      </c>
      <c r="S100" s="12" t="s">
        <v>35</v>
      </c>
      <c r="T100" s="12" t="s">
        <v>33</v>
      </c>
      <c r="U100" s="13" t="s">
        <v>36</v>
      </c>
      <c r="V100" s="14">
        <f>SUM(E101:E103,H101:H103,K101:K103,N101:N103,Q101:Q103,T101:T103)</f>
        <v>10</v>
      </c>
    </row>
    <row r="101" spans="1:22" x14ac:dyDescent="0.2">
      <c r="A101" s="37"/>
      <c r="B101" s="16" t="s">
        <v>37</v>
      </c>
      <c r="C101" s="17">
        <v>12.75</v>
      </c>
      <c r="D101" s="17" t="s">
        <v>80</v>
      </c>
      <c r="E101" s="18">
        <v>1</v>
      </c>
      <c r="F101" s="17">
        <v>7.37</v>
      </c>
      <c r="G101" s="17" t="s">
        <v>95</v>
      </c>
      <c r="H101" s="18">
        <v>0</v>
      </c>
      <c r="I101" s="17">
        <v>5.54</v>
      </c>
      <c r="J101" s="17" t="s">
        <v>111</v>
      </c>
      <c r="K101" s="18">
        <v>0</v>
      </c>
      <c r="L101" s="17">
        <v>4.74</v>
      </c>
      <c r="M101" s="17" t="s">
        <v>55</v>
      </c>
      <c r="N101" s="18">
        <v>0</v>
      </c>
      <c r="O101" s="17">
        <v>7.23</v>
      </c>
      <c r="P101" s="17" t="s">
        <v>81</v>
      </c>
      <c r="Q101" s="18">
        <v>1</v>
      </c>
      <c r="R101" s="17">
        <v>1.96</v>
      </c>
      <c r="S101" s="17" t="s">
        <v>45</v>
      </c>
      <c r="T101" s="18">
        <v>0</v>
      </c>
      <c r="U101" s="13" t="s">
        <v>38</v>
      </c>
      <c r="V101" s="14">
        <f>AVERAGE(C101:C103,F101:F103)</f>
        <v>7.0149999999999997</v>
      </c>
    </row>
    <row r="102" spans="1:22" x14ac:dyDescent="0.2">
      <c r="A102" s="37"/>
      <c r="B102" s="19" t="s">
        <v>39</v>
      </c>
      <c r="C102" s="17">
        <v>3.28</v>
      </c>
      <c r="D102" s="17" t="s">
        <v>101</v>
      </c>
      <c r="E102" s="18">
        <v>0</v>
      </c>
      <c r="F102" s="17">
        <v>10.46</v>
      </c>
      <c r="G102" s="17" t="s">
        <v>72</v>
      </c>
      <c r="H102" s="18">
        <v>1</v>
      </c>
      <c r="I102" s="17">
        <v>3.8</v>
      </c>
      <c r="J102" s="17" t="s">
        <v>54</v>
      </c>
      <c r="K102" s="18">
        <v>0</v>
      </c>
      <c r="L102" s="17">
        <v>6.43</v>
      </c>
      <c r="M102" s="17" t="s">
        <v>100</v>
      </c>
      <c r="N102" s="18">
        <v>1</v>
      </c>
      <c r="O102" s="17">
        <v>9.5</v>
      </c>
      <c r="P102" s="17" t="s">
        <v>66</v>
      </c>
      <c r="Q102" s="18">
        <v>2</v>
      </c>
      <c r="R102" s="17">
        <v>13.58</v>
      </c>
      <c r="S102" s="17" t="s">
        <v>79</v>
      </c>
      <c r="T102" s="18">
        <v>2</v>
      </c>
      <c r="U102" s="13" t="s">
        <v>40</v>
      </c>
      <c r="V102" s="14">
        <f>AVERAGE(L101:L103, I101:I103)</f>
        <v>5.5450000000000008</v>
      </c>
    </row>
    <row r="103" spans="1:22" x14ac:dyDescent="0.2">
      <c r="A103" s="37"/>
      <c r="B103" s="20" t="s">
        <v>41</v>
      </c>
      <c r="C103" s="21">
        <v>4.47</v>
      </c>
      <c r="D103" s="21" t="s">
        <v>72</v>
      </c>
      <c r="E103" s="22">
        <v>0</v>
      </c>
      <c r="F103" s="21">
        <v>3.76</v>
      </c>
      <c r="G103" s="21" t="s">
        <v>95</v>
      </c>
      <c r="H103" s="22">
        <v>0</v>
      </c>
      <c r="I103" s="21">
        <v>9.08</v>
      </c>
      <c r="J103" s="21" t="s">
        <v>51</v>
      </c>
      <c r="K103" s="22">
        <v>1</v>
      </c>
      <c r="L103" s="21">
        <v>3.68</v>
      </c>
      <c r="M103" s="21" t="s">
        <v>112</v>
      </c>
      <c r="N103" s="22">
        <v>0</v>
      </c>
      <c r="O103" s="21">
        <v>9.25</v>
      </c>
      <c r="P103" s="21" t="s">
        <v>45</v>
      </c>
      <c r="Q103" s="22">
        <v>0</v>
      </c>
      <c r="R103" s="21">
        <v>7.32</v>
      </c>
      <c r="S103" s="21" t="s">
        <v>66</v>
      </c>
      <c r="T103" s="22">
        <v>1</v>
      </c>
      <c r="U103" s="13" t="s">
        <v>42</v>
      </c>
      <c r="V103" s="14">
        <f>AVERAGE(R101:R103, O101:O103)</f>
        <v>8.14</v>
      </c>
    </row>
    <row r="104" spans="1:22" x14ac:dyDescent="0.2">
      <c r="A104" s="37"/>
      <c r="B104" s="8"/>
      <c r="E104" s="38"/>
      <c r="H104" s="38"/>
      <c r="K104" s="38"/>
      <c r="N104" s="38"/>
      <c r="Q104" s="38"/>
      <c r="S104" s="14"/>
    </row>
    <row r="105" spans="1:22" x14ac:dyDescent="0.2">
      <c r="A105" s="37"/>
      <c r="B105" s="5"/>
      <c r="C105" s="5"/>
      <c r="D105" s="6" t="s">
        <v>27</v>
      </c>
      <c r="E105" s="7"/>
      <c r="F105" s="5"/>
      <c r="G105" s="5"/>
      <c r="H105" s="7"/>
      <c r="I105" s="5"/>
      <c r="J105" s="5"/>
      <c r="K105" s="7"/>
      <c r="L105" s="5"/>
      <c r="M105" s="5"/>
      <c r="N105" s="7"/>
      <c r="O105" s="5"/>
      <c r="P105" s="5"/>
      <c r="Q105" s="7"/>
      <c r="R105" s="8"/>
      <c r="S105" s="9"/>
      <c r="T105" s="8"/>
      <c r="U105" s="8"/>
      <c r="V105" s="8"/>
    </row>
    <row r="106" spans="1:22" x14ac:dyDescent="0.2">
      <c r="A106" s="37"/>
      <c r="B106" s="11"/>
      <c r="C106" s="12" t="s">
        <v>31</v>
      </c>
      <c r="D106" s="12" t="s">
        <v>32</v>
      </c>
      <c r="E106" s="12" t="s">
        <v>33</v>
      </c>
      <c r="F106" s="12" t="s">
        <v>31</v>
      </c>
      <c r="G106" s="12" t="s">
        <v>32</v>
      </c>
      <c r="H106" s="12" t="s">
        <v>33</v>
      </c>
      <c r="I106" s="12" t="s">
        <v>31</v>
      </c>
      <c r="J106" s="12" t="s">
        <v>34</v>
      </c>
      <c r="K106" s="12" t="s">
        <v>33</v>
      </c>
      <c r="L106" s="12" t="s">
        <v>31</v>
      </c>
      <c r="M106" s="12" t="s">
        <v>34</v>
      </c>
      <c r="N106" s="12" t="s">
        <v>33</v>
      </c>
      <c r="O106" s="12" t="s">
        <v>31</v>
      </c>
      <c r="P106" s="12" t="s">
        <v>35</v>
      </c>
      <c r="Q106" s="12" t="s">
        <v>33</v>
      </c>
      <c r="R106" s="12" t="s">
        <v>31</v>
      </c>
      <c r="S106" s="12" t="s">
        <v>35</v>
      </c>
      <c r="T106" s="12" t="s">
        <v>33</v>
      </c>
      <c r="U106" s="13" t="s">
        <v>36</v>
      </c>
      <c r="V106" s="14">
        <f>SUM(E107:E109,H107:H109,K107:K109,N107:N109,Q107:Q109,T107:T109)</f>
        <v>6</v>
      </c>
    </row>
    <row r="107" spans="1:22" x14ac:dyDescent="0.2">
      <c r="A107" s="37"/>
      <c r="B107" s="16" t="s">
        <v>37</v>
      </c>
      <c r="C107" s="17">
        <v>13.94</v>
      </c>
      <c r="D107" s="17" t="s">
        <v>90</v>
      </c>
      <c r="E107" s="18">
        <v>0</v>
      </c>
      <c r="F107" s="17">
        <v>10.67</v>
      </c>
      <c r="G107" s="17" t="s">
        <v>72</v>
      </c>
      <c r="H107" s="18">
        <v>1</v>
      </c>
      <c r="I107" s="17">
        <v>19.57</v>
      </c>
      <c r="J107" s="17" t="s">
        <v>82</v>
      </c>
      <c r="K107" s="18">
        <v>1</v>
      </c>
      <c r="L107" s="17">
        <v>2.64</v>
      </c>
      <c r="M107" s="17" t="s">
        <v>108</v>
      </c>
      <c r="N107" s="18">
        <v>0</v>
      </c>
      <c r="O107" s="17">
        <v>5.77</v>
      </c>
      <c r="P107" s="17" t="s">
        <v>68</v>
      </c>
      <c r="Q107" s="18">
        <v>0</v>
      </c>
      <c r="R107" s="17">
        <v>4.1399999999999997</v>
      </c>
      <c r="S107" s="17" t="s">
        <v>45</v>
      </c>
      <c r="T107" s="18">
        <v>0</v>
      </c>
      <c r="U107" s="13" t="s">
        <v>38</v>
      </c>
      <c r="V107" s="14">
        <f>AVERAGE(C107:C109,F107:F109)</f>
        <v>8.23</v>
      </c>
    </row>
    <row r="108" spans="1:22" x14ac:dyDescent="0.2">
      <c r="A108" s="37"/>
      <c r="B108" s="19" t="s">
        <v>39</v>
      </c>
      <c r="C108" s="17">
        <v>6.78</v>
      </c>
      <c r="D108" s="17" t="s">
        <v>83</v>
      </c>
      <c r="E108" s="18">
        <v>0</v>
      </c>
      <c r="F108" s="17">
        <v>5.36</v>
      </c>
      <c r="G108" s="17" t="s">
        <v>106</v>
      </c>
      <c r="H108" s="18">
        <v>0</v>
      </c>
      <c r="I108" s="17">
        <v>10.98</v>
      </c>
      <c r="J108" s="17" t="s">
        <v>105</v>
      </c>
      <c r="K108" s="18">
        <v>1</v>
      </c>
      <c r="L108" s="17">
        <v>6.6</v>
      </c>
      <c r="M108" s="17" t="s">
        <v>54</v>
      </c>
      <c r="N108" s="18">
        <v>0</v>
      </c>
      <c r="O108" s="17">
        <v>11.16</v>
      </c>
      <c r="P108" s="17" t="s">
        <v>81</v>
      </c>
      <c r="Q108" s="18">
        <v>1</v>
      </c>
      <c r="R108" s="17">
        <v>3.31</v>
      </c>
      <c r="S108" s="17" t="s">
        <v>49</v>
      </c>
      <c r="T108" s="18">
        <v>0</v>
      </c>
      <c r="U108" s="13" t="s">
        <v>40</v>
      </c>
      <c r="V108" s="14">
        <f>AVERAGE(L107:L109, I107:I109)</f>
        <v>8.2683333333333326</v>
      </c>
    </row>
    <row r="109" spans="1:22" x14ac:dyDescent="0.2">
      <c r="A109" s="37"/>
      <c r="B109" s="20" t="s">
        <v>41</v>
      </c>
      <c r="C109" s="21">
        <v>3.96</v>
      </c>
      <c r="D109" s="21" t="s">
        <v>104</v>
      </c>
      <c r="E109" s="22">
        <v>0</v>
      </c>
      <c r="F109" s="21">
        <v>8.67</v>
      </c>
      <c r="G109" s="21" t="s">
        <v>52</v>
      </c>
      <c r="H109" s="22">
        <v>1</v>
      </c>
      <c r="I109" s="21">
        <v>7.04</v>
      </c>
      <c r="J109" s="21" t="s">
        <v>100</v>
      </c>
      <c r="K109" s="22">
        <v>0</v>
      </c>
      <c r="L109" s="21">
        <v>2.78</v>
      </c>
      <c r="M109" s="21" t="s">
        <v>108</v>
      </c>
      <c r="N109" s="22">
        <v>0</v>
      </c>
      <c r="O109" s="21">
        <v>2.73</v>
      </c>
      <c r="P109" s="21" t="s">
        <v>68</v>
      </c>
      <c r="Q109" s="22">
        <v>0</v>
      </c>
      <c r="R109" s="21">
        <v>4.78</v>
      </c>
      <c r="S109" s="21" t="s">
        <v>45</v>
      </c>
      <c r="T109" s="22">
        <v>1</v>
      </c>
      <c r="U109" s="13" t="s">
        <v>42</v>
      </c>
      <c r="V109" s="14">
        <f>AVERAGE(R107:R109, O107:O109)</f>
        <v>5.3150000000000004</v>
      </c>
    </row>
    <row r="110" spans="1:22" x14ac:dyDescent="0.2">
      <c r="A110" s="37"/>
      <c r="B110" s="8"/>
      <c r="E110" s="38"/>
      <c r="H110" s="38"/>
      <c r="K110" s="38"/>
      <c r="N110" s="38"/>
      <c r="Q110" s="38"/>
      <c r="S110" s="14"/>
    </row>
    <row r="111" spans="1:22" x14ac:dyDescent="0.2">
      <c r="A111" s="37"/>
      <c r="B111" s="55"/>
      <c r="C111" s="55"/>
      <c r="D111" s="56" t="s">
        <v>84</v>
      </c>
      <c r="E111" s="57"/>
      <c r="F111" s="55"/>
      <c r="G111" s="55"/>
      <c r="H111" s="57"/>
      <c r="I111" s="55"/>
      <c r="J111" s="55"/>
      <c r="K111" s="57"/>
      <c r="L111" s="55"/>
      <c r="M111" s="55"/>
      <c r="N111" s="57"/>
      <c r="O111" s="55"/>
      <c r="P111" s="55"/>
      <c r="Q111" s="57"/>
      <c r="R111" s="58"/>
      <c r="S111" s="59"/>
      <c r="T111" s="58"/>
      <c r="U111" s="58"/>
      <c r="V111" s="58"/>
    </row>
    <row r="112" spans="1:22" x14ac:dyDescent="0.2">
      <c r="A112" s="37"/>
      <c r="B112" s="60"/>
      <c r="C112" s="61" t="s">
        <v>31</v>
      </c>
      <c r="D112" s="61" t="s">
        <v>32</v>
      </c>
      <c r="E112" s="61" t="s">
        <v>33</v>
      </c>
      <c r="F112" s="61" t="s">
        <v>31</v>
      </c>
      <c r="G112" s="61" t="s">
        <v>32</v>
      </c>
      <c r="H112" s="61" t="s">
        <v>33</v>
      </c>
      <c r="I112" s="61" t="s">
        <v>31</v>
      </c>
      <c r="J112" s="61" t="s">
        <v>34</v>
      </c>
      <c r="K112" s="61" t="s">
        <v>33</v>
      </c>
      <c r="L112" s="61" t="s">
        <v>31</v>
      </c>
      <c r="M112" s="61" t="s">
        <v>34</v>
      </c>
      <c r="N112" s="61" t="s">
        <v>33</v>
      </c>
      <c r="O112" s="61" t="s">
        <v>31</v>
      </c>
      <c r="P112" s="61" t="s">
        <v>35</v>
      </c>
      <c r="Q112" s="61" t="s">
        <v>33</v>
      </c>
      <c r="R112" s="61" t="s">
        <v>31</v>
      </c>
      <c r="S112" s="61" t="s">
        <v>35</v>
      </c>
      <c r="T112" s="61" t="s">
        <v>33</v>
      </c>
      <c r="U112" s="62" t="s">
        <v>36</v>
      </c>
      <c r="V112" s="63" t="s">
        <v>113</v>
      </c>
    </row>
    <row r="113" spans="1:22" x14ac:dyDescent="0.2">
      <c r="A113" s="37"/>
      <c r="B113" s="64" t="s">
        <v>37</v>
      </c>
      <c r="C113" s="65">
        <v>24</v>
      </c>
      <c r="D113" s="65"/>
      <c r="E113" s="66">
        <v>1</v>
      </c>
      <c r="F113" s="65">
        <v>40.9</v>
      </c>
      <c r="G113" s="65"/>
      <c r="H113" s="66" t="s">
        <v>114</v>
      </c>
      <c r="I113" s="65">
        <v>23.14</v>
      </c>
      <c r="J113" s="65"/>
      <c r="K113" s="66" t="s">
        <v>114</v>
      </c>
      <c r="L113" s="65">
        <v>10.46</v>
      </c>
      <c r="M113" s="65"/>
      <c r="N113" s="66" t="s">
        <v>114</v>
      </c>
      <c r="O113" s="65">
        <v>2.4300000000000002</v>
      </c>
      <c r="P113" s="65"/>
      <c r="Q113" s="66" t="s">
        <v>114</v>
      </c>
      <c r="R113" s="65">
        <v>2.78</v>
      </c>
      <c r="S113" s="65"/>
      <c r="T113" s="66">
        <v>1</v>
      </c>
      <c r="U113" s="62" t="s">
        <v>38</v>
      </c>
      <c r="V113" s="63" t="s">
        <v>115</v>
      </c>
    </row>
    <row r="114" spans="1:22" x14ac:dyDescent="0.2">
      <c r="A114" s="37"/>
      <c r="B114" s="67" t="s">
        <v>39</v>
      </c>
      <c r="C114" s="65">
        <v>5.66</v>
      </c>
      <c r="D114" s="65"/>
      <c r="E114" s="66" t="s">
        <v>114</v>
      </c>
      <c r="F114" s="65">
        <v>8.16</v>
      </c>
      <c r="G114" s="65"/>
      <c r="H114" s="66" t="s">
        <v>114</v>
      </c>
      <c r="I114" s="65">
        <v>4.43</v>
      </c>
      <c r="J114" s="65"/>
      <c r="K114" s="66" t="s">
        <v>114</v>
      </c>
      <c r="L114" s="65">
        <v>8.09</v>
      </c>
      <c r="M114" s="65"/>
      <c r="N114" s="66" t="s">
        <v>114</v>
      </c>
      <c r="O114" s="65">
        <v>2.5099999999999998</v>
      </c>
      <c r="P114" s="65"/>
      <c r="Q114" s="66" t="s">
        <v>114</v>
      </c>
      <c r="R114" s="65">
        <v>1.47</v>
      </c>
      <c r="S114" s="65"/>
      <c r="T114" s="66" t="s">
        <v>114</v>
      </c>
      <c r="U114" s="62" t="s">
        <v>40</v>
      </c>
      <c r="V114" s="63" t="s">
        <v>116</v>
      </c>
    </row>
    <row r="115" spans="1:22" x14ac:dyDescent="0.2">
      <c r="A115" s="37"/>
      <c r="B115" s="68" t="s">
        <v>41</v>
      </c>
      <c r="C115" s="69">
        <v>7.49</v>
      </c>
      <c r="D115" s="69"/>
      <c r="E115" s="70">
        <v>1</v>
      </c>
      <c r="F115" s="69">
        <v>6.24</v>
      </c>
      <c r="G115" s="69"/>
      <c r="H115" s="70">
        <v>1</v>
      </c>
      <c r="I115" s="69">
        <v>4.4800000000000004</v>
      </c>
      <c r="J115" s="69"/>
      <c r="K115" s="70" t="s">
        <v>114</v>
      </c>
      <c r="L115" s="69">
        <v>7.07</v>
      </c>
      <c r="M115" s="69"/>
      <c r="N115" s="70">
        <v>1</v>
      </c>
      <c r="O115" s="69">
        <v>4.12</v>
      </c>
      <c r="P115" s="69"/>
      <c r="Q115" s="70" t="s">
        <v>114</v>
      </c>
      <c r="R115" s="69">
        <v>2.68</v>
      </c>
      <c r="S115" s="69"/>
      <c r="T115" s="70" t="s">
        <v>114</v>
      </c>
      <c r="U115" s="62" t="s">
        <v>42</v>
      </c>
      <c r="V115" s="63" t="s">
        <v>117</v>
      </c>
    </row>
    <row r="116" spans="1:22" x14ac:dyDescent="0.2">
      <c r="A116" s="37"/>
      <c r="B116" s="58"/>
      <c r="C116" s="54"/>
      <c r="D116" s="54"/>
      <c r="E116" s="71"/>
      <c r="F116" s="54"/>
      <c r="G116" s="54"/>
      <c r="H116" s="71"/>
      <c r="I116" s="54"/>
      <c r="J116" s="54"/>
      <c r="K116" s="71"/>
      <c r="L116" s="54"/>
      <c r="M116" s="54"/>
      <c r="N116" s="71"/>
      <c r="O116" s="54"/>
      <c r="P116" s="54"/>
      <c r="Q116" s="71"/>
      <c r="R116" s="54"/>
      <c r="S116" s="63"/>
      <c r="T116" s="54"/>
      <c r="U116" s="54"/>
      <c r="V116" s="54"/>
    </row>
    <row r="117" spans="1:22" x14ac:dyDescent="0.2">
      <c r="A117" s="37"/>
      <c r="B117" s="55"/>
      <c r="C117" s="55"/>
      <c r="D117" s="56" t="s">
        <v>85</v>
      </c>
      <c r="E117" s="57"/>
      <c r="F117" s="55"/>
      <c r="G117" s="55"/>
      <c r="H117" s="57"/>
      <c r="I117" s="55"/>
      <c r="J117" s="55"/>
      <c r="K117" s="57"/>
      <c r="L117" s="55"/>
      <c r="M117" s="55"/>
      <c r="N117" s="57"/>
      <c r="O117" s="55"/>
      <c r="P117" s="55"/>
      <c r="Q117" s="57"/>
      <c r="R117" s="58"/>
      <c r="S117" s="59"/>
      <c r="T117" s="58"/>
      <c r="U117" s="58"/>
      <c r="V117" s="58"/>
    </row>
    <row r="118" spans="1:22" x14ac:dyDescent="0.2">
      <c r="A118" s="37"/>
      <c r="B118" s="60"/>
      <c r="C118" s="61" t="s">
        <v>31</v>
      </c>
      <c r="D118" s="61" t="s">
        <v>32</v>
      </c>
      <c r="E118" s="61" t="s">
        <v>33</v>
      </c>
      <c r="F118" s="61" t="s">
        <v>31</v>
      </c>
      <c r="G118" s="61" t="s">
        <v>32</v>
      </c>
      <c r="H118" s="61" t="s">
        <v>33</v>
      </c>
      <c r="I118" s="61" t="s">
        <v>31</v>
      </c>
      <c r="J118" s="61" t="s">
        <v>34</v>
      </c>
      <c r="K118" s="61" t="s">
        <v>33</v>
      </c>
      <c r="L118" s="61" t="s">
        <v>31</v>
      </c>
      <c r="M118" s="61" t="s">
        <v>34</v>
      </c>
      <c r="N118" s="61" t="s">
        <v>33</v>
      </c>
      <c r="O118" s="61" t="s">
        <v>31</v>
      </c>
      <c r="P118" s="61" t="s">
        <v>35</v>
      </c>
      <c r="Q118" s="61" t="s">
        <v>33</v>
      </c>
      <c r="R118" s="61" t="s">
        <v>31</v>
      </c>
      <c r="S118" s="61" t="s">
        <v>35</v>
      </c>
      <c r="T118" s="61" t="s">
        <v>33</v>
      </c>
      <c r="U118" s="62" t="s">
        <v>36</v>
      </c>
      <c r="V118" s="63" t="s">
        <v>118</v>
      </c>
    </row>
    <row r="119" spans="1:22" x14ac:dyDescent="0.2">
      <c r="A119" s="37"/>
      <c r="B119" s="64" t="s">
        <v>37</v>
      </c>
      <c r="C119" s="65">
        <v>7.59</v>
      </c>
      <c r="D119" s="65"/>
      <c r="E119" s="66" t="s">
        <v>114</v>
      </c>
      <c r="F119" s="65">
        <v>10.7</v>
      </c>
      <c r="G119" s="65"/>
      <c r="H119" s="66" t="s">
        <v>114</v>
      </c>
      <c r="I119" s="65">
        <v>6.79</v>
      </c>
      <c r="J119" s="65"/>
      <c r="K119" s="66">
        <v>1</v>
      </c>
      <c r="L119" s="65">
        <v>4.25</v>
      </c>
      <c r="M119" s="65"/>
      <c r="N119" s="66" t="s">
        <v>114</v>
      </c>
      <c r="O119" s="65">
        <v>3.65</v>
      </c>
      <c r="P119" s="65"/>
      <c r="Q119" s="66" t="s">
        <v>114</v>
      </c>
      <c r="R119" s="65">
        <v>8.9700000000000006</v>
      </c>
      <c r="S119" s="65"/>
      <c r="T119" s="66">
        <v>1</v>
      </c>
      <c r="U119" s="62" t="s">
        <v>38</v>
      </c>
      <c r="V119" s="63" t="s">
        <v>119</v>
      </c>
    </row>
    <row r="120" spans="1:22" x14ac:dyDescent="0.2">
      <c r="A120" s="37"/>
      <c r="B120" s="67" t="s">
        <v>39</v>
      </c>
      <c r="C120" s="65">
        <v>5.25</v>
      </c>
      <c r="D120" s="65"/>
      <c r="E120" s="66">
        <v>1</v>
      </c>
      <c r="F120" s="65">
        <v>5.49</v>
      </c>
      <c r="G120" s="65"/>
      <c r="H120" s="66" t="s">
        <v>114</v>
      </c>
      <c r="I120" s="65">
        <v>7.55</v>
      </c>
      <c r="J120" s="65"/>
      <c r="K120" s="66">
        <v>1</v>
      </c>
      <c r="L120" s="65">
        <v>9.07</v>
      </c>
      <c r="M120" s="65"/>
      <c r="N120" s="66">
        <v>2</v>
      </c>
      <c r="O120" s="65">
        <v>5.66</v>
      </c>
      <c r="P120" s="65"/>
      <c r="Q120" s="66" t="s">
        <v>114</v>
      </c>
      <c r="R120" s="65">
        <v>6.94</v>
      </c>
      <c r="S120" s="65"/>
      <c r="T120" s="66">
        <v>2</v>
      </c>
      <c r="U120" s="62" t="s">
        <v>40</v>
      </c>
      <c r="V120" s="63" t="s">
        <v>120</v>
      </c>
    </row>
    <row r="121" spans="1:22" x14ac:dyDescent="0.2">
      <c r="A121" s="37"/>
      <c r="B121" s="68" t="s">
        <v>41</v>
      </c>
      <c r="C121" s="69">
        <v>9.26</v>
      </c>
      <c r="D121" s="69"/>
      <c r="E121" s="70" t="s">
        <v>114</v>
      </c>
      <c r="F121" s="69">
        <v>5.2</v>
      </c>
      <c r="G121" s="69"/>
      <c r="H121" s="70">
        <v>1</v>
      </c>
      <c r="I121" s="69">
        <v>4.99</v>
      </c>
      <c r="J121" s="69"/>
      <c r="K121" s="70" t="s">
        <v>114</v>
      </c>
      <c r="L121" s="69">
        <v>4.7300000000000004</v>
      </c>
      <c r="M121" s="69"/>
      <c r="N121" s="70" t="s">
        <v>114</v>
      </c>
      <c r="O121" s="69">
        <v>5.56</v>
      </c>
      <c r="P121" s="69"/>
      <c r="Q121" s="70">
        <v>1</v>
      </c>
      <c r="R121" s="69">
        <v>11.79</v>
      </c>
      <c r="S121" s="69"/>
      <c r="T121" s="70">
        <v>2</v>
      </c>
      <c r="U121" s="62" t="s">
        <v>42</v>
      </c>
      <c r="V121" s="63" t="s">
        <v>121</v>
      </c>
    </row>
    <row r="122" spans="1:22" x14ac:dyDescent="0.2">
      <c r="A122" s="37"/>
      <c r="B122" s="58"/>
      <c r="C122" s="54"/>
      <c r="D122" s="54"/>
      <c r="E122" s="71"/>
      <c r="F122" s="54"/>
      <c r="G122" s="54"/>
      <c r="H122" s="71"/>
      <c r="I122" s="54"/>
      <c r="J122" s="54"/>
      <c r="K122" s="71"/>
      <c r="L122" s="54"/>
      <c r="M122" s="54"/>
      <c r="N122" s="71"/>
      <c r="O122" s="54"/>
      <c r="P122" s="54"/>
      <c r="Q122" s="71"/>
      <c r="R122" s="54"/>
      <c r="S122" s="63"/>
      <c r="T122" s="54"/>
      <c r="U122" s="54"/>
      <c r="V122" s="54"/>
    </row>
    <row r="123" spans="1:22" x14ac:dyDescent="0.2">
      <c r="A123" s="37"/>
      <c r="B123" s="55"/>
      <c r="C123" s="55"/>
      <c r="D123" s="56" t="s">
        <v>86</v>
      </c>
      <c r="E123" s="57"/>
      <c r="F123" s="55"/>
      <c r="G123" s="55"/>
      <c r="H123" s="57"/>
      <c r="I123" s="55"/>
      <c r="J123" s="55"/>
      <c r="K123" s="57"/>
      <c r="L123" s="55"/>
      <c r="M123" s="55"/>
      <c r="N123" s="57"/>
      <c r="O123" s="55"/>
      <c r="P123" s="55"/>
      <c r="Q123" s="57"/>
      <c r="R123" s="58"/>
      <c r="S123" s="59"/>
      <c r="T123" s="58"/>
      <c r="U123" s="58"/>
      <c r="V123" s="58"/>
    </row>
    <row r="124" spans="1:22" x14ac:dyDescent="0.2">
      <c r="A124" s="37"/>
      <c r="B124" s="60"/>
      <c r="C124" s="61" t="s">
        <v>31</v>
      </c>
      <c r="D124" s="61" t="s">
        <v>32</v>
      </c>
      <c r="E124" s="61" t="s">
        <v>33</v>
      </c>
      <c r="F124" s="61" t="s">
        <v>31</v>
      </c>
      <c r="G124" s="61" t="s">
        <v>32</v>
      </c>
      <c r="H124" s="61" t="s">
        <v>33</v>
      </c>
      <c r="I124" s="61" t="s">
        <v>31</v>
      </c>
      <c r="J124" s="61" t="s">
        <v>34</v>
      </c>
      <c r="K124" s="61" t="s">
        <v>33</v>
      </c>
      <c r="L124" s="61" t="s">
        <v>31</v>
      </c>
      <c r="M124" s="61" t="s">
        <v>34</v>
      </c>
      <c r="N124" s="61" t="s">
        <v>33</v>
      </c>
      <c r="O124" s="61" t="s">
        <v>31</v>
      </c>
      <c r="P124" s="61" t="s">
        <v>35</v>
      </c>
      <c r="Q124" s="61" t="s">
        <v>33</v>
      </c>
      <c r="R124" s="61" t="s">
        <v>31</v>
      </c>
      <c r="S124" s="61" t="s">
        <v>35</v>
      </c>
      <c r="T124" s="61" t="s">
        <v>33</v>
      </c>
      <c r="U124" s="62" t="s">
        <v>36</v>
      </c>
      <c r="V124" s="63" t="s">
        <v>113</v>
      </c>
    </row>
    <row r="125" spans="1:22" x14ac:dyDescent="0.2">
      <c r="A125" s="37"/>
      <c r="B125" s="64" t="s">
        <v>37</v>
      </c>
      <c r="C125" s="65">
        <v>6.61</v>
      </c>
      <c r="D125" s="65"/>
      <c r="E125" s="66" t="s">
        <v>114</v>
      </c>
      <c r="F125" s="65">
        <v>5.87</v>
      </c>
      <c r="G125" s="65"/>
      <c r="H125" s="66" t="s">
        <v>114</v>
      </c>
      <c r="I125" s="65">
        <v>7.51</v>
      </c>
      <c r="J125" s="65"/>
      <c r="K125" s="66">
        <v>1</v>
      </c>
      <c r="L125" s="65">
        <v>17.72</v>
      </c>
      <c r="M125" s="65"/>
      <c r="N125" s="66">
        <v>2</v>
      </c>
      <c r="O125" s="65">
        <v>3.57</v>
      </c>
      <c r="P125" s="65"/>
      <c r="Q125" s="66" t="s">
        <v>114</v>
      </c>
      <c r="R125" s="65">
        <v>4.37</v>
      </c>
      <c r="S125" s="65"/>
      <c r="T125" s="66" t="s">
        <v>114</v>
      </c>
      <c r="U125" s="62" t="s">
        <v>38</v>
      </c>
      <c r="V125" s="63" t="s">
        <v>122</v>
      </c>
    </row>
    <row r="126" spans="1:22" x14ac:dyDescent="0.2">
      <c r="A126" s="37"/>
      <c r="B126" s="67" t="s">
        <v>39</v>
      </c>
      <c r="C126" s="65">
        <v>7.06</v>
      </c>
      <c r="D126" s="65"/>
      <c r="E126" s="66">
        <v>1</v>
      </c>
      <c r="F126" s="65">
        <v>6.85</v>
      </c>
      <c r="G126" s="65"/>
      <c r="H126" s="66" t="s">
        <v>114</v>
      </c>
      <c r="I126" s="65">
        <v>9.42</v>
      </c>
      <c r="J126" s="65"/>
      <c r="K126" s="66" t="s">
        <v>114</v>
      </c>
      <c r="L126" s="65">
        <v>11.99</v>
      </c>
      <c r="M126" s="65"/>
      <c r="N126" s="66">
        <v>1</v>
      </c>
      <c r="O126" s="65">
        <v>1.83</v>
      </c>
      <c r="P126" s="65"/>
      <c r="Q126" s="66" t="s">
        <v>114</v>
      </c>
      <c r="R126" s="65">
        <v>2.61</v>
      </c>
      <c r="S126" s="65"/>
      <c r="T126" s="66" t="s">
        <v>114</v>
      </c>
      <c r="U126" s="62" t="s">
        <v>40</v>
      </c>
      <c r="V126" s="63" t="s">
        <v>123</v>
      </c>
    </row>
    <row r="127" spans="1:22" x14ac:dyDescent="0.2">
      <c r="A127" s="37"/>
      <c r="B127" s="68" t="s">
        <v>41</v>
      </c>
      <c r="C127" s="69">
        <v>4.66</v>
      </c>
      <c r="D127" s="69"/>
      <c r="E127" s="70" t="s">
        <v>114</v>
      </c>
      <c r="F127" s="69">
        <v>15.53</v>
      </c>
      <c r="G127" s="69"/>
      <c r="H127" s="70" t="s">
        <v>114</v>
      </c>
      <c r="I127" s="69">
        <v>4.51</v>
      </c>
      <c r="J127" s="69"/>
      <c r="K127" s="70" t="s">
        <v>114</v>
      </c>
      <c r="L127" s="69">
        <v>4.9000000000000004</v>
      </c>
      <c r="M127" s="69"/>
      <c r="N127" s="70" t="s">
        <v>114</v>
      </c>
      <c r="O127" s="69">
        <v>2.0299999999999998</v>
      </c>
      <c r="P127" s="69"/>
      <c r="Q127" s="70" t="s">
        <v>114</v>
      </c>
      <c r="R127" s="69">
        <v>2.73</v>
      </c>
      <c r="S127" s="69"/>
      <c r="T127" s="70" t="s">
        <v>114</v>
      </c>
      <c r="U127" s="62" t="s">
        <v>42</v>
      </c>
      <c r="V127" s="63" t="s">
        <v>124</v>
      </c>
    </row>
    <row r="128" spans="1:22" x14ac:dyDescent="0.2">
      <c r="A128" s="37"/>
      <c r="B128" s="58"/>
      <c r="C128" s="54"/>
      <c r="D128" s="54"/>
      <c r="E128" s="71"/>
      <c r="F128" s="54"/>
      <c r="G128" s="54"/>
      <c r="H128" s="71"/>
      <c r="I128" s="54"/>
      <c r="J128" s="54"/>
      <c r="K128" s="71"/>
      <c r="L128" s="54"/>
      <c r="M128" s="54"/>
      <c r="N128" s="71"/>
      <c r="O128" s="54"/>
      <c r="P128" s="54"/>
      <c r="Q128" s="71"/>
      <c r="R128" s="54"/>
      <c r="S128" s="63"/>
      <c r="T128" s="54"/>
      <c r="U128" s="54"/>
      <c r="V128" s="54"/>
    </row>
    <row r="129" spans="1:22" x14ac:dyDescent="0.2">
      <c r="A129" s="37"/>
      <c r="B129" s="55"/>
      <c r="C129" s="55"/>
      <c r="D129" s="56" t="s">
        <v>87</v>
      </c>
      <c r="E129" s="57"/>
      <c r="F129" s="55"/>
      <c r="G129" s="55"/>
      <c r="H129" s="57"/>
      <c r="I129" s="55"/>
      <c r="J129" s="55"/>
      <c r="K129" s="57"/>
      <c r="L129" s="55"/>
      <c r="M129" s="55"/>
      <c r="N129" s="57"/>
      <c r="O129" s="55"/>
      <c r="P129" s="55"/>
      <c r="Q129" s="57"/>
      <c r="R129" s="58"/>
      <c r="S129" s="59"/>
      <c r="T129" s="58"/>
      <c r="U129" s="58"/>
      <c r="V129" s="58"/>
    </row>
    <row r="130" spans="1:22" x14ac:dyDescent="0.2">
      <c r="A130" s="37"/>
      <c r="B130" s="60"/>
      <c r="C130" s="61" t="s">
        <v>31</v>
      </c>
      <c r="D130" s="61" t="s">
        <v>32</v>
      </c>
      <c r="E130" s="61" t="s">
        <v>33</v>
      </c>
      <c r="F130" s="61" t="s">
        <v>31</v>
      </c>
      <c r="G130" s="61" t="s">
        <v>32</v>
      </c>
      <c r="H130" s="61" t="s">
        <v>33</v>
      </c>
      <c r="I130" s="61" t="s">
        <v>31</v>
      </c>
      <c r="J130" s="61" t="s">
        <v>34</v>
      </c>
      <c r="K130" s="61" t="s">
        <v>33</v>
      </c>
      <c r="L130" s="61" t="s">
        <v>31</v>
      </c>
      <c r="M130" s="61" t="s">
        <v>34</v>
      </c>
      <c r="N130" s="61" t="s">
        <v>33</v>
      </c>
      <c r="O130" s="61" t="s">
        <v>31</v>
      </c>
      <c r="P130" s="61" t="s">
        <v>35</v>
      </c>
      <c r="Q130" s="61" t="s">
        <v>33</v>
      </c>
      <c r="R130" s="61" t="s">
        <v>31</v>
      </c>
      <c r="S130" s="61" t="s">
        <v>35</v>
      </c>
      <c r="T130" s="61" t="s">
        <v>33</v>
      </c>
      <c r="U130" s="62" t="s">
        <v>36</v>
      </c>
      <c r="V130" s="63" t="s">
        <v>125</v>
      </c>
    </row>
    <row r="131" spans="1:22" x14ac:dyDescent="0.2">
      <c r="A131" s="37"/>
      <c r="B131" s="64" t="s">
        <v>37</v>
      </c>
      <c r="C131" s="65">
        <v>17.93</v>
      </c>
      <c r="D131" s="65"/>
      <c r="E131" s="66">
        <v>1</v>
      </c>
      <c r="F131" s="65">
        <v>5.99</v>
      </c>
      <c r="G131" s="65"/>
      <c r="H131" s="66" t="s">
        <v>114</v>
      </c>
      <c r="I131" s="65">
        <v>4.3899999999999997</v>
      </c>
      <c r="J131" s="65"/>
      <c r="K131" s="66" t="s">
        <v>114</v>
      </c>
      <c r="L131" s="65">
        <v>8.74</v>
      </c>
      <c r="M131" s="65"/>
      <c r="N131" s="66" t="s">
        <v>114</v>
      </c>
      <c r="O131" s="65">
        <v>3.55</v>
      </c>
      <c r="P131" s="65"/>
      <c r="Q131" s="66" t="s">
        <v>114</v>
      </c>
      <c r="R131" s="65">
        <v>5.29</v>
      </c>
      <c r="S131" s="65"/>
      <c r="T131" s="66" t="s">
        <v>114</v>
      </c>
      <c r="U131" s="62" t="s">
        <v>38</v>
      </c>
      <c r="V131" s="63" t="s">
        <v>126</v>
      </c>
    </row>
    <row r="132" spans="1:22" x14ac:dyDescent="0.2">
      <c r="A132" s="37"/>
      <c r="B132" s="67" t="s">
        <v>39</v>
      </c>
      <c r="C132" s="65">
        <v>5.78</v>
      </c>
      <c r="D132" s="65"/>
      <c r="E132" s="66" t="s">
        <v>114</v>
      </c>
      <c r="F132" s="65">
        <v>12.95</v>
      </c>
      <c r="G132" s="65"/>
      <c r="H132" s="66">
        <v>1</v>
      </c>
      <c r="I132" s="65">
        <v>3.43</v>
      </c>
      <c r="J132" s="65"/>
      <c r="K132" s="66" t="s">
        <v>114</v>
      </c>
      <c r="L132" s="65">
        <v>5.98</v>
      </c>
      <c r="M132" s="65"/>
      <c r="N132" s="66">
        <v>1</v>
      </c>
      <c r="O132" s="65">
        <v>1.65</v>
      </c>
      <c r="P132" s="65"/>
      <c r="Q132" s="66" t="s">
        <v>114</v>
      </c>
      <c r="R132" s="65">
        <v>3.82</v>
      </c>
      <c r="S132" s="65"/>
      <c r="T132" s="66" t="s">
        <v>114</v>
      </c>
      <c r="U132" s="62" t="s">
        <v>40</v>
      </c>
      <c r="V132" s="63" t="s">
        <v>127</v>
      </c>
    </row>
    <row r="133" spans="1:22" x14ac:dyDescent="0.2">
      <c r="A133" s="37"/>
      <c r="B133" s="68" t="s">
        <v>41</v>
      </c>
      <c r="C133" s="69">
        <v>5.47</v>
      </c>
      <c r="D133" s="69"/>
      <c r="E133" s="70" t="s">
        <v>114</v>
      </c>
      <c r="F133" s="69">
        <v>8.35</v>
      </c>
      <c r="G133" s="69"/>
      <c r="H133" s="70" t="s">
        <v>114</v>
      </c>
      <c r="I133" s="69">
        <v>4.9400000000000004</v>
      </c>
      <c r="J133" s="69"/>
      <c r="K133" s="70" t="s">
        <v>114</v>
      </c>
      <c r="L133" s="69">
        <v>4.9000000000000004</v>
      </c>
      <c r="M133" s="69"/>
      <c r="N133" s="70" t="s">
        <v>114</v>
      </c>
      <c r="O133" s="69">
        <v>2.5099999999999998</v>
      </c>
      <c r="P133" s="69"/>
      <c r="Q133" s="70" t="s">
        <v>114</v>
      </c>
      <c r="R133" s="69">
        <v>1.91</v>
      </c>
      <c r="S133" s="69"/>
      <c r="T133" s="70" t="s">
        <v>114</v>
      </c>
      <c r="U133" s="62" t="s">
        <v>42</v>
      </c>
      <c r="V133" s="63" t="s">
        <v>128</v>
      </c>
    </row>
    <row r="134" spans="1:22" x14ac:dyDescent="0.2">
      <c r="A134" s="37"/>
      <c r="B134" s="58"/>
      <c r="C134" s="54"/>
      <c r="D134" s="54"/>
      <c r="E134" s="71"/>
      <c r="F134" s="54"/>
      <c r="G134" s="54"/>
      <c r="H134" s="71"/>
      <c r="I134" s="54"/>
      <c r="J134" s="54"/>
      <c r="K134" s="71"/>
      <c r="L134" s="54"/>
      <c r="M134" s="54"/>
      <c r="N134" s="71"/>
      <c r="O134" s="54"/>
      <c r="P134" s="54"/>
      <c r="Q134" s="71"/>
      <c r="R134" s="54"/>
      <c r="S134" s="63"/>
      <c r="T134" s="54"/>
      <c r="U134" s="54"/>
      <c r="V134" s="54"/>
    </row>
    <row r="135" spans="1:22" x14ac:dyDescent="0.2">
      <c r="A135" s="37"/>
      <c r="B135" s="55"/>
      <c r="C135" s="55"/>
      <c r="D135" s="56" t="s">
        <v>88</v>
      </c>
      <c r="E135" s="57"/>
      <c r="F135" s="55"/>
      <c r="G135" s="55"/>
      <c r="H135" s="57"/>
      <c r="I135" s="55"/>
      <c r="J135" s="55"/>
      <c r="K135" s="57"/>
      <c r="L135" s="55"/>
      <c r="M135" s="55"/>
      <c r="N135" s="57"/>
      <c r="O135" s="55"/>
      <c r="P135" s="55"/>
      <c r="Q135" s="57"/>
      <c r="R135" s="58"/>
      <c r="S135" s="59"/>
      <c r="T135" s="58"/>
      <c r="U135" s="58"/>
      <c r="V135" s="58"/>
    </row>
    <row r="136" spans="1:22" x14ac:dyDescent="0.2">
      <c r="A136" s="37"/>
      <c r="B136" s="60"/>
      <c r="C136" s="61" t="s">
        <v>31</v>
      </c>
      <c r="D136" s="61" t="s">
        <v>32</v>
      </c>
      <c r="E136" s="61" t="s">
        <v>33</v>
      </c>
      <c r="F136" s="61" t="s">
        <v>31</v>
      </c>
      <c r="G136" s="61" t="s">
        <v>32</v>
      </c>
      <c r="H136" s="61" t="s">
        <v>33</v>
      </c>
      <c r="I136" s="61" t="s">
        <v>31</v>
      </c>
      <c r="J136" s="61" t="s">
        <v>34</v>
      </c>
      <c r="K136" s="61" t="s">
        <v>33</v>
      </c>
      <c r="L136" s="61" t="s">
        <v>31</v>
      </c>
      <c r="M136" s="61" t="s">
        <v>34</v>
      </c>
      <c r="N136" s="61" t="s">
        <v>33</v>
      </c>
      <c r="O136" s="61" t="s">
        <v>31</v>
      </c>
      <c r="P136" s="61" t="s">
        <v>35</v>
      </c>
      <c r="Q136" s="61" t="s">
        <v>33</v>
      </c>
      <c r="R136" s="61" t="s">
        <v>31</v>
      </c>
      <c r="S136" s="61" t="s">
        <v>35</v>
      </c>
      <c r="T136" s="61" t="s">
        <v>33</v>
      </c>
      <c r="U136" s="62" t="s">
        <v>36</v>
      </c>
      <c r="V136" s="63" t="s">
        <v>129</v>
      </c>
    </row>
    <row r="137" spans="1:22" x14ac:dyDescent="0.2">
      <c r="A137" s="37"/>
      <c r="B137" s="64" t="s">
        <v>37</v>
      </c>
      <c r="C137" s="65">
        <v>11.59</v>
      </c>
      <c r="D137" s="65"/>
      <c r="E137" s="66">
        <v>1</v>
      </c>
      <c r="F137" s="65">
        <v>24.36</v>
      </c>
      <c r="G137" s="65"/>
      <c r="H137" s="66">
        <v>1</v>
      </c>
      <c r="I137" s="65">
        <v>6.11</v>
      </c>
      <c r="J137" s="65"/>
      <c r="K137" s="66" t="s">
        <v>114</v>
      </c>
      <c r="L137" s="65">
        <v>5.59</v>
      </c>
      <c r="M137" s="65"/>
      <c r="N137" s="66" t="s">
        <v>114</v>
      </c>
      <c r="O137" s="65">
        <v>4.72</v>
      </c>
      <c r="P137" s="65"/>
      <c r="Q137" s="66" t="s">
        <v>114</v>
      </c>
      <c r="R137" s="65">
        <v>6.3</v>
      </c>
      <c r="S137" s="65"/>
      <c r="T137" s="66">
        <v>1</v>
      </c>
      <c r="U137" s="62" t="s">
        <v>38</v>
      </c>
      <c r="V137" s="63" t="s">
        <v>130</v>
      </c>
    </row>
    <row r="138" spans="1:22" x14ac:dyDescent="0.2">
      <c r="A138" s="37"/>
      <c r="B138" s="67" t="s">
        <v>39</v>
      </c>
      <c r="C138" s="65">
        <v>5.9</v>
      </c>
      <c r="D138" s="65"/>
      <c r="E138" s="66" t="s">
        <v>114</v>
      </c>
      <c r="F138" s="65">
        <v>10.5</v>
      </c>
      <c r="G138" s="65"/>
      <c r="H138" s="66">
        <v>1</v>
      </c>
      <c r="I138" s="65">
        <v>4.13</v>
      </c>
      <c r="J138" s="65"/>
      <c r="K138" s="66" t="s">
        <v>114</v>
      </c>
      <c r="L138" s="65">
        <v>5.27</v>
      </c>
      <c r="M138" s="65"/>
      <c r="N138" s="66" t="s">
        <v>114</v>
      </c>
      <c r="O138" s="65">
        <v>3.43</v>
      </c>
      <c r="P138" s="65"/>
      <c r="Q138" s="66" t="s">
        <v>114</v>
      </c>
      <c r="R138" s="65">
        <v>4</v>
      </c>
      <c r="S138" s="65"/>
      <c r="T138" s="66" t="s">
        <v>114</v>
      </c>
      <c r="U138" s="62" t="s">
        <v>40</v>
      </c>
      <c r="V138" s="63" t="s">
        <v>131</v>
      </c>
    </row>
    <row r="139" spans="1:22" x14ac:dyDescent="0.2">
      <c r="A139" s="37"/>
      <c r="B139" s="68" t="s">
        <v>41</v>
      </c>
      <c r="C139" s="69">
        <v>5.9</v>
      </c>
      <c r="D139" s="69"/>
      <c r="E139" s="70" t="s">
        <v>114</v>
      </c>
      <c r="F139" s="69">
        <v>17.309999999999999</v>
      </c>
      <c r="G139" s="69"/>
      <c r="H139" s="70">
        <v>3</v>
      </c>
      <c r="I139" s="69">
        <v>8.4</v>
      </c>
      <c r="J139" s="69"/>
      <c r="K139" s="70">
        <v>1</v>
      </c>
      <c r="L139" s="69">
        <v>4.26</v>
      </c>
      <c r="M139" s="69"/>
      <c r="N139" s="70" t="s">
        <v>114</v>
      </c>
      <c r="O139" s="69">
        <v>3.08</v>
      </c>
      <c r="P139" s="69"/>
      <c r="Q139" s="70" t="s">
        <v>114</v>
      </c>
      <c r="R139" s="69">
        <v>5.94</v>
      </c>
      <c r="S139" s="69"/>
      <c r="T139" s="70">
        <v>1</v>
      </c>
      <c r="U139" s="62" t="s">
        <v>42</v>
      </c>
      <c r="V139" s="63" t="s">
        <v>132</v>
      </c>
    </row>
    <row r="140" spans="1:22" x14ac:dyDescent="0.2">
      <c r="A140" s="37"/>
      <c r="B140" s="58"/>
      <c r="C140" s="54"/>
      <c r="D140" s="54"/>
      <c r="E140" s="71"/>
      <c r="F140" s="54"/>
      <c r="G140" s="54"/>
      <c r="H140" s="71"/>
      <c r="I140" s="54"/>
      <c r="J140" s="54"/>
      <c r="K140" s="71"/>
      <c r="L140" s="54"/>
      <c r="M140" s="54"/>
      <c r="N140" s="71"/>
      <c r="O140" s="54"/>
      <c r="P140" s="54"/>
      <c r="Q140" s="71"/>
      <c r="R140" s="54"/>
      <c r="S140" s="63"/>
      <c r="T140" s="54"/>
      <c r="U140" s="54"/>
      <c r="V140" s="54"/>
    </row>
    <row r="141" spans="1:22" x14ac:dyDescent="0.2">
      <c r="A141" s="37"/>
      <c r="B141" s="55"/>
      <c r="C141" s="55"/>
      <c r="D141" s="56" t="s">
        <v>133</v>
      </c>
      <c r="E141" s="57"/>
      <c r="F141" s="55"/>
      <c r="G141" s="55"/>
      <c r="H141" s="57"/>
      <c r="I141" s="55"/>
      <c r="J141" s="55"/>
      <c r="K141" s="57"/>
      <c r="L141" s="55"/>
      <c r="M141" s="55"/>
      <c r="N141" s="57"/>
      <c r="O141" s="55"/>
      <c r="P141" s="55"/>
      <c r="Q141" s="57"/>
      <c r="R141" s="58"/>
      <c r="S141" s="59"/>
      <c r="T141" s="58"/>
      <c r="U141" s="58"/>
      <c r="V141" s="58"/>
    </row>
    <row r="142" spans="1:22" x14ac:dyDescent="0.2">
      <c r="A142" s="37"/>
      <c r="B142" s="60"/>
      <c r="C142" s="61" t="s">
        <v>31</v>
      </c>
      <c r="D142" s="61" t="s">
        <v>32</v>
      </c>
      <c r="E142" s="61" t="s">
        <v>33</v>
      </c>
      <c r="F142" s="61" t="s">
        <v>31</v>
      </c>
      <c r="G142" s="61" t="s">
        <v>32</v>
      </c>
      <c r="H142" s="61" t="s">
        <v>33</v>
      </c>
      <c r="I142" s="61" t="s">
        <v>31</v>
      </c>
      <c r="J142" s="61" t="s">
        <v>34</v>
      </c>
      <c r="K142" s="61" t="s">
        <v>33</v>
      </c>
      <c r="L142" s="61" t="s">
        <v>31</v>
      </c>
      <c r="M142" s="61" t="s">
        <v>34</v>
      </c>
      <c r="N142" s="61" t="s">
        <v>33</v>
      </c>
      <c r="O142" s="61" t="s">
        <v>31</v>
      </c>
      <c r="P142" s="61" t="s">
        <v>35</v>
      </c>
      <c r="Q142" s="61" t="s">
        <v>33</v>
      </c>
      <c r="R142" s="61" t="s">
        <v>31</v>
      </c>
      <c r="S142" s="61" t="s">
        <v>35</v>
      </c>
      <c r="T142" s="61" t="s">
        <v>33</v>
      </c>
      <c r="U142" s="62" t="s">
        <v>36</v>
      </c>
      <c r="V142" s="63" t="s">
        <v>125</v>
      </c>
    </row>
    <row r="143" spans="1:22" x14ac:dyDescent="0.2">
      <c r="A143" s="37"/>
      <c r="B143" s="64" t="s">
        <v>37</v>
      </c>
      <c r="C143" s="65">
        <v>3.78</v>
      </c>
      <c r="D143" s="65"/>
      <c r="E143" s="66" t="s">
        <v>114</v>
      </c>
      <c r="F143" s="65">
        <v>8.58</v>
      </c>
      <c r="G143" s="65"/>
      <c r="H143" s="66" t="s">
        <v>114</v>
      </c>
      <c r="I143" s="65">
        <v>4.88</v>
      </c>
      <c r="J143" s="65"/>
      <c r="K143" s="66">
        <v>1</v>
      </c>
      <c r="L143" s="65">
        <v>2.2799999999999998</v>
      </c>
      <c r="M143" s="65"/>
      <c r="N143" s="66" t="s">
        <v>114</v>
      </c>
      <c r="O143" s="65">
        <v>1.88</v>
      </c>
      <c r="P143" s="65"/>
      <c r="Q143" s="66" t="s">
        <v>114</v>
      </c>
      <c r="R143" s="65">
        <v>2.67</v>
      </c>
      <c r="S143" s="65"/>
      <c r="T143" s="66" t="s">
        <v>114</v>
      </c>
      <c r="U143" s="62" t="s">
        <v>38</v>
      </c>
      <c r="V143" s="63" t="s">
        <v>134</v>
      </c>
    </row>
    <row r="144" spans="1:22" x14ac:dyDescent="0.2">
      <c r="A144" s="37"/>
      <c r="B144" s="67" t="s">
        <v>39</v>
      </c>
      <c r="C144" s="65">
        <v>2.67</v>
      </c>
      <c r="D144" s="65"/>
      <c r="E144" s="66" t="s">
        <v>114</v>
      </c>
      <c r="F144" s="65">
        <v>5.55</v>
      </c>
      <c r="G144" s="65"/>
      <c r="H144" s="66">
        <v>1</v>
      </c>
      <c r="I144" s="65">
        <v>2.54</v>
      </c>
      <c r="J144" s="65"/>
      <c r="K144" s="66" t="s">
        <v>114</v>
      </c>
      <c r="L144" s="65">
        <v>3.74</v>
      </c>
      <c r="M144" s="65"/>
      <c r="N144" s="66" t="s">
        <v>114</v>
      </c>
      <c r="O144" s="65">
        <v>1.97</v>
      </c>
      <c r="P144" s="65"/>
      <c r="Q144" s="66" t="s">
        <v>114</v>
      </c>
      <c r="R144" s="65">
        <v>2.31</v>
      </c>
      <c r="S144" s="65"/>
      <c r="T144" s="66" t="s">
        <v>114</v>
      </c>
      <c r="U144" s="62" t="s">
        <v>40</v>
      </c>
      <c r="V144" s="63" t="s">
        <v>135</v>
      </c>
    </row>
    <row r="145" spans="1:22" x14ac:dyDescent="0.2">
      <c r="A145" s="37"/>
      <c r="B145" s="68" t="s">
        <v>41</v>
      </c>
      <c r="C145" s="69">
        <v>3.08</v>
      </c>
      <c r="D145" s="69"/>
      <c r="E145" s="70" t="s">
        <v>114</v>
      </c>
      <c r="F145" s="69">
        <v>3.77</v>
      </c>
      <c r="G145" s="69"/>
      <c r="H145" s="70" t="s">
        <v>114</v>
      </c>
      <c r="I145" s="69">
        <v>2.75</v>
      </c>
      <c r="J145" s="69"/>
      <c r="K145" s="70" t="s">
        <v>114</v>
      </c>
      <c r="L145" s="69">
        <v>4.68</v>
      </c>
      <c r="M145" s="69"/>
      <c r="N145" s="70">
        <v>1</v>
      </c>
      <c r="O145" s="69">
        <v>1.71</v>
      </c>
      <c r="P145" s="69"/>
      <c r="Q145" s="70" t="s">
        <v>114</v>
      </c>
      <c r="R145" s="69">
        <v>2.27</v>
      </c>
      <c r="S145" s="69"/>
      <c r="T145" s="70" t="s">
        <v>114</v>
      </c>
      <c r="U145" s="62" t="s">
        <v>42</v>
      </c>
      <c r="V145" s="63" t="s">
        <v>136</v>
      </c>
    </row>
    <row r="146" spans="1:22" x14ac:dyDescent="0.2">
      <c r="A146" s="37"/>
      <c r="B146" s="55"/>
      <c r="C146" s="55"/>
      <c r="D146" s="55"/>
      <c r="E146" s="57"/>
      <c r="F146" s="55"/>
      <c r="G146" s="55"/>
      <c r="H146" s="57"/>
      <c r="I146" s="55"/>
      <c r="J146" s="55"/>
      <c r="K146" s="57"/>
      <c r="L146" s="55"/>
      <c r="M146" s="55"/>
      <c r="N146" s="57"/>
      <c r="O146" s="55"/>
      <c r="P146" s="55"/>
      <c r="Q146" s="57"/>
      <c r="R146" s="54"/>
      <c r="S146" s="54"/>
      <c r="T146" s="58"/>
      <c r="U146" s="58"/>
      <c r="V146" s="59"/>
    </row>
    <row r="147" spans="1:22" x14ac:dyDescent="0.2">
      <c r="A147" s="37"/>
      <c r="B147" s="55"/>
      <c r="C147" s="55"/>
      <c r="D147" s="56" t="s">
        <v>137</v>
      </c>
      <c r="E147" s="57"/>
      <c r="F147" s="55"/>
      <c r="G147" s="55"/>
      <c r="H147" s="57"/>
      <c r="I147" s="55"/>
      <c r="J147" s="55"/>
      <c r="K147" s="57"/>
      <c r="L147" s="55"/>
      <c r="M147" s="55"/>
      <c r="N147" s="57"/>
      <c r="O147" s="55"/>
      <c r="P147" s="55"/>
      <c r="Q147" s="57"/>
      <c r="R147" s="58"/>
      <c r="S147" s="59"/>
      <c r="T147" s="58"/>
      <c r="U147" s="58"/>
      <c r="V147" s="58"/>
    </row>
    <row r="148" spans="1:22" x14ac:dyDescent="0.2">
      <c r="A148" s="37"/>
      <c r="B148" s="60"/>
      <c r="C148" s="61" t="s">
        <v>31</v>
      </c>
      <c r="D148" s="61" t="s">
        <v>32</v>
      </c>
      <c r="E148" s="61" t="s">
        <v>33</v>
      </c>
      <c r="F148" s="61" t="s">
        <v>31</v>
      </c>
      <c r="G148" s="61" t="s">
        <v>32</v>
      </c>
      <c r="H148" s="61" t="s">
        <v>33</v>
      </c>
      <c r="I148" s="61" t="s">
        <v>31</v>
      </c>
      <c r="J148" s="61" t="s">
        <v>34</v>
      </c>
      <c r="K148" s="61" t="s">
        <v>33</v>
      </c>
      <c r="L148" s="61" t="s">
        <v>31</v>
      </c>
      <c r="M148" s="61" t="s">
        <v>34</v>
      </c>
      <c r="N148" s="61" t="s">
        <v>33</v>
      </c>
      <c r="O148" s="61" t="s">
        <v>31</v>
      </c>
      <c r="P148" s="61" t="s">
        <v>35</v>
      </c>
      <c r="Q148" s="61" t="s">
        <v>33</v>
      </c>
      <c r="R148" s="61" t="s">
        <v>31</v>
      </c>
      <c r="S148" s="61" t="s">
        <v>35</v>
      </c>
      <c r="T148" s="61" t="s">
        <v>33</v>
      </c>
      <c r="U148" s="62" t="s">
        <v>36</v>
      </c>
      <c r="V148" s="63" t="s">
        <v>125</v>
      </c>
    </row>
    <row r="149" spans="1:22" x14ac:dyDescent="0.2">
      <c r="A149" s="37"/>
      <c r="B149" s="64" t="s">
        <v>37</v>
      </c>
      <c r="C149" s="65">
        <v>7.06</v>
      </c>
      <c r="D149" s="65"/>
      <c r="E149" s="66" t="s">
        <v>114</v>
      </c>
      <c r="F149" s="65">
        <v>13.61</v>
      </c>
      <c r="G149" s="65"/>
      <c r="H149" s="66" t="s">
        <v>114</v>
      </c>
      <c r="I149" s="65">
        <v>4.6100000000000003</v>
      </c>
      <c r="J149" s="65"/>
      <c r="K149" s="66">
        <v>1</v>
      </c>
      <c r="L149" s="65">
        <v>4.41</v>
      </c>
      <c r="M149" s="65"/>
      <c r="N149" s="66" t="s">
        <v>114</v>
      </c>
      <c r="O149" s="65">
        <v>2.5299999999999998</v>
      </c>
      <c r="P149" s="65"/>
      <c r="Q149" s="66" t="s">
        <v>114</v>
      </c>
      <c r="R149" s="65">
        <v>5.17</v>
      </c>
      <c r="S149" s="65"/>
      <c r="T149" s="66" t="s">
        <v>114</v>
      </c>
      <c r="U149" s="62" t="s">
        <v>38</v>
      </c>
      <c r="V149" s="63" t="s">
        <v>138</v>
      </c>
    </row>
    <row r="150" spans="1:22" x14ac:dyDescent="0.2">
      <c r="A150" s="37"/>
      <c r="B150" s="67" t="s">
        <v>39</v>
      </c>
      <c r="C150" s="65">
        <v>4.03</v>
      </c>
      <c r="D150" s="65"/>
      <c r="E150" s="66" t="s">
        <v>114</v>
      </c>
      <c r="F150" s="65">
        <v>6.32</v>
      </c>
      <c r="G150" s="65"/>
      <c r="H150" s="66">
        <v>1</v>
      </c>
      <c r="I150" s="65">
        <v>6.44</v>
      </c>
      <c r="J150" s="65"/>
      <c r="K150" s="66">
        <v>1</v>
      </c>
      <c r="L150" s="65">
        <v>5.69</v>
      </c>
      <c r="M150" s="65"/>
      <c r="N150" s="66" t="s">
        <v>114</v>
      </c>
      <c r="O150" s="65">
        <v>2.81</v>
      </c>
      <c r="P150" s="65"/>
      <c r="Q150" s="66" t="s">
        <v>114</v>
      </c>
      <c r="R150" s="65">
        <v>2.1800000000000002</v>
      </c>
      <c r="S150" s="65"/>
      <c r="T150" s="66" t="s">
        <v>114</v>
      </c>
      <c r="U150" s="62" t="s">
        <v>40</v>
      </c>
      <c r="V150" s="63" t="s">
        <v>139</v>
      </c>
    </row>
    <row r="151" spans="1:22" x14ac:dyDescent="0.2">
      <c r="A151" s="37"/>
      <c r="B151" s="68" t="s">
        <v>41</v>
      </c>
      <c r="C151" s="69">
        <v>12.36</v>
      </c>
      <c r="D151" s="69"/>
      <c r="E151" s="70" t="s">
        <v>114</v>
      </c>
      <c r="F151" s="69">
        <v>5.29</v>
      </c>
      <c r="G151" s="69"/>
      <c r="H151" s="70" t="s">
        <v>114</v>
      </c>
      <c r="I151" s="69">
        <v>5.74</v>
      </c>
      <c r="J151" s="69"/>
      <c r="K151" s="70" t="s">
        <v>114</v>
      </c>
      <c r="L151" s="69">
        <v>6.03</v>
      </c>
      <c r="M151" s="69"/>
      <c r="N151" s="70" t="s">
        <v>114</v>
      </c>
      <c r="O151" s="69">
        <v>2.59</v>
      </c>
      <c r="P151" s="69"/>
      <c r="Q151" s="70" t="s">
        <v>114</v>
      </c>
      <c r="R151" s="69">
        <v>2.5499999999999998</v>
      </c>
      <c r="S151" s="69"/>
      <c r="T151" s="70" t="s">
        <v>114</v>
      </c>
      <c r="U151" s="62" t="s">
        <v>42</v>
      </c>
      <c r="V151" s="63" t="s">
        <v>140</v>
      </c>
    </row>
    <row r="152" spans="1:22" x14ac:dyDescent="0.2">
      <c r="A152" s="37"/>
      <c r="B152" s="55"/>
      <c r="C152" s="55"/>
      <c r="D152" s="55"/>
      <c r="E152" s="57"/>
      <c r="F152" s="55"/>
      <c r="G152" s="55"/>
      <c r="H152" s="57"/>
      <c r="I152" s="55"/>
      <c r="J152" s="55"/>
      <c r="K152" s="57"/>
      <c r="L152" s="55"/>
      <c r="M152" s="55"/>
      <c r="N152" s="57"/>
      <c r="O152" s="55"/>
      <c r="P152" s="55"/>
      <c r="Q152" s="57"/>
      <c r="R152" s="54"/>
      <c r="S152" s="54"/>
      <c r="T152" s="58"/>
      <c r="U152" s="58"/>
      <c r="V152" s="59"/>
    </row>
    <row r="153" spans="1:22" x14ac:dyDescent="0.2">
      <c r="A153" s="37"/>
      <c r="B153" s="55"/>
      <c r="C153" s="55"/>
      <c r="D153" s="56" t="s">
        <v>141</v>
      </c>
      <c r="E153" s="57"/>
      <c r="F153" s="55"/>
      <c r="G153" s="55"/>
      <c r="H153" s="57"/>
      <c r="I153" s="55"/>
      <c r="J153" s="55"/>
      <c r="K153" s="57"/>
      <c r="L153" s="55"/>
      <c r="M153" s="55"/>
      <c r="N153" s="57"/>
      <c r="O153" s="55"/>
      <c r="P153" s="55"/>
      <c r="Q153" s="57"/>
      <c r="R153" s="58"/>
      <c r="S153" s="59"/>
      <c r="T153" s="58"/>
      <c r="U153" s="58"/>
      <c r="V153" s="58"/>
    </row>
    <row r="154" spans="1:22" x14ac:dyDescent="0.2">
      <c r="A154" s="37"/>
      <c r="B154" s="60"/>
      <c r="C154" s="61" t="s">
        <v>31</v>
      </c>
      <c r="D154" s="61" t="s">
        <v>32</v>
      </c>
      <c r="E154" s="61" t="s">
        <v>33</v>
      </c>
      <c r="F154" s="61" t="s">
        <v>31</v>
      </c>
      <c r="G154" s="61" t="s">
        <v>32</v>
      </c>
      <c r="H154" s="61" t="s">
        <v>33</v>
      </c>
      <c r="I154" s="61" t="s">
        <v>31</v>
      </c>
      <c r="J154" s="61" t="s">
        <v>34</v>
      </c>
      <c r="K154" s="61" t="s">
        <v>33</v>
      </c>
      <c r="L154" s="61" t="s">
        <v>31</v>
      </c>
      <c r="M154" s="61" t="s">
        <v>34</v>
      </c>
      <c r="N154" s="61" t="s">
        <v>33</v>
      </c>
      <c r="O154" s="61" t="s">
        <v>31</v>
      </c>
      <c r="P154" s="61" t="s">
        <v>35</v>
      </c>
      <c r="Q154" s="61" t="s">
        <v>33</v>
      </c>
      <c r="R154" s="61" t="s">
        <v>31</v>
      </c>
      <c r="S154" s="61" t="s">
        <v>35</v>
      </c>
      <c r="T154" s="61" t="s">
        <v>33</v>
      </c>
      <c r="U154" s="62" t="s">
        <v>36</v>
      </c>
      <c r="V154" s="63" t="s">
        <v>142</v>
      </c>
    </row>
    <row r="155" spans="1:22" x14ac:dyDescent="0.2">
      <c r="A155" s="37"/>
      <c r="B155" s="64" t="s">
        <v>37</v>
      </c>
      <c r="C155" s="65">
        <v>4.0199999999999996</v>
      </c>
      <c r="D155" s="65"/>
      <c r="E155" s="66" t="s">
        <v>114</v>
      </c>
      <c r="F155" s="65">
        <v>5.5</v>
      </c>
      <c r="G155" s="65"/>
      <c r="H155" s="66" t="s">
        <v>114</v>
      </c>
      <c r="I155" s="65">
        <v>3.85</v>
      </c>
      <c r="J155" s="65"/>
      <c r="K155" s="66" t="s">
        <v>114</v>
      </c>
      <c r="L155" s="65">
        <v>2.82</v>
      </c>
      <c r="M155" s="65"/>
      <c r="N155" s="66" t="s">
        <v>114</v>
      </c>
      <c r="O155" s="65">
        <v>1.74</v>
      </c>
      <c r="P155" s="65"/>
      <c r="Q155" s="66" t="s">
        <v>114</v>
      </c>
      <c r="R155" s="65">
        <v>2.91</v>
      </c>
      <c r="S155" s="65"/>
      <c r="T155" s="66" t="s">
        <v>114</v>
      </c>
      <c r="U155" s="62" t="s">
        <v>38</v>
      </c>
      <c r="V155" s="63" t="s">
        <v>143</v>
      </c>
    </row>
    <row r="156" spans="1:22" x14ac:dyDescent="0.2">
      <c r="A156" s="37"/>
      <c r="B156" s="67" t="s">
        <v>39</v>
      </c>
      <c r="C156" s="65">
        <v>3.3</v>
      </c>
      <c r="D156" s="65"/>
      <c r="E156" s="66" t="s">
        <v>114</v>
      </c>
      <c r="F156" s="65">
        <v>6.38</v>
      </c>
      <c r="G156" s="65"/>
      <c r="H156" s="66" t="s">
        <v>114</v>
      </c>
      <c r="I156" s="65">
        <v>3.04</v>
      </c>
      <c r="J156" s="65"/>
      <c r="K156" s="66" t="s">
        <v>114</v>
      </c>
      <c r="L156" s="65">
        <v>2.78</v>
      </c>
      <c r="M156" s="65"/>
      <c r="N156" s="66" t="s">
        <v>114</v>
      </c>
      <c r="O156" s="65">
        <v>2.48</v>
      </c>
      <c r="P156" s="65"/>
      <c r="Q156" s="66" t="s">
        <v>114</v>
      </c>
      <c r="R156" s="65">
        <v>1.69</v>
      </c>
      <c r="S156" s="65"/>
      <c r="T156" s="66" t="s">
        <v>114</v>
      </c>
      <c r="U156" s="62" t="s">
        <v>40</v>
      </c>
      <c r="V156" s="63" t="s">
        <v>144</v>
      </c>
    </row>
    <row r="157" spans="1:22" x14ac:dyDescent="0.2">
      <c r="A157" s="37"/>
      <c r="B157" s="68" t="s">
        <v>41</v>
      </c>
      <c r="C157" s="69">
        <v>3.75</v>
      </c>
      <c r="D157" s="69"/>
      <c r="E157" s="70" t="s">
        <v>114</v>
      </c>
      <c r="F157" s="69">
        <v>6.38</v>
      </c>
      <c r="G157" s="69"/>
      <c r="H157" s="70" t="s">
        <v>114</v>
      </c>
      <c r="I157" s="69">
        <v>3.04</v>
      </c>
      <c r="J157" s="69"/>
      <c r="K157" s="70" t="s">
        <v>114</v>
      </c>
      <c r="L157" s="69">
        <v>2.78</v>
      </c>
      <c r="M157" s="69"/>
      <c r="N157" s="70" t="s">
        <v>114</v>
      </c>
      <c r="O157" s="69">
        <v>2.48</v>
      </c>
      <c r="P157" s="69"/>
      <c r="Q157" s="70" t="s">
        <v>114</v>
      </c>
      <c r="R157" s="69">
        <v>1.69</v>
      </c>
      <c r="S157" s="69"/>
      <c r="T157" s="70" t="s">
        <v>114</v>
      </c>
      <c r="U157" s="62" t="s">
        <v>42</v>
      </c>
      <c r="V157" s="63" t="s">
        <v>145</v>
      </c>
    </row>
    <row r="158" spans="1:22" x14ac:dyDescent="0.2">
      <c r="A158" s="37"/>
      <c r="B158" s="55"/>
      <c r="C158" s="55"/>
      <c r="D158" s="55"/>
      <c r="E158" s="57"/>
      <c r="F158" s="55"/>
      <c r="G158" s="55"/>
      <c r="H158" s="57"/>
      <c r="I158" s="55"/>
      <c r="J158" s="55"/>
      <c r="K158" s="57"/>
      <c r="L158" s="55"/>
      <c r="M158" s="55"/>
      <c r="N158" s="57"/>
      <c r="O158" s="55"/>
      <c r="P158" s="55"/>
      <c r="Q158" s="57"/>
      <c r="R158" s="54"/>
      <c r="S158" s="54"/>
      <c r="T158" s="58"/>
      <c r="U158" s="58"/>
      <c r="V158" s="59"/>
    </row>
    <row r="159" spans="1:22" x14ac:dyDescent="0.2">
      <c r="A159" s="37"/>
      <c r="B159" s="55"/>
      <c r="C159" s="55"/>
      <c r="D159" s="56" t="s">
        <v>146</v>
      </c>
      <c r="E159" s="57"/>
      <c r="F159" s="55"/>
      <c r="G159" s="55"/>
      <c r="H159" s="57"/>
      <c r="I159" s="55"/>
      <c r="J159" s="55"/>
      <c r="K159" s="57"/>
      <c r="L159" s="55"/>
      <c r="M159" s="55"/>
      <c r="N159" s="57"/>
      <c r="O159" s="55"/>
      <c r="P159" s="55"/>
      <c r="Q159" s="57"/>
      <c r="R159" s="58"/>
      <c r="S159" s="59"/>
      <c r="T159" s="58"/>
      <c r="U159" s="58"/>
      <c r="V159" s="58"/>
    </row>
    <row r="160" spans="1:22" x14ac:dyDescent="0.2">
      <c r="A160" s="37"/>
      <c r="B160" s="60"/>
      <c r="C160" s="61" t="s">
        <v>31</v>
      </c>
      <c r="D160" s="61" t="s">
        <v>32</v>
      </c>
      <c r="E160" s="61" t="s">
        <v>33</v>
      </c>
      <c r="F160" s="61" t="s">
        <v>31</v>
      </c>
      <c r="G160" s="61" t="s">
        <v>32</v>
      </c>
      <c r="H160" s="61" t="s">
        <v>33</v>
      </c>
      <c r="I160" s="61" t="s">
        <v>31</v>
      </c>
      <c r="J160" s="61" t="s">
        <v>34</v>
      </c>
      <c r="K160" s="61" t="s">
        <v>33</v>
      </c>
      <c r="L160" s="61" t="s">
        <v>31</v>
      </c>
      <c r="M160" s="61" t="s">
        <v>34</v>
      </c>
      <c r="N160" s="61" t="s">
        <v>33</v>
      </c>
      <c r="O160" s="61" t="s">
        <v>31</v>
      </c>
      <c r="P160" s="61" t="s">
        <v>35</v>
      </c>
      <c r="Q160" s="61" t="s">
        <v>33</v>
      </c>
      <c r="R160" s="61" t="s">
        <v>31</v>
      </c>
      <c r="S160" s="61" t="s">
        <v>35</v>
      </c>
      <c r="T160" s="61" t="s">
        <v>33</v>
      </c>
      <c r="U160" s="62" t="s">
        <v>36</v>
      </c>
      <c r="V160" s="63" t="s">
        <v>125</v>
      </c>
    </row>
    <row r="161" spans="1:22" x14ac:dyDescent="0.2">
      <c r="A161" s="37"/>
      <c r="B161" s="64" t="s">
        <v>37</v>
      </c>
      <c r="C161" s="65">
        <v>5.21</v>
      </c>
      <c r="D161" s="65"/>
      <c r="E161" s="66" t="s">
        <v>114</v>
      </c>
      <c r="F161" s="65">
        <v>6.35</v>
      </c>
      <c r="G161" s="65"/>
      <c r="H161" s="66">
        <v>1</v>
      </c>
      <c r="I161" s="65">
        <v>3.32</v>
      </c>
      <c r="J161" s="65"/>
      <c r="K161" s="66" t="s">
        <v>114</v>
      </c>
      <c r="L161" s="65">
        <v>5.59</v>
      </c>
      <c r="M161" s="65"/>
      <c r="N161" s="66">
        <v>1</v>
      </c>
      <c r="O161" s="65">
        <v>2.96</v>
      </c>
      <c r="P161" s="65"/>
      <c r="Q161" s="66" t="s">
        <v>114</v>
      </c>
      <c r="R161" s="65">
        <v>2.4500000000000002</v>
      </c>
      <c r="S161" s="65"/>
      <c r="T161" s="66" t="s">
        <v>114</v>
      </c>
      <c r="U161" s="62" t="s">
        <v>38</v>
      </c>
      <c r="V161" s="63" t="s">
        <v>147</v>
      </c>
    </row>
    <row r="162" spans="1:22" x14ac:dyDescent="0.2">
      <c r="A162" s="37"/>
      <c r="B162" s="67" t="s">
        <v>39</v>
      </c>
      <c r="C162" s="65">
        <v>4.42</v>
      </c>
      <c r="D162" s="65"/>
      <c r="E162" s="66">
        <v>1</v>
      </c>
      <c r="F162" s="65">
        <v>5.36</v>
      </c>
      <c r="G162" s="65"/>
      <c r="H162" s="66" t="s">
        <v>114</v>
      </c>
      <c r="I162" s="65">
        <v>3.03</v>
      </c>
      <c r="J162" s="65"/>
      <c r="K162" s="66" t="s">
        <v>114</v>
      </c>
      <c r="L162" s="65">
        <v>2.6</v>
      </c>
      <c r="M162" s="65"/>
      <c r="N162" s="66" t="s">
        <v>114</v>
      </c>
      <c r="O162" s="65">
        <v>1.62</v>
      </c>
      <c r="P162" s="65"/>
      <c r="Q162" s="66" t="s">
        <v>114</v>
      </c>
      <c r="R162" s="65">
        <v>2.5</v>
      </c>
      <c r="S162" s="65"/>
      <c r="T162" s="66" t="s">
        <v>114</v>
      </c>
      <c r="U162" s="62" t="s">
        <v>40</v>
      </c>
      <c r="V162" s="63" t="s">
        <v>148</v>
      </c>
    </row>
    <row r="163" spans="1:22" x14ac:dyDescent="0.2">
      <c r="A163" s="37"/>
      <c r="B163" s="68" t="s">
        <v>41</v>
      </c>
      <c r="C163" s="69">
        <v>4.5999999999999996</v>
      </c>
      <c r="D163" s="69"/>
      <c r="E163" s="70" t="s">
        <v>114</v>
      </c>
      <c r="F163" s="69">
        <v>3.1</v>
      </c>
      <c r="G163" s="69"/>
      <c r="H163" s="70" t="s">
        <v>114</v>
      </c>
      <c r="I163" s="69">
        <v>5.0599999999999996</v>
      </c>
      <c r="J163" s="69"/>
      <c r="K163" s="70" t="s">
        <v>114</v>
      </c>
      <c r="L163" s="69">
        <v>2.42</v>
      </c>
      <c r="M163" s="69"/>
      <c r="N163" s="70" t="s">
        <v>114</v>
      </c>
      <c r="O163" s="69">
        <v>3</v>
      </c>
      <c r="P163" s="69"/>
      <c r="Q163" s="70" t="s">
        <v>114</v>
      </c>
      <c r="R163" s="69">
        <v>2.8</v>
      </c>
      <c r="S163" s="69"/>
      <c r="T163" s="70" t="s">
        <v>114</v>
      </c>
      <c r="U163" s="62" t="s">
        <v>42</v>
      </c>
      <c r="V163" s="63" t="s">
        <v>149</v>
      </c>
    </row>
    <row r="164" spans="1:22" x14ac:dyDescent="0.2">
      <c r="A164" s="37"/>
      <c r="B164" s="55"/>
      <c r="C164" s="55"/>
      <c r="D164" s="55"/>
      <c r="E164" s="57"/>
      <c r="F164" s="55"/>
      <c r="G164" s="55"/>
      <c r="H164" s="57"/>
      <c r="I164" s="55"/>
      <c r="J164" s="55"/>
      <c r="K164" s="57"/>
      <c r="L164" s="55"/>
      <c r="M164" s="55"/>
      <c r="N164" s="57"/>
      <c r="O164" s="55"/>
      <c r="P164" s="55"/>
      <c r="Q164" s="57"/>
      <c r="R164" s="54"/>
      <c r="S164" s="54"/>
      <c r="T164" s="58"/>
      <c r="U164" s="58"/>
      <c r="V164" s="59"/>
    </row>
    <row r="165" spans="1:22" x14ac:dyDescent="0.2">
      <c r="A165" s="37"/>
      <c r="B165" s="55"/>
      <c r="C165" s="55"/>
      <c r="D165" s="56" t="s">
        <v>150</v>
      </c>
      <c r="E165" s="57"/>
      <c r="F165" s="55"/>
      <c r="G165" s="55"/>
      <c r="H165" s="57"/>
      <c r="I165" s="55"/>
      <c r="J165" s="55"/>
      <c r="K165" s="57"/>
      <c r="L165" s="55"/>
      <c r="M165" s="55"/>
      <c r="N165" s="57"/>
      <c r="O165" s="55"/>
      <c r="P165" s="55"/>
      <c r="Q165" s="57"/>
      <c r="R165" s="58"/>
      <c r="S165" s="59"/>
      <c r="T165" s="58"/>
      <c r="U165" s="58"/>
      <c r="V165" s="58"/>
    </row>
    <row r="166" spans="1:22" x14ac:dyDescent="0.2">
      <c r="A166" s="37"/>
      <c r="B166" s="60"/>
      <c r="C166" s="61" t="s">
        <v>31</v>
      </c>
      <c r="D166" s="61" t="s">
        <v>32</v>
      </c>
      <c r="E166" s="61" t="s">
        <v>33</v>
      </c>
      <c r="F166" s="61" t="s">
        <v>31</v>
      </c>
      <c r="G166" s="61" t="s">
        <v>32</v>
      </c>
      <c r="H166" s="61" t="s">
        <v>33</v>
      </c>
      <c r="I166" s="61" t="s">
        <v>31</v>
      </c>
      <c r="J166" s="61" t="s">
        <v>34</v>
      </c>
      <c r="K166" s="61" t="s">
        <v>33</v>
      </c>
      <c r="L166" s="61" t="s">
        <v>31</v>
      </c>
      <c r="M166" s="61" t="s">
        <v>34</v>
      </c>
      <c r="N166" s="61" t="s">
        <v>33</v>
      </c>
      <c r="O166" s="61" t="s">
        <v>31</v>
      </c>
      <c r="P166" s="61" t="s">
        <v>35</v>
      </c>
      <c r="Q166" s="61" t="s">
        <v>33</v>
      </c>
      <c r="R166" s="61" t="s">
        <v>31</v>
      </c>
      <c r="S166" s="61" t="s">
        <v>35</v>
      </c>
      <c r="T166" s="61" t="s">
        <v>33</v>
      </c>
      <c r="U166" s="62" t="s">
        <v>36</v>
      </c>
      <c r="V166" s="63" t="s">
        <v>151</v>
      </c>
    </row>
    <row r="167" spans="1:22" x14ac:dyDescent="0.2">
      <c r="A167" s="37"/>
      <c r="B167" s="64" t="s">
        <v>37</v>
      </c>
      <c r="C167" s="65">
        <v>9.4</v>
      </c>
      <c r="D167" s="65"/>
      <c r="E167" s="66">
        <v>1</v>
      </c>
      <c r="F167" s="65">
        <v>5.23</v>
      </c>
      <c r="G167" s="65"/>
      <c r="H167" s="66" t="s">
        <v>114</v>
      </c>
      <c r="I167" s="65">
        <v>7.7</v>
      </c>
      <c r="J167" s="65"/>
      <c r="K167" s="66" t="s">
        <v>114</v>
      </c>
      <c r="L167" s="65">
        <v>4.83</v>
      </c>
      <c r="M167" s="65"/>
      <c r="N167" s="66" t="s">
        <v>114</v>
      </c>
      <c r="O167" s="65">
        <v>12.99</v>
      </c>
      <c r="P167" s="65"/>
      <c r="Q167" s="66">
        <v>2</v>
      </c>
      <c r="R167" s="65">
        <v>12.95</v>
      </c>
      <c r="S167" s="65"/>
      <c r="T167" s="66">
        <v>2</v>
      </c>
      <c r="U167" s="62" t="s">
        <v>38</v>
      </c>
      <c r="V167" s="63" t="s">
        <v>152</v>
      </c>
    </row>
    <row r="168" spans="1:22" x14ac:dyDescent="0.2">
      <c r="A168" s="37"/>
      <c r="B168" s="67" t="s">
        <v>39</v>
      </c>
      <c r="C168" s="65">
        <v>9.76</v>
      </c>
      <c r="D168" s="65"/>
      <c r="E168" s="66" t="s">
        <v>114</v>
      </c>
      <c r="F168" s="65">
        <v>14.16</v>
      </c>
      <c r="G168" s="65"/>
      <c r="H168" s="66">
        <v>1</v>
      </c>
      <c r="I168" s="65">
        <v>9.02</v>
      </c>
      <c r="J168" s="65"/>
      <c r="K168" s="66" t="s">
        <v>114</v>
      </c>
      <c r="L168" s="65">
        <v>5.5</v>
      </c>
      <c r="M168" s="65"/>
      <c r="N168" s="66" t="s">
        <v>114</v>
      </c>
      <c r="O168" s="65">
        <v>4.55</v>
      </c>
      <c r="P168" s="65"/>
      <c r="Q168" s="66" t="s">
        <v>114</v>
      </c>
      <c r="R168" s="65">
        <v>2.5499999999999998</v>
      </c>
      <c r="S168" s="65"/>
      <c r="T168" s="66" t="s">
        <v>114</v>
      </c>
      <c r="U168" s="62" t="s">
        <v>40</v>
      </c>
      <c r="V168" s="63" t="s">
        <v>153</v>
      </c>
    </row>
    <row r="169" spans="1:22" x14ac:dyDescent="0.2">
      <c r="A169" s="37"/>
      <c r="B169" s="68" t="s">
        <v>41</v>
      </c>
      <c r="C169" s="69">
        <v>3.16</v>
      </c>
      <c r="D169" s="69"/>
      <c r="E169" s="70" t="s">
        <v>114</v>
      </c>
      <c r="F169" s="69">
        <v>4.5999999999999996</v>
      </c>
      <c r="G169" s="69"/>
      <c r="H169" s="70" t="s">
        <v>114</v>
      </c>
      <c r="I169" s="69">
        <v>3.93</v>
      </c>
      <c r="J169" s="69"/>
      <c r="K169" s="70" t="s">
        <v>114</v>
      </c>
      <c r="L169" s="69">
        <v>2.52</v>
      </c>
      <c r="M169" s="69"/>
      <c r="N169" s="70" t="s">
        <v>114</v>
      </c>
      <c r="O169" s="69">
        <v>3.69</v>
      </c>
      <c r="P169" s="69"/>
      <c r="Q169" s="70" t="s">
        <v>114</v>
      </c>
      <c r="R169" s="69">
        <v>4.33</v>
      </c>
      <c r="S169" s="69"/>
      <c r="T169" s="70" t="s">
        <v>114</v>
      </c>
      <c r="U169" s="62" t="s">
        <v>42</v>
      </c>
      <c r="V169" s="63" t="s">
        <v>154</v>
      </c>
    </row>
    <row r="170" spans="1:22" x14ac:dyDescent="0.2">
      <c r="A170" s="37"/>
      <c r="B170" s="55"/>
      <c r="C170" s="55"/>
      <c r="D170" s="55"/>
      <c r="E170" s="57"/>
      <c r="F170" s="55"/>
      <c r="G170" s="55"/>
      <c r="H170" s="57"/>
      <c r="I170" s="55"/>
      <c r="J170" s="55"/>
      <c r="K170" s="57"/>
      <c r="L170" s="55"/>
      <c r="M170" s="55"/>
      <c r="N170" s="57"/>
      <c r="O170" s="55"/>
      <c r="P170" s="55"/>
      <c r="Q170" s="57"/>
      <c r="R170" s="54"/>
      <c r="S170" s="54"/>
      <c r="T170" s="58"/>
      <c r="U170" s="58"/>
      <c r="V170" s="59"/>
    </row>
    <row r="171" spans="1:22" x14ac:dyDescent="0.2">
      <c r="A171" s="37"/>
      <c r="B171" s="55"/>
      <c r="C171" s="55"/>
      <c r="D171" s="56" t="s">
        <v>155</v>
      </c>
      <c r="E171" s="57"/>
      <c r="F171" s="55"/>
      <c r="G171" s="55"/>
      <c r="H171" s="57"/>
      <c r="I171" s="55"/>
      <c r="J171" s="55"/>
      <c r="K171" s="57"/>
      <c r="L171" s="55"/>
      <c r="M171" s="55"/>
      <c r="N171" s="57"/>
      <c r="O171" s="55"/>
      <c r="P171" s="55"/>
      <c r="Q171" s="57"/>
      <c r="R171" s="58"/>
      <c r="S171" s="59"/>
      <c r="T171" s="58"/>
      <c r="U171" s="58"/>
      <c r="V171" s="58"/>
    </row>
    <row r="172" spans="1:22" x14ac:dyDescent="0.2">
      <c r="A172" s="37"/>
      <c r="B172" s="60"/>
      <c r="C172" s="61" t="s">
        <v>31</v>
      </c>
      <c r="D172" s="61" t="s">
        <v>32</v>
      </c>
      <c r="E172" s="61" t="s">
        <v>33</v>
      </c>
      <c r="F172" s="61" t="s">
        <v>31</v>
      </c>
      <c r="G172" s="61" t="s">
        <v>32</v>
      </c>
      <c r="H172" s="61" t="s">
        <v>33</v>
      </c>
      <c r="I172" s="61" t="s">
        <v>31</v>
      </c>
      <c r="J172" s="61" t="s">
        <v>34</v>
      </c>
      <c r="K172" s="61" t="s">
        <v>33</v>
      </c>
      <c r="L172" s="61" t="s">
        <v>31</v>
      </c>
      <c r="M172" s="61" t="s">
        <v>34</v>
      </c>
      <c r="N172" s="61" t="s">
        <v>33</v>
      </c>
      <c r="O172" s="61" t="s">
        <v>31</v>
      </c>
      <c r="P172" s="61" t="s">
        <v>35</v>
      </c>
      <c r="Q172" s="61" t="s">
        <v>33</v>
      </c>
      <c r="R172" s="61" t="s">
        <v>31</v>
      </c>
      <c r="S172" s="61" t="s">
        <v>35</v>
      </c>
      <c r="T172" s="61" t="s">
        <v>33</v>
      </c>
      <c r="U172" s="62" t="s">
        <v>36</v>
      </c>
      <c r="V172" s="63" t="s">
        <v>156</v>
      </c>
    </row>
    <row r="173" spans="1:22" x14ac:dyDescent="0.2">
      <c r="A173" s="37"/>
      <c r="B173" s="64" t="s">
        <v>37</v>
      </c>
      <c r="C173" s="65">
        <v>4.8600000000000003</v>
      </c>
      <c r="D173" s="65"/>
      <c r="E173" s="66" t="s">
        <v>114</v>
      </c>
      <c r="F173" s="65">
        <v>4.43</v>
      </c>
      <c r="G173" s="65"/>
      <c r="H173" s="66" t="s">
        <v>114</v>
      </c>
      <c r="I173" s="65">
        <v>3.83</v>
      </c>
      <c r="J173" s="65"/>
      <c r="K173" s="66" t="s">
        <v>114</v>
      </c>
      <c r="L173" s="65">
        <v>4.5999999999999996</v>
      </c>
      <c r="M173" s="65"/>
      <c r="N173" s="66">
        <v>1</v>
      </c>
      <c r="O173" s="65">
        <v>4.1500000000000004</v>
      </c>
      <c r="P173" s="65"/>
      <c r="Q173" s="66" t="s">
        <v>114</v>
      </c>
      <c r="R173" s="65">
        <v>2.6</v>
      </c>
      <c r="S173" s="65"/>
      <c r="T173" s="66" t="s">
        <v>114</v>
      </c>
      <c r="U173" s="62" t="s">
        <v>38</v>
      </c>
      <c r="V173" s="63" t="s">
        <v>157</v>
      </c>
    </row>
    <row r="174" spans="1:22" x14ac:dyDescent="0.2">
      <c r="A174" s="37"/>
      <c r="B174" s="67" t="s">
        <v>39</v>
      </c>
      <c r="C174" s="65">
        <v>5.0199999999999996</v>
      </c>
      <c r="D174" s="65"/>
      <c r="E174" s="66" t="s">
        <v>114</v>
      </c>
      <c r="F174" s="65">
        <v>4.2300000000000004</v>
      </c>
      <c r="G174" s="65"/>
      <c r="H174" s="66" t="s">
        <v>114</v>
      </c>
      <c r="I174" s="65">
        <v>3.86</v>
      </c>
      <c r="J174" s="65"/>
      <c r="K174" s="66">
        <v>1</v>
      </c>
      <c r="L174" s="65">
        <v>4.12</v>
      </c>
      <c r="M174" s="65"/>
      <c r="N174" s="66" t="s">
        <v>114</v>
      </c>
      <c r="O174" s="65">
        <v>4.8600000000000003</v>
      </c>
      <c r="P174" s="65"/>
      <c r="Q174" s="66" t="s">
        <v>114</v>
      </c>
      <c r="R174" s="65">
        <v>4.3</v>
      </c>
      <c r="S174" s="65"/>
      <c r="T174" s="66" t="s">
        <v>114</v>
      </c>
      <c r="U174" s="62" t="s">
        <v>40</v>
      </c>
      <c r="V174" s="63" t="s">
        <v>158</v>
      </c>
    </row>
    <row r="175" spans="1:22" x14ac:dyDescent="0.2">
      <c r="A175" s="37"/>
      <c r="B175" s="68" t="s">
        <v>41</v>
      </c>
      <c r="C175" s="69">
        <v>2.95</v>
      </c>
      <c r="D175" s="69"/>
      <c r="E175" s="70" t="s">
        <v>114</v>
      </c>
      <c r="F175" s="69">
        <v>4.1100000000000003</v>
      </c>
      <c r="G175" s="69"/>
      <c r="H175" s="70" t="s">
        <v>114</v>
      </c>
      <c r="I175" s="69">
        <v>3.2</v>
      </c>
      <c r="J175" s="69"/>
      <c r="K175" s="70" t="s">
        <v>114</v>
      </c>
      <c r="L175" s="69">
        <v>3.32</v>
      </c>
      <c r="M175" s="69"/>
      <c r="N175" s="70" t="s">
        <v>114</v>
      </c>
      <c r="O175" s="69">
        <v>3.82</v>
      </c>
      <c r="P175" s="69"/>
      <c r="Q175" s="70" t="s">
        <v>114</v>
      </c>
      <c r="R175" s="69">
        <v>3.32</v>
      </c>
      <c r="S175" s="69"/>
      <c r="T175" s="70" t="s">
        <v>114</v>
      </c>
      <c r="U175" s="62" t="s">
        <v>42</v>
      </c>
      <c r="V175" s="63" t="s">
        <v>159</v>
      </c>
    </row>
    <row r="176" spans="1:22" x14ac:dyDescent="0.2">
      <c r="A176" s="37"/>
      <c r="B176" s="55"/>
      <c r="C176" s="55"/>
      <c r="D176" s="55"/>
      <c r="E176" s="57"/>
      <c r="F176" s="55"/>
      <c r="G176" s="55"/>
      <c r="H176" s="57"/>
      <c r="I176" s="55"/>
      <c r="J176" s="55"/>
      <c r="K176" s="57"/>
      <c r="L176" s="55"/>
      <c r="M176" s="55"/>
      <c r="N176" s="57"/>
      <c r="O176" s="55"/>
      <c r="P176" s="55"/>
      <c r="Q176" s="57"/>
      <c r="R176" s="54"/>
      <c r="S176" s="54"/>
      <c r="T176" s="58"/>
      <c r="U176" s="58"/>
      <c r="V176" s="59"/>
    </row>
    <row r="177" spans="1:22" x14ac:dyDescent="0.2">
      <c r="A177" s="37"/>
      <c r="B177" s="55"/>
      <c r="C177" s="55"/>
      <c r="D177" s="56" t="s">
        <v>160</v>
      </c>
      <c r="E177" s="57"/>
      <c r="F177" s="55"/>
      <c r="G177" s="55"/>
      <c r="H177" s="57"/>
      <c r="I177" s="55"/>
      <c r="J177" s="55"/>
      <c r="K177" s="57"/>
      <c r="L177" s="55"/>
      <c r="M177" s="55"/>
      <c r="N177" s="57"/>
      <c r="O177" s="55"/>
      <c r="P177" s="55"/>
      <c r="Q177" s="57"/>
      <c r="R177" s="58"/>
      <c r="S177" s="59"/>
      <c r="T177" s="58"/>
      <c r="U177" s="58"/>
      <c r="V177" s="58"/>
    </row>
    <row r="178" spans="1:22" x14ac:dyDescent="0.2">
      <c r="A178" s="37"/>
      <c r="B178" s="60"/>
      <c r="C178" s="61" t="s">
        <v>31</v>
      </c>
      <c r="D178" s="61" t="s">
        <v>32</v>
      </c>
      <c r="E178" s="61" t="s">
        <v>33</v>
      </c>
      <c r="F178" s="61" t="s">
        <v>31</v>
      </c>
      <c r="G178" s="61" t="s">
        <v>32</v>
      </c>
      <c r="H178" s="61" t="s">
        <v>33</v>
      </c>
      <c r="I178" s="61" t="s">
        <v>31</v>
      </c>
      <c r="J178" s="61" t="s">
        <v>34</v>
      </c>
      <c r="K178" s="61" t="s">
        <v>33</v>
      </c>
      <c r="L178" s="61" t="s">
        <v>31</v>
      </c>
      <c r="M178" s="61" t="s">
        <v>34</v>
      </c>
      <c r="N178" s="61" t="s">
        <v>33</v>
      </c>
      <c r="O178" s="61" t="s">
        <v>31</v>
      </c>
      <c r="P178" s="61" t="s">
        <v>35</v>
      </c>
      <c r="Q178" s="61" t="s">
        <v>33</v>
      </c>
      <c r="R178" s="61" t="s">
        <v>31</v>
      </c>
      <c r="S178" s="61" t="s">
        <v>35</v>
      </c>
      <c r="T178" s="61" t="s">
        <v>33</v>
      </c>
      <c r="U178" s="62" t="s">
        <v>36</v>
      </c>
      <c r="V178" s="63" t="s">
        <v>161</v>
      </c>
    </row>
    <row r="179" spans="1:22" x14ac:dyDescent="0.2">
      <c r="A179" s="37"/>
      <c r="B179" s="64" t="s">
        <v>37</v>
      </c>
      <c r="C179" s="65">
        <v>3.16</v>
      </c>
      <c r="D179" s="65"/>
      <c r="E179" s="66" t="s">
        <v>114</v>
      </c>
      <c r="F179" s="65">
        <v>8.7899999999999991</v>
      </c>
      <c r="G179" s="65"/>
      <c r="H179" s="66" t="s">
        <v>114</v>
      </c>
      <c r="I179" s="65">
        <v>3.45</v>
      </c>
      <c r="J179" s="65"/>
      <c r="K179" s="66" t="s">
        <v>114</v>
      </c>
      <c r="L179" s="65">
        <v>3.4</v>
      </c>
      <c r="M179" s="65"/>
      <c r="N179" s="66" t="s">
        <v>114</v>
      </c>
      <c r="O179" s="65">
        <v>1.8</v>
      </c>
      <c r="P179" s="65"/>
      <c r="Q179" s="66" t="s">
        <v>114</v>
      </c>
      <c r="R179" s="65">
        <v>4.5999999999999996</v>
      </c>
      <c r="S179" s="65"/>
      <c r="T179" s="66" t="s">
        <v>114</v>
      </c>
      <c r="U179" s="62" t="s">
        <v>38</v>
      </c>
      <c r="V179" s="63" t="s">
        <v>162</v>
      </c>
    </row>
    <row r="180" spans="1:22" x14ac:dyDescent="0.2">
      <c r="A180" s="37"/>
      <c r="B180" s="67" t="s">
        <v>39</v>
      </c>
      <c r="C180" s="65">
        <v>4.83</v>
      </c>
      <c r="D180" s="65"/>
      <c r="E180" s="66" t="s">
        <v>114</v>
      </c>
      <c r="F180" s="65">
        <v>5.55</v>
      </c>
      <c r="G180" s="65"/>
      <c r="H180" s="66" t="s">
        <v>114</v>
      </c>
      <c r="I180" s="65">
        <v>2.59</v>
      </c>
      <c r="J180" s="65"/>
      <c r="K180" s="66" t="s">
        <v>114</v>
      </c>
      <c r="L180" s="65">
        <v>4.63</v>
      </c>
      <c r="M180" s="65"/>
      <c r="N180" s="66" t="s">
        <v>114</v>
      </c>
      <c r="O180" s="65">
        <v>1.92</v>
      </c>
      <c r="P180" s="65"/>
      <c r="Q180" s="66" t="s">
        <v>114</v>
      </c>
      <c r="R180" s="65">
        <v>3.32</v>
      </c>
      <c r="S180" s="65"/>
      <c r="T180" s="66">
        <v>1</v>
      </c>
      <c r="U180" s="62" t="s">
        <v>40</v>
      </c>
      <c r="V180" s="63" t="s">
        <v>163</v>
      </c>
    </row>
    <row r="181" spans="1:22" x14ac:dyDescent="0.2">
      <c r="A181" s="37"/>
      <c r="B181" s="68" t="s">
        <v>41</v>
      </c>
      <c r="C181" s="69">
        <v>5.21</v>
      </c>
      <c r="D181" s="69"/>
      <c r="E181" s="70" t="s">
        <v>114</v>
      </c>
      <c r="F181" s="69">
        <v>2.63</v>
      </c>
      <c r="G181" s="69"/>
      <c r="H181" s="70" t="s">
        <v>114</v>
      </c>
      <c r="I181" s="69">
        <v>5.7</v>
      </c>
      <c r="J181" s="69"/>
      <c r="K181" s="70" t="s">
        <v>114</v>
      </c>
      <c r="L181" s="69">
        <v>4.6900000000000004</v>
      </c>
      <c r="M181" s="69"/>
      <c r="N181" s="70" t="s">
        <v>114</v>
      </c>
      <c r="O181" s="69">
        <v>1.39</v>
      </c>
      <c r="P181" s="69"/>
      <c r="Q181" s="70" t="s">
        <v>114</v>
      </c>
      <c r="R181" s="69">
        <v>6.19</v>
      </c>
      <c r="S181" s="69"/>
      <c r="T181" s="70" t="s">
        <v>114</v>
      </c>
      <c r="U181" s="62" t="s">
        <v>42</v>
      </c>
      <c r="V181" s="63" t="s">
        <v>164</v>
      </c>
    </row>
    <row r="182" spans="1:22" x14ac:dyDescent="0.2">
      <c r="A182" s="37"/>
      <c r="B182" s="55"/>
      <c r="C182" s="55"/>
      <c r="D182" s="55"/>
      <c r="E182" s="57"/>
      <c r="F182" s="55"/>
      <c r="G182" s="55"/>
      <c r="H182" s="57"/>
      <c r="I182" s="55"/>
      <c r="J182" s="55"/>
      <c r="K182" s="57"/>
      <c r="L182" s="55"/>
      <c r="M182" s="55"/>
      <c r="N182" s="57"/>
      <c r="O182" s="55"/>
      <c r="P182" s="55"/>
      <c r="Q182" s="57"/>
      <c r="R182" s="54"/>
      <c r="S182" s="54"/>
      <c r="T182" s="58"/>
      <c r="U182" s="58"/>
      <c r="V182" s="59"/>
    </row>
    <row r="183" spans="1:22" x14ac:dyDescent="0.2">
      <c r="A183" s="37"/>
      <c r="B183" s="55"/>
      <c r="C183" s="55"/>
      <c r="D183" s="56" t="s">
        <v>165</v>
      </c>
      <c r="E183" s="57"/>
      <c r="F183" s="55"/>
      <c r="G183" s="55"/>
      <c r="H183" s="57"/>
      <c r="I183" s="55"/>
      <c r="J183" s="55"/>
      <c r="K183" s="57"/>
      <c r="L183" s="55"/>
      <c r="M183" s="55"/>
      <c r="N183" s="57"/>
      <c r="O183" s="55"/>
      <c r="P183" s="55"/>
      <c r="Q183" s="57"/>
      <c r="R183" s="58"/>
      <c r="S183" s="59"/>
      <c r="T183" s="58"/>
      <c r="U183" s="58"/>
      <c r="V183" s="58"/>
    </row>
    <row r="184" spans="1:22" x14ac:dyDescent="0.2">
      <c r="A184" s="37"/>
      <c r="B184" s="60"/>
      <c r="C184" s="61" t="s">
        <v>31</v>
      </c>
      <c r="D184" s="61" t="s">
        <v>32</v>
      </c>
      <c r="E184" s="61" t="s">
        <v>33</v>
      </c>
      <c r="F184" s="61" t="s">
        <v>31</v>
      </c>
      <c r="G184" s="61" t="s">
        <v>32</v>
      </c>
      <c r="H184" s="61" t="s">
        <v>33</v>
      </c>
      <c r="I184" s="61" t="s">
        <v>31</v>
      </c>
      <c r="J184" s="61" t="s">
        <v>34</v>
      </c>
      <c r="K184" s="61" t="s">
        <v>33</v>
      </c>
      <c r="L184" s="61" t="s">
        <v>31</v>
      </c>
      <c r="M184" s="61" t="s">
        <v>34</v>
      </c>
      <c r="N184" s="61" t="s">
        <v>33</v>
      </c>
      <c r="O184" s="61" t="s">
        <v>31</v>
      </c>
      <c r="P184" s="61" t="s">
        <v>35</v>
      </c>
      <c r="Q184" s="61" t="s">
        <v>33</v>
      </c>
      <c r="R184" s="61" t="s">
        <v>31</v>
      </c>
      <c r="S184" s="61" t="s">
        <v>35</v>
      </c>
      <c r="T184" s="61" t="s">
        <v>33</v>
      </c>
      <c r="U184" s="62" t="s">
        <v>36</v>
      </c>
      <c r="V184" s="63" t="s">
        <v>156</v>
      </c>
    </row>
    <row r="185" spans="1:22" x14ac:dyDescent="0.2">
      <c r="A185" s="37"/>
      <c r="B185" s="64" t="s">
        <v>37</v>
      </c>
      <c r="C185" s="65">
        <v>12.22</v>
      </c>
      <c r="D185" s="65"/>
      <c r="E185" s="66">
        <v>1</v>
      </c>
      <c r="F185" s="65">
        <v>9.86</v>
      </c>
      <c r="G185" s="65"/>
      <c r="H185" s="66" t="s">
        <v>114</v>
      </c>
      <c r="I185" s="65">
        <v>4.16</v>
      </c>
      <c r="J185" s="65"/>
      <c r="K185" s="66" t="s">
        <v>114</v>
      </c>
      <c r="L185" s="65">
        <v>6.26</v>
      </c>
      <c r="M185" s="65"/>
      <c r="N185" s="66" t="s">
        <v>114</v>
      </c>
      <c r="O185" s="65">
        <v>3.3</v>
      </c>
      <c r="P185" s="65"/>
      <c r="Q185" s="66" t="s">
        <v>114</v>
      </c>
      <c r="R185" s="65">
        <v>5.15</v>
      </c>
      <c r="S185" s="65"/>
      <c r="T185" s="66" t="s">
        <v>114</v>
      </c>
      <c r="U185" s="62" t="s">
        <v>38</v>
      </c>
      <c r="V185" s="63" t="s">
        <v>166</v>
      </c>
    </row>
    <row r="186" spans="1:22" x14ac:dyDescent="0.2">
      <c r="A186" s="37"/>
      <c r="B186" s="67" t="s">
        <v>39</v>
      </c>
      <c r="C186" s="65">
        <v>9.15</v>
      </c>
      <c r="D186" s="65"/>
      <c r="E186" s="66" t="s">
        <v>114</v>
      </c>
      <c r="F186" s="65">
        <v>18.22</v>
      </c>
      <c r="G186" s="65"/>
      <c r="H186" s="66" t="s">
        <v>114</v>
      </c>
      <c r="I186" s="65">
        <v>8.93</v>
      </c>
      <c r="J186" s="65"/>
      <c r="K186" s="66" t="s">
        <v>114</v>
      </c>
      <c r="L186" s="65">
        <v>3.39</v>
      </c>
      <c r="M186" s="65"/>
      <c r="N186" s="66" t="s">
        <v>114</v>
      </c>
      <c r="O186" s="65">
        <v>10.42</v>
      </c>
      <c r="P186" s="65"/>
      <c r="Q186" s="66">
        <v>1</v>
      </c>
      <c r="R186" s="65">
        <v>2.82</v>
      </c>
      <c r="S186" s="65"/>
      <c r="T186" s="66" t="s">
        <v>114</v>
      </c>
      <c r="U186" s="62" t="s">
        <v>40</v>
      </c>
      <c r="V186" s="63" t="s">
        <v>167</v>
      </c>
    </row>
    <row r="187" spans="1:22" x14ac:dyDescent="0.2">
      <c r="A187" s="37"/>
      <c r="B187" s="68" t="s">
        <v>41</v>
      </c>
      <c r="C187" s="69">
        <v>5.32</v>
      </c>
      <c r="D187" s="69"/>
      <c r="E187" s="70" t="s">
        <v>114</v>
      </c>
      <c r="F187" s="69">
        <v>15</v>
      </c>
      <c r="G187" s="69"/>
      <c r="H187" s="70" t="s">
        <v>114</v>
      </c>
      <c r="I187" s="69">
        <v>4.5999999999999996</v>
      </c>
      <c r="J187" s="69"/>
      <c r="K187" s="70" t="s">
        <v>114</v>
      </c>
      <c r="L187" s="69">
        <v>5.86</v>
      </c>
      <c r="M187" s="69"/>
      <c r="N187" s="70" t="s">
        <v>114</v>
      </c>
      <c r="O187" s="69">
        <v>2.46</v>
      </c>
      <c r="P187" s="69"/>
      <c r="Q187" s="70" t="s">
        <v>114</v>
      </c>
      <c r="R187" s="69">
        <v>2.7</v>
      </c>
      <c r="S187" s="69"/>
      <c r="T187" s="70" t="s">
        <v>114</v>
      </c>
      <c r="U187" s="62" t="s">
        <v>42</v>
      </c>
      <c r="V187" s="63" t="s">
        <v>168</v>
      </c>
    </row>
    <row r="188" spans="1:22" x14ac:dyDescent="0.2">
      <c r="A188" s="37"/>
      <c r="B188" s="8"/>
      <c r="E188" s="38"/>
      <c r="H188" s="38"/>
      <c r="K188" s="38"/>
      <c r="N188" s="38"/>
      <c r="Q188" s="38"/>
      <c r="S188" s="14"/>
    </row>
    <row r="189" spans="1:22" x14ac:dyDescent="0.2">
      <c r="A189" s="37"/>
      <c r="B189" s="8"/>
      <c r="E189" s="38"/>
      <c r="H189" s="38"/>
      <c r="K189" s="38"/>
      <c r="N189" s="38"/>
      <c r="Q189" s="38"/>
      <c r="S189" s="14"/>
    </row>
    <row r="190" spans="1:22" x14ac:dyDescent="0.2">
      <c r="A190" s="37"/>
      <c r="B190" s="8"/>
      <c r="E190" s="38"/>
      <c r="H190" s="38"/>
      <c r="K190" s="38"/>
      <c r="N190" s="38"/>
      <c r="Q190" s="38"/>
      <c r="S190" s="14"/>
    </row>
    <row r="191" spans="1:22" x14ac:dyDescent="0.2">
      <c r="A191" s="37"/>
      <c r="B191" s="8"/>
      <c r="E191" s="38"/>
      <c r="H191" s="38"/>
      <c r="K191" s="38"/>
      <c r="N191" s="38"/>
      <c r="Q191" s="38"/>
      <c r="S191" s="14"/>
    </row>
    <row r="192" spans="1:22" x14ac:dyDescent="0.2">
      <c r="A192" s="37"/>
      <c r="B192" s="8"/>
      <c r="E192" s="38"/>
      <c r="H192" s="38"/>
      <c r="K192" s="38"/>
      <c r="N192" s="38"/>
      <c r="Q192" s="38"/>
      <c r="S192" s="14"/>
    </row>
    <row r="193" spans="1:19" x14ac:dyDescent="0.2">
      <c r="A193" s="37"/>
      <c r="B193" s="8"/>
      <c r="E193" s="38"/>
      <c r="H193" s="38"/>
      <c r="K193" s="38"/>
      <c r="N193" s="38"/>
      <c r="Q193" s="38"/>
      <c r="S193" s="14"/>
    </row>
    <row r="194" spans="1:19" x14ac:dyDescent="0.2">
      <c r="A194" s="37"/>
      <c r="B194" s="8"/>
      <c r="E194" s="38"/>
      <c r="H194" s="38"/>
      <c r="K194" s="38"/>
      <c r="N194" s="38"/>
      <c r="Q194" s="38"/>
      <c r="S194" s="14"/>
    </row>
    <row r="195" spans="1:19" x14ac:dyDescent="0.2">
      <c r="A195" s="37"/>
      <c r="B195" s="8"/>
      <c r="E195" s="38"/>
      <c r="H195" s="38"/>
      <c r="K195" s="38"/>
      <c r="N195" s="38"/>
      <c r="Q195" s="38"/>
      <c r="S195" s="14"/>
    </row>
    <row r="196" spans="1:19" x14ac:dyDescent="0.2">
      <c r="A196" s="37"/>
      <c r="B196" s="8"/>
      <c r="E196" s="38"/>
      <c r="H196" s="38"/>
      <c r="K196" s="38"/>
      <c r="N196" s="38"/>
      <c r="Q196" s="38"/>
      <c r="S196" s="14"/>
    </row>
    <row r="197" spans="1:19" x14ac:dyDescent="0.2">
      <c r="A197" s="37"/>
      <c r="B197" s="8"/>
      <c r="E197" s="38"/>
      <c r="H197" s="38"/>
      <c r="K197" s="38"/>
      <c r="N197" s="38"/>
      <c r="Q197" s="38"/>
      <c r="S197" s="14"/>
    </row>
    <row r="198" spans="1:19" x14ac:dyDescent="0.2">
      <c r="A198" s="37"/>
      <c r="B198" s="8"/>
      <c r="E198" s="38"/>
      <c r="H198" s="38"/>
      <c r="K198" s="38"/>
      <c r="N198" s="38"/>
      <c r="Q198" s="38"/>
      <c r="S198" s="14"/>
    </row>
    <row r="199" spans="1:19" x14ac:dyDescent="0.2">
      <c r="A199" s="37"/>
      <c r="B199" s="8"/>
      <c r="E199" s="38"/>
      <c r="H199" s="38"/>
      <c r="K199" s="38"/>
      <c r="N199" s="38"/>
      <c r="Q199" s="38"/>
      <c r="S199" s="14"/>
    </row>
    <row r="200" spans="1:19" x14ac:dyDescent="0.2">
      <c r="A200" s="37"/>
      <c r="B200" s="8"/>
      <c r="E200" s="38"/>
      <c r="H200" s="38"/>
      <c r="K200" s="38"/>
      <c r="N200" s="38"/>
      <c r="Q200" s="38"/>
      <c r="S200" s="14"/>
    </row>
    <row r="201" spans="1:19" x14ac:dyDescent="0.2">
      <c r="A201" s="37"/>
      <c r="B201" s="8"/>
      <c r="E201" s="38"/>
      <c r="H201" s="38"/>
      <c r="K201" s="38"/>
      <c r="N201" s="38"/>
      <c r="Q201" s="38"/>
      <c r="S201" s="14"/>
    </row>
    <row r="202" spans="1:19" x14ac:dyDescent="0.2">
      <c r="A202" s="37"/>
      <c r="B202" s="8"/>
      <c r="E202" s="38"/>
      <c r="H202" s="38"/>
      <c r="K202" s="38"/>
      <c r="N202" s="38"/>
      <c r="Q202" s="38"/>
      <c r="S202" s="14"/>
    </row>
    <row r="203" spans="1:19" x14ac:dyDescent="0.2">
      <c r="A203" s="37"/>
      <c r="B203" s="8"/>
      <c r="E203" s="38"/>
      <c r="H203" s="38"/>
      <c r="K203" s="38"/>
      <c r="N203" s="38"/>
      <c r="Q203" s="38"/>
      <c r="S203" s="14"/>
    </row>
    <row r="204" spans="1:19" x14ac:dyDescent="0.2">
      <c r="A204" s="37"/>
      <c r="B204" s="8"/>
      <c r="E204" s="38"/>
      <c r="H204" s="38"/>
      <c r="K204" s="38"/>
      <c r="N204" s="38"/>
      <c r="Q204" s="38"/>
      <c r="S204" s="14"/>
    </row>
    <row r="205" spans="1:19" x14ac:dyDescent="0.2">
      <c r="A205" s="37"/>
      <c r="B205" s="8"/>
      <c r="E205" s="38"/>
      <c r="H205" s="38"/>
      <c r="K205" s="38"/>
      <c r="N205" s="38"/>
      <c r="Q205" s="38"/>
      <c r="S205" s="14"/>
    </row>
    <row r="206" spans="1:19" x14ac:dyDescent="0.2">
      <c r="A206" s="37"/>
      <c r="B206" s="8"/>
      <c r="E206" s="38"/>
      <c r="H206" s="38"/>
      <c r="K206" s="38"/>
      <c r="N206" s="38"/>
      <c r="Q206" s="38"/>
      <c r="S206" s="14"/>
    </row>
    <row r="207" spans="1:19" x14ac:dyDescent="0.2">
      <c r="A207" s="37"/>
      <c r="B207" s="8"/>
      <c r="E207" s="38"/>
      <c r="H207" s="38"/>
      <c r="K207" s="38"/>
      <c r="N207" s="38"/>
      <c r="Q207" s="38"/>
      <c r="S207" s="14"/>
    </row>
    <row r="208" spans="1:19" x14ac:dyDescent="0.2">
      <c r="A208" s="37"/>
      <c r="B208" s="8"/>
      <c r="E208" s="38"/>
      <c r="H208" s="38"/>
      <c r="K208" s="38"/>
      <c r="N208" s="38"/>
      <c r="Q208" s="38"/>
      <c r="S208" s="14"/>
    </row>
    <row r="209" spans="1:19" x14ac:dyDescent="0.2">
      <c r="A209" s="37"/>
      <c r="B209" s="8"/>
      <c r="E209" s="38"/>
      <c r="H209" s="38"/>
      <c r="K209" s="38"/>
      <c r="N209" s="38"/>
      <c r="Q209" s="38"/>
      <c r="S209" s="14"/>
    </row>
    <row r="210" spans="1:19" x14ac:dyDescent="0.2">
      <c r="A210" s="37"/>
      <c r="B210" s="8"/>
      <c r="E210" s="38"/>
      <c r="H210" s="38"/>
      <c r="K210" s="38"/>
      <c r="N210" s="38"/>
      <c r="Q210" s="38"/>
      <c r="S210" s="14"/>
    </row>
    <row r="211" spans="1:19" x14ac:dyDescent="0.2">
      <c r="A211" s="37"/>
      <c r="B211" s="8"/>
      <c r="E211" s="38"/>
      <c r="H211" s="38"/>
      <c r="K211" s="38"/>
      <c r="N211" s="38"/>
      <c r="Q211" s="38"/>
      <c r="S211" s="14"/>
    </row>
    <row r="212" spans="1:19" x14ac:dyDescent="0.2">
      <c r="A212" s="37"/>
      <c r="B212" s="8"/>
      <c r="E212" s="38"/>
      <c r="H212" s="38"/>
      <c r="K212" s="38"/>
      <c r="N212" s="38"/>
      <c r="Q212" s="38"/>
      <c r="S212" s="14"/>
    </row>
    <row r="213" spans="1:19" x14ac:dyDescent="0.2">
      <c r="A213" s="37"/>
      <c r="B213" s="8"/>
      <c r="E213" s="38"/>
      <c r="H213" s="38"/>
      <c r="K213" s="38"/>
      <c r="N213" s="38"/>
      <c r="Q213" s="38"/>
      <c r="S213" s="14"/>
    </row>
    <row r="214" spans="1:19" x14ac:dyDescent="0.2">
      <c r="A214" s="37"/>
      <c r="B214" s="8"/>
      <c r="E214" s="38"/>
      <c r="H214" s="38"/>
      <c r="K214" s="38"/>
      <c r="N214" s="38"/>
      <c r="Q214" s="38"/>
      <c r="S214" s="14"/>
    </row>
    <row r="215" spans="1:19" x14ac:dyDescent="0.2">
      <c r="A215" s="37"/>
      <c r="B215" s="8"/>
      <c r="E215" s="38"/>
      <c r="H215" s="38"/>
      <c r="K215" s="38"/>
      <c r="N215" s="38"/>
      <c r="Q215" s="38"/>
      <c r="S215" s="14"/>
    </row>
    <row r="216" spans="1:19" x14ac:dyDescent="0.2">
      <c r="A216" s="37"/>
      <c r="B216" s="8"/>
      <c r="E216" s="38"/>
      <c r="H216" s="38"/>
      <c r="K216" s="38"/>
      <c r="N216" s="38"/>
      <c r="Q216" s="38"/>
      <c r="S216" s="14"/>
    </row>
    <row r="217" spans="1:19" x14ac:dyDescent="0.2">
      <c r="A217" s="37"/>
      <c r="B217" s="8"/>
      <c r="E217" s="38"/>
      <c r="H217" s="38"/>
      <c r="K217" s="38"/>
      <c r="N217" s="38"/>
      <c r="Q217" s="38"/>
      <c r="S217" s="14"/>
    </row>
    <row r="218" spans="1:19" x14ac:dyDescent="0.2">
      <c r="A218" s="37"/>
      <c r="B218" s="8"/>
      <c r="E218" s="38"/>
      <c r="H218" s="38"/>
      <c r="K218" s="38"/>
      <c r="N218" s="38"/>
      <c r="Q218" s="38"/>
      <c r="S218" s="14"/>
    </row>
    <row r="219" spans="1:19" x14ac:dyDescent="0.2">
      <c r="A219" s="37"/>
      <c r="B219" s="8"/>
      <c r="E219" s="38"/>
      <c r="H219" s="38"/>
      <c r="K219" s="38"/>
      <c r="N219" s="38"/>
      <c r="Q219" s="38"/>
      <c r="S219" s="14"/>
    </row>
    <row r="220" spans="1:19" x14ac:dyDescent="0.2">
      <c r="A220" s="37"/>
      <c r="B220" s="8"/>
      <c r="E220" s="38"/>
      <c r="H220" s="38"/>
      <c r="K220" s="38"/>
      <c r="N220" s="38"/>
      <c r="Q220" s="38"/>
      <c r="S220" s="14"/>
    </row>
    <row r="221" spans="1:19" x14ac:dyDescent="0.2">
      <c r="A221" s="37"/>
      <c r="B221" s="8"/>
      <c r="E221" s="38"/>
      <c r="H221" s="38"/>
      <c r="K221" s="38"/>
      <c r="N221" s="38"/>
      <c r="Q221" s="38"/>
      <c r="S221" s="14"/>
    </row>
    <row r="222" spans="1:19" x14ac:dyDescent="0.2">
      <c r="A222" s="37"/>
      <c r="B222" s="8"/>
      <c r="E222" s="38"/>
      <c r="H222" s="38"/>
      <c r="K222" s="38"/>
      <c r="N222" s="38"/>
      <c r="Q222" s="38"/>
      <c r="S222" s="14"/>
    </row>
    <row r="223" spans="1:19" x14ac:dyDescent="0.2">
      <c r="A223" s="37"/>
      <c r="B223" s="8"/>
      <c r="E223" s="38"/>
      <c r="H223" s="38"/>
      <c r="K223" s="38"/>
      <c r="N223" s="38"/>
      <c r="Q223" s="38"/>
      <c r="S223" s="14"/>
    </row>
    <row r="224" spans="1:19" x14ac:dyDescent="0.2">
      <c r="A224" s="37"/>
      <c r="B224" s="8"/>
      <c r="E224" s="38"/>
      <c r="H224" s="38"/>
      <c r="K224" s="38"/>
      <c r="N224" s="38"/>
      <c r="Q224" s="38"/>
      <c r="S224" s="14"/>
    </row>
    <row r="225" spans="1:19" x14ac:dyDescent="0.2">
      <c r="A225" s="37"/>
      <c r="B225" s="8"/>
      <c r="E225" s="38"/>
      <c r="H225" s="38"/>
      <c r="K225" s="38"/>
      <c r="N225" s="38"/>
      <c r="Q225" s="38"/>
      <c r="S225" s="14"/>
    </row>
    <row r="226" spans="1:19" x14ac:dyDescent="0.2">
      <c r="A226" s="37"/>
      <c r="B226" s="8"/>
      <c r="E226" s="38"/>
      <c r="H226" s="38"/>
      <c r="K226" s="38"/>
      <c r="N226" s="38"/>
      <c r="Q226" s="38"/>
      <c r="S226" s="14"/>
    </row>
    <row r="227" spans="1:19" x14ac:dyDescent="0.2">
      <c r="A227" s="37"/>
      <c r="B227" s="8"/>
      <c r="E227" s="38"/>
      <c r="H227" s="38"/>
      <c r="K227" s="38"/>
      <c r="N227" s="38"/>
      <c r="Q227" s="38"/>
      <c r="S227" s="14"/>
    </row>
    <row r="228" spans="1:19" x14ac:dyDescent="0.2">
      <c r="A228" s="37"/>
      <c r="B228" s="8"/>
      <c r="E228" s="38"/>
      <c r="H228" s="38"/>
      <c r="K228" s="38"/>
      <c r="N228" s="38"/>
      <c r="Q228" s="38"/>
      <c r="S228" s="14"/>
    </row>
    <row r="229" spans="1:19" x14ac:dyDescent="0.2">
      <c r="A229" s="37"/>
      <c r="B229" s="8"/>
      <c r="E229" s="38"/>
      <c r="H229" s="38"/>
      <c r="K229" s="38"/>
      <c r="N229" s="38"/>
      <c r="Q229" s="38"/>
      <c r="S229" s="14"/>
    </row>
    <row r="230" spans="1:19" x14ac:dyDescent="0.2">
      <c r="A230" s="37"/>
      <c r="B230" s="8"/>
      <c r="E230" s="38"/>
      <c r="H230" s="38"/>
      <c r="K230" s="38"/>
      <c r="N230" s="38"/>
      <c r="Q230" s="38"/>
      <c r="S230" s="14"/>
    </row>
    <row r="231" spans="1:19" x14ac:dyDescent="0.2">
      <c r="A231" s="37"/>
      <c r="B231" s="8"/>
      <c r="E231" s="38"/>
      <c r="H231" s="38"/>
      <c r="K231" s="38"/>
      <c r="N231" s="38"/>
      <c r="Q231" s="38"/>
      <c r="S231" s="14"/>
    </row>
    <row r="232" spans="1:19" x14ac:dyDescent="0.2">
      <c r="A232" s="37"/>
      <c r="B232" s="8"/>
      <c r="E232" s="38"/>
      <c r="H232" s="38"/>
      <c r="K232" s="38"/>
      <c r="N232" s="38"/>
      <c r="Q232" s="38"/>
      <c r="S232" s="14"/>
    </row>
    <row r="233" spans="1:19" x14ac:dyDescent="0.2">
      <c r="A233" s="37"/>
      <c r="B233" s="8"/>
      <c r="E233" s="38"/>
      <c r="H233" s="38"/>
      <c r="K233" s="38"/>
      <c r="N233" s="38"/>
      <c r="Q233" s="38"/>
      <c r="S233" s="14"/>
    </row>
    <row r="234" spans="1:19" x14ac:dyDescent="0.2">
      <c r="A234" s="37"/>
      <c r="B234" s="8"/>
      <c r="E234" s="38"/>
      <c r="H234" s="38"/>
      <c r="K234" s="38"/>
      <c r="N234" s="38"/>
      <c r="Q234" s="38"/>
      <c r="S234" s="14"/>
    </row>
    <row r="235" spans="1:19" x14ac:dyDescent="0.2">
      <c r="A235" s="37"/>
      <c r="B235" s="8"/>
      <c r="E235" s="38"/>
      <c r="H235" s="38"/>
      <c r="K235" s="38"/>
      <c r="N235" s="38"/>
      <c r="Q235" s="38"/>
      <c r="S235" s="14"/>
    </row>
    <row r="236" spans="1:19" x14ac:dyDescent="0.2">
      <c r="A236" s="37"/>
      <c r="B236" s="8"/>
      <c r="E236" s="38"/>
      <c r="H236" s="38"/>
      <c r="K236" s="38"/>
      <c r="N236" s="38"/>
      <c r="Q236" s="38"/>
      <c r="S236" s="14"/>
    </row>
    <row r="237" spans="1:19" x14ac:dyDescent="0.2">
      <c r="A237" s="37"/>
      <c r="B237" s="8"/>
      <c r="E237" s="38"/>
      <c r="H237" s="38"/>
      <c r="K237" s="38"/>
      <c r="N237" s="38"/>
      <c r="Q237" s="38"/>
      <c r="S237" s="14"/>
    </row>
    <row r="238" spans="1:19" x14ac:dyDescent="0.2">
      <c r="A238" s="37"/>
      <c r="B238" s="8"/>
      <c r="E238" s="38"/>
      <c r="H238" s="38"/>
      <c r="K238" s="38"/>
      <c r="N238" s="38"/>
      <c r="Q238" s="38"/>
      <c r="S238" s="14"/>
    </row>
    <row r="239" spans="1:19" x14ac:dyDescent="0.2">
      <c r="A239" s="37"/>
      <c r="B239" s="8"/>
      <c r="E239" s="38"/>
      <c r="H239" s="38"/>
      <c r="K239" s="38"/>
      <c r="N239" s="38"/>
      <c r="Q239" s="38"/>
      <c r="S239" s="14"/>
    </row>
    <row r="240" spans="1:19" x14ac:dyDescent="0.2">
      <c r="A240" s="37"/>
      <c r="B240" s="8"/>
      <c r="E240" s="38"/>
      <c r="H240" s="38"/>
      <c r="K240" s="38"/>
      <c r="N240" s="38"/>
      <c r="Q240" s="38"/>
      <c r="S240" s="14"/>
    </row>
    <row r="241" spans="1:19" x14ac:dyDescent="0.2">
      <c r="A241" s="37"/>
      <c r="B241" s="8"/>
      <c r="E241" s="38"/>
      <c r="H241" s="38"/>
      <c r="K241" s="38"/>
      <c r="N241" s="38"/>
      <c r="Q241" s="38"/>
      <c r="S241" s="14"/>
    </row>
    <row r="242" spans="1:19" x14ac:dyDescent="0.2">
      <c r="A242" s="37"/>
      <c r="B242" s="8"/>
      <c r="E242" s="38"/>
      <c r="H242" s="38"/>
      <c r="K242" s="38"/>
      <c r="N242" s="38"/>
      <c r="Q242" s="38"/>
      <c r="S242" s="14"/>
    </row>
    <row r="243" spans="1:19" x14ac:dyDescent="0.2">
      <c r="A243" s="37"/>
      <c r="B243" s="8"/>
      <c r="E243" s="38"/>
      <c r="H243" s="38"/>
      <c r="K243" s="38"/>
      <c r="N243" s="38"/>
      <c r="Q243" s="38"/>
      <c r="S243" s="14"/>
    </row>
    <row r="244" spans="1:19" x14ac:dyDescent="0.2">
      <c r="A244" s="37"/>
      <c r="B244" s="8"/>
      <c r="E244" s="38"/>
      <c r="H244" s="38"/>
      <c r="K244" s="38"/>
      <c r="N244" s="38"/>
      <c r="Q244" s="38"/>
      <c r="S244" s="14"/>
    </row>
    <row r="245" spans="1:19" x14ac:dyDescent="0.2">
      <c r="A245" s="37"/>
      <c r="B245" s="8"/>
      <c r="E245" s="38"/>
      <c r="H245" s="38"/>
      <c r="K245" s="38"/>
      <c r="N245" s="38"/>
      <c r="Q245" s="38"/>
      <c r="S245" s="14"/>
    </row>
    <row r="246" spans="1:19" x14ac:dyDescent="0.2">
      <c r="A246" s="37"/>
      <c r="B246" s="8"/>
      <c r="E246" s="38"/>
      <c r="H246" s="38"/>
      <c r="K246" s="38"/>
      <c r="N246" s="38"/>
      <c r="Q246" s="38"/>
      <c r="S246" s="14"/>
    </row>
    <row r="247" spans="1:19" x14ac:dyDescent="0.2">
      <c r="A247" s="37"/>
      <c r="B247" s="8"/>
      <c r="E247" s="38"/>
      <c r="H247" s="38"/>
      <c r="K247" s="38"/>
      <c r="N247" s="38"/>
      <c r="Q247" s="38"/>
      <c r="S247" s="14"/>
    </row>
    <row r="248" spans="1:19" x14ac:dyDescent="0.2">
      <c r="A248" s="37"/>
      <c r="B248" s="8"/>
      <c r="E248" s="38"/>
      <c r="H248" s="38"/>
      <c r="K248" s="38"/>
      <c r="N248" s="38"/>
      <c r="Q248" s="38"/>
      <c r="S248" s="14"/>
    </row>
    <row r="249" spans="1:19" x14ac:dyDescent="0.2">
      <c r="A249" s="37"/>
      <c r="B249" s="8"/>
      <c r="E249" s="38"/>
      <c r="H249" s="38"/>
      <c r="K249" s="38"/>
      <c r="N249" s="38"/>
      <c r="Q249" s="38"/>
      <c r="S249" s="14"/>
    </row>
    <row r="250" spans="1:19" x14ac:dyDescent="0.2">
      <c r="A250" s="37"/>
      <c r="B250" s="8"/>
      <c r="E250" s="38"/>
      <c r="H250" s="38"/>
      <c r="K250" s="38"/>
      <c r="N250" s="38"/>
      <c r="Q250" s="38"/>
      <c r="S250" s="14"/>
    </row>
    <row r="251" spans="1:19" x14ac:dyDescent="0.2">
      <c r="A251" s="37"/>
      <c r="B251" s="8"/>
      <c r="E251" s="38"/>
      <c r="H251" s="38"/>
      <c r="K251" s="38"/>
      <c r="N251" s="38"/>
      <c r="Q251" s="38"/>
      <c r="S251" s="14"/>
    </row>
    <row r="252" spans="1:19" x14ac:dyDescent="0.2">
      <c r="A252" s="37"/>
      <c r="B252" s="8"/>
      <c r="E252" s="38"/>
      <c r="H252" s="38"/>
      <c r="K252" s="38"/>
      <c r="N252" s="38"/>
      <c r="Q252" s="38"/>
      <c r="S252" s="14"/>
    </row>
    <row r="253" spans="1:19" x14ac:dyDescent="0.2">
      <c r="A253" s="37"/>
      <c r="B253" s="8"/>
      <c r="E253" s="38"/>
      <c r="H253" s="38"/>
      <c r="K253" s="38"/>
      <c r="N253" s="38"/>
      <c r="Q253" s="38"/>
      <c r="S253" s="14"/>
    </row>
    <row r="254" spans="1:19" x14ac:dyDescent="0.2">
      <c r="A254" s="37"/>
      <c r="B254" s="8"/>
      <c r="E254" s="38"/>
      <c r="H254" s="38"/>
      <c r="K254" s="38"/>
      <c r="N254" s="38"/>
      <c r="Q254" s="38"/>
      <c r="S254" s="14"/>
    </row>
    <row r="255" spans="1:19" x14ac:dyDescent="0.2">
      <c r="A255" s="37"/>
      <c r="B255" s="8"/>
      <c r="E255" s="38"/>
      <c r="H255" s="38"/>
      <c r="K255" s="38"/>
      <c r="N255" s="38"/>
      <c r="Q255" s="38"/>
      <c r="S255" s="14"/>
    </row>
    <row r="256" spans="1:19" x14ac:dyDescent="0.2">
      <c r="A256" s="37"/>
      <c r="B256" s="8"/>
      <c r="E256" s="38"/>
      <c r="H256" s="38"/>
      <c r="K256" s="38"/>
      <c r="N256" s="38"/>
      <c r="Q256" s="38"/>
      <c r="S256" s="14"/>
    </row>
    <row r="257" spans="1:19" x14ac:dyDescent="0.2">
      <c r="A257" s="37"/>
      <c r="B257" s="8"/>
      <c r="E257" s="38"/>
      <c r="H257" s="38"/>
      <c r="K257" s="38"/>
      <c r="N257" s="38"/>
      <c r="Q257" s="38"/>
      <c r="S257" s="14"/>
    </row>
    <row r="258" spans="1:19" x14ac:dyDescent="0.2">
      <c r="A258" s="37"/>
      <c r="B258" s="8"/>
      <c r="E258" s="38"/>
      <c r="H258" s="38"/>
      <c r="K258" s="38"/>
      <c r="N258" s="38"/>
      <c r="Q258" s="38"/>
      <c r="S258" s="14"/>
    </row>
    <row r="259" spans="1:19" x14ac:dyDescent="0.2">
      <c r="A259" s="37"/>
      <c r="B259" s="8"/>
      <c r="E259" s="38"/>
      <c r="H259" s="38"/>
      <c r="K259" s="38"/>
      <c r="N259" s="38"/>
      <c r="Q259" s="38"/>
      <c r="S259" s="14"/>
    </row>
    <row r="260" spans="1:19" x14ac:dyDescent="0.2">
      <c r="A260" s="37"/>
      <c r="B260" s="8"/>
      <c r="E260" s="38"/>
      <c r="H260" s="38"/>
      <c r="K260" s="38"/>
      <c r="N260" s="38"/>
      <c r="Q260" s="38"/>
      <c r="S260" s="14"/>
    </row>
    <row r="261" spans="1:19" x14ac:dyDescent="0.2">
      <c r="A261" s="37"/>
      <c r="B261" s="8"/>
      <c r="E261" s="38"/>
      <c r="H261" s="38"/>
      <c r="K261" s="38"/>
      <c r="N261" s="38"/>
      <c r="Q261" s="38"/>
      <c r="S261" s="14"/>
    </row>
    <row r="262" spans="1:19" x14ac:dyDescent="0.2">
      <c r="A262" s="37"/>
      <c r="B262" s="8"/>
      <c r="E262" s="38"/>
      <c r="H262" s="38"/>
      <c r="K262" s="38"/>
      <c r="N262" s="38"/>
      <c r="Q262" s="38"/>
      <c r="S262" s="14"/>
    </row>
    <row r="263" spans="1:19" x14ac:dyDescent="0.2">
      <c r="A263" s="37"/>
      <c r="B263" s="8"/>
      <c r="E263" s="38"/>
      <c r="H263" s="38"/>
      <c r="K263" s="38"/>
      <c r="N263" s="38"/>
      <c r="Q263" s="38"/>
      <c r="S263" s="14"/>
    </row>
    <row r="264" spans="1:19" x14ac:dyDescent="0.2">
      <c r="A264" s="37"/>
      <c r="B264" s="8"/>
      <c r="E264" s="38"/>
      <c r="H264" s="38"/>
      <c r="K264" s="38"/>
      <c r="N264" s="38"/>
      <c r="Q264" s="38"/>
      <c r="S264" s="14"/>
    </row>
    <row r="265" spans="1:19" x14ac:dyDescent="0.2">
      <c r="A265" s="37"/>
      <c r="B265" s="8"/>
      <c r="E265" s="38"/>
      <c r="H265" s="38"/>
      <c r="K265" s="38"/>
      <c r="N265" s="38"/>
      <c r="Q265" s="38"/>
      <c r="S265" s="14"/>
    </row>
    <row r="266" spans="1:19" x14ac:dyDescent="0.2">
      <c r="A266" s="37"/>
      <c r="B266" s="8"/>
      <c r="E266" s="38"/>
      <c r="H266" s="38"/>
      <c r="K266" s="38"/>
      <c r="N266" s="38"/>
      <c r="Q266" s="38"/>
      <c r="S266" s="14"/>
    </row>
    <row r="267" spans="1:19" x14ac:dyDescent="0.2">
      <c r="A267" s="37"/>
      <c r="B267" s="8"/>
      <c r="E267" s="38"/>
      <c r="H267" s="38"/>
      <c r="K267" s="38"/>
      <c r="N267" s="38"/>
      <c r="Q267" s="38"/>
      <c r="S267" s="14"/>
    </row>
    <row r="268" spans="1:19" x14ac:dyDescent="0.2">
      <c r="A268" s="37"/>
      <c r="B268" s="8"/>
      <c r="E268" s="38"/>
      <c r="H268" s="38"/>
      <c r="K268" s="38"/>
      <c r="N268" s="38"/>
      <c r="Q268" s="38"/>
      <c r="S268" s="14"/>
    </row>
    <row r="269" spans="1:19" x14ac:dyDescent="0.2">
      <c r="A269" s="37"/>
      <c r="B269" s="8"/>
      <c r="E269" s="38"/>
      <c r="H269" s="38"/>
      <c r="K269" s="38"/>
      <c r="N269" s="38"/>
      <c r="Q269" s="38"/>
      <c r="S269" s="14"/>
    </row>
    <row r="270" spans="1:19" x14ac:dyDescent="0.2">
      <c r="A270" s="37"/>
      <c r="B270" s="8"/>
      <c r="E270" s="38"/>
      <c r="H270" s="38"/>
      <c r="K270" s="38"/>
      <c r="N270" s="38"/>
      <c r="Q270" s="38"/>
      <c r="S270" s="14"/>
    </row>
    <row r="271" spans="1:19" x14ac:dyDescent="0.2">
      <c r="A271" s="37"/>
      <c r="B271" s="8"/>
      <c r="E271" s="38"/>
      <c r="H271" s="38"/>
      <c r="K271" s="38"/>
      <c r="N271" s="38"/>
      <c r="Q271" s="38"/>
      <c r="S271" s="14"/>
    </row>
    <row r="272" spans="1:19" x14ac:dyDescent="0.2">
      <c r="A272" s="37"/>
      <c r="B272" s="8"/>
      <c r="E272" s="38"/>
      <c r="H272" s="38"/>
      <c r="K272" s="38"/>
      <c r="N272" s="38"/>
      <c r="Q272" s="38"/>
      <c r="S272" s="14"/>
    </row>
    <row r="273" spans="1:19" x14ac:dyDescent="0.2">
      <c r="A273" s="37"/>
      <c r="B273" s="8"/>
      <c r="E273" s="38"/>
      <c r="H273" s="38"/>
      <c r="K273" s="38"/>
      <c r="N273" s="38"/>
      <c r="Q273" s="38"/>
      <c r="S273" s="14"/>
    </row>
    <row r="274" spans="1:19" x14ac:dyDescent="0.2">
      <c r="A274" s="37"/>
      <c r="B274" s="8"/>
      <c r="E274" s="38"/>
      <c r="H274" s="38"/>
      <c r="K274" s="38"/>
      <c r="N274" s="38"/>
      <c r="Q274" s="38"/>
      <c r="S274" s="14"/>
    </row>
    <row r="275" spans="1:19" x14ac:dyDescent="0.2">
      <c r="A275" s="37"/>
      <c r="B275" s="8"/>
      <c r="E275" s="38"/>
      <c r="H275" s="38"/>
      <c r="K275" s="38"/>
      <c r="N275" s="38"/>
      <c r="Q275" s="38"/>
      <c r="S275" s="14"/>
    </row>
    <row r="276" spans="1:19" x14ac:dyDescent="0.2">
      <c r="A276" s="37"/>
      <c r="B276" s="8"/>
      <c r="E276" s="38"/>
      <c r="H276" s="38"/>
      <c r="K276" s="38"/>
      <c r="N276" s="38"/>
      <c r="Q276" s="38"/>
      <c r="S276" s="14"/>
    </row>
    <row r="277" spans="1:19" x14ac:dyDescent="0.2">
      <c r="A277" s="37"/>
      <c r="B277" s="8"/>
      <c r="E277" s="38"/>
      <c r="H277" s="38"/>
      <c r="K277" s="38"/>
      <c r="N277" s="38"/>
      <c r="Q277" s="38"/>
      <c r="S277" s="14"/>
    </row>
    <row r="278" spans="1:19" x14ac:dyDescent="0.2">
      <c r="A278" s="37"/>
      <c r="B278" s="8"/>
      <c r="E278" s="38"/>
      <c r="H278" s="38"/>
      <c r="K278" s="38"/>
      <c r="N278" s="38"/>
      <c r="Q278" s="38"/>
      <c r="S278" s="14"/>
    </row>
    <row r="279" spans="1:19" x14ac:dyDescent="0.2">
      <c r="A279" s="37"/>
      <c r="B279" s="8"/>
      <c r="E279" s="38"/>
      <c r="H279" s="38"/>
      <c r="K279" s="38"/>
      <c r="N279" s="38"/>
      <c r="Q279" s="38"/>
      <c r="S279" s="14"/>
    </row>
    <row r="280" spans="1:19" x14ac:dyDescent="0.2">
      <c r="A280" s="37"/>
      <c r="B280" s="8"/>
      <c r="E280" s="38"/>
      <c r="H280" s="38"/>
      <c r="K280" s="38"/>
      <c r="N280" s="38"/>
      <c r="Q280" s="38"/>
      <c r="S280" s="14"/>
    </row>
    <row r="281" spans="1:19" x14ac:dyDescent="0.2">
      <c r="A281" s="37"/>
      <c r="B281" s="8"/>
      <c r="E281" s="38"/>
      <c r="H281" s="38"/>
      <c r="K281" s="38"/>
      <c r="N281" s="38"/>
      <c r="Q281" s="38"/>
      <c r="S281" s="14"/>
    </row>
    <row r="282" spans="1:19" x14ac:dyDescent="0.2">
      <c r="A282" s="37"/>
      <c r="B282" s="8"/>
      <c r="E282" s="38"/>
      <c r="H282" s="38"/>
      <c r="K282" s="38"/>
      <c r="N282" s="38"/>
      <c r="Q282" s="38"/>
      <c r="S282" s="14"/>
    </row>
    <row r="283" spans="1:19" x14ac:dyDescent="0.2">
      <c r="A283" s="37"/>
      <c r="B283" s="8"/>
      <c r="E283" s="38"/>
      <c r="H283" s="38"/>
      <c r="K283" s="38"/>
      <c r="N283" s="38"/>
      <c r="Q283" s="38"/>
      <c r="S283" s="14"/>
    </row>
    <row r="284" spans="1:19" x14ac:dyDescent="0.2">
      <c r="A284" s="37"/>
      <c r="B284" s="8"/>
      <c r="E284" s="38"/>
      <c r="H284" s="38"/>
      <c r="K284" s="38"/>
      <c r="N284" s="38"/>
      <c r="Q284" s="38"/>
      <c r="S284" s="14"/>
    </row>
    <row r="285" spans="1:19" x14ac:dyDescent="0.2">
      <c r="A285" s="37"/>
      <c r="B285" s="8"/>
      <c r="E285" s="38"/>
      <c r="H285" s="38"/>
      <c r="K285" s="38"/>
      <c r="N285" s="38"/>
      <c r="Q285" s="38"/>
      <c r="S285" s="14"/>
    </row>
    <row r="286" spans="1:19" x14ac:dyDescent="0.2">
      <c r="A286" s="37"/>
      <c r="B286" s="8"/>
      <c r="E286" s="38"/>
      <c r="H286" s="38"/>
      <c r="K286" s="38"/>
      <c r="N286" s="38"/>
      <c r="Q286" s="38"/>
      <c r="S286" s="14"/>
    </row>
    <row r="287" spans="1:19" x14ac:dyDescent="0.2">
      <c r="A287" s="37"/>
      <c r="B287" s="8"/>
      <c r="E287" s="38"/>
      <c r="H287" s="38"/>
      <c r="K287" s="38"/>
      <c r="N287" s="38"/>
      <c r="Q287" s="38"/>
      <c r="S287" s="14"/>
    </row>
    <row r="288" spans="1:19" x14ac:dyDescent="0.2">
      <c r="A288" s="37"/>
      <c r="B288" s="8"/>
      <c r="E288" s="38"/>
      <c r="H288" s="38"/>
      <c r="K288" s="38"/>
      <c r="N288" s="38"/>
      <c r="Q288" s="38"/>
      <c r="S288" s="14"/>
    </row>
    <row r="289" spans="1:19" x14ac:dyDescent="0.2">
      <c r="A289" s="37"/>
      <c r="B289" s="8"/>
      <c r="E289" s="38"/>
      <c r="H289" s="38"/>
      <c r="K289" s="38"/>
      <c r="N289" s="38"/>
      <c r="Q289" s="38"/>
      <c r="S289" s="14"/>
    </row>
    <row r="290" spans="1:19" x14ac:dyDescent="0.2">
      <c r="A290" s="37"/>
      <c r="B290" s="8"/>
      <c r="E290" s="38"/>
      <c r="H290" s="38"/>
      <c r="K290" s="38"/>
      <c r="N290" s="38"/>
      <c r="Q290" s="38"/>
      <c r="S290" s="14"/>
    </row>
    <row r="291" spans="1:19" x14ac:dyDescent="0.2">
      <c r="A291" s="37"/>
      <c r="B291" s="8"/>
      <c r="E291" s="38"/>
      <c r="H291" s="38"/>
      <c r="K291" s="38"/>
      <c r="N291" s="38"/>
      <c r="Q291" s="38"/>
      <c r="S291" s="14"/>
    </row>
    <row r="292" spans="1:19" x14ac:dyDescent="0.2">
      <c r="A292" s="37"/>
      <c r="B292" s="8"/>
      <c r="E292" s="38"/>
      <c r="H292" s="38"/>
      <c r="K292" s="38"/>
      <c r="N292" s="38"/>
      <c r="Q292" s="38"/>
      <c r="S292" s="14"/>
    </row>
    <row r="293" spans="1:19" x14ac:dyDescent="0.2">
      <c r="A293" s="37"/>
      <c r="B293" s="8"/>
      <c r="E293" s="38"/>
      <c r="H293" s="38"/>
      <c r="K293" s="38"/>
      <c r="N293" s="38"/>
      <c r="Q293" s="38"/>
      <c r="S293" s="14"/>
    </row>
    <row r="294" spans="1:19" x14ac:dyDescent="0.2">
      <c r="A294" s="37"/>
      <c r="B294" s="8"/>
      <c r="E294" s="38"/>
      <c r="H294" s="38"/>
      <c r="K294" s="38"/>
      <c r="N294" s="38"/>
      <c r="Q294" s="38"/>
      <c r="S294" s="14"/>
    </row>
    <row r="295" spans="1:19" x14ac:dyDescent="0.2">
      <c r="A295" s="37"/>
      <c r="B295" s="8"/>
      <c r="E295" s="38"/>
      <c r="H295" s="38"/>
      <c r="K295" s="38"/>
      <c r="N295" s="38"/>
      <c r="Q295" s="38"/>
      <c r="S295" s="14"/>
    </row>
    <row r="296" spans="1:19" x14ac:dyDescent="0.2">
      <c r="A296" s="37"/>
      <c r="B296" s="8"/>
      <c r="E296" s="38"/>
      <c r="H296" s="38"/>
      <c r="K296" s="38"/>
      <c r="N296" s="38"/>
      <c r="Q296" s="38"/>
      <c r="S296" s="14"/>
    </row>
    <row r="297" spans="1:19" x14ac:dyDescent="0.2">
      <c r="A297" s="37"/>
      <c r="B297" s="8"/>
      <c r="E297" s="38"/>
      <c r="H297" s="38"/>
      <c r="K297" s="38"/>
      <c r="N297" s="38"/>
      <c r="Q297" s="38"/>
      <c r="S297" s="14"/>
    </row>
    <row r="298" spans="1:19" x14ac:dyDescent="0.2">
      <c r="A298" s="37"/>
      <c r="B298" s="8"/>
      <c r="E298" s="38"/>
      <c r="H298" s="38"/>
      <c r="K298" s="38"/>
      <c r="N298" s="38"/>
      <c r="Q298" s="38"/>
      <c r="S298" s="14"/>
    </row>
    <row r="299" spans="1:19" x14ac:dyDescent="0.2">
      <c r="A299" s="37"/>
      <c r="B299" s="8"/>
      <c r="E299" s="38"/>
      <c r="H299" s="38"/>
      <c r="K299" s="38"/>
      <c r="N299" s="38"/>
      <c r="Q299" s="38"/>
      <c r="S299" s="14"/>
    </row>
    <row r="300" spans="1:19" x14ac:dyDescent="0.2">
      <c r="A300" s="37"/>
      <c r="B300" s="8"/>
      <c r="E300" s="38"/>
      <c r="H300" s="38"/>
      <c r="K300" s="38"/>
      <c r="N300" s="38"/>
      <c r="Q300" s="38"/>
      <c r="S300" s="14"/>
    </row>
    <row r="301" spans="1:19" x14ac:dyDescent="0.2">
      <c r="A301" s="37"/>
      <c r="B301" s="8"/>
      <c r="E301" s="38"/>
      <c r="H301" s="38"/>
      <c r="K301" s="38"/>
      <c r="N301" s="38"/>
      <c r="Q301" s="38"/>
      <c r="S301" s="14"/>
    </row>
    <row r="302" spans="1:19" x14ac:dyDescent="0.2">
      <c r="A302" s="37"/>
      <c r="B302" s="8"/>
      <c r="E302" s="38"/>
      <c r="H302" s="38"/>
      <c r="K302" s="38"/>
      <c r="N302" s="38"/>
      <c r="Q302" s="38"/>
      <c r="S302" s="14"/>
    </row>
    <row r="303" spans="1:19" x14ac:dyDescent="0.2">
      <c r="A303" s="37"/>
      <c r="B303" s="8"/>
      <c r="E303" s="38"/>
      <c r="H303" s="38"/>
      <c r="K303" s="38"/>
      <c r="N303" s="38"/>
      <c r="Q303" s="38"/>
      <c r="S303" s="14"/>
    </row>
    <row r="304" spans="1:19" x14ac:dyDescent="0.2">
      <c r="A304" s="37"/>
      <c r="B304" s="8"/>
      <c r="E304" s="38"/>
      <c r="H304" s="38"/>
      <c r="K304" s="38"/>
      <c r="N304" s="38"/>
      <c r="Q304" s="38"/>
      <c r="S304" s="14"/>
    </row>
    <row r="305" spans="1:19" x14ac:dyDescent="0.2">
      <c r="A305" s="37"/>
      <c r="B305" s="8"/>
      <c r="E305" s="38"/>
      <c r="H305" s="38"/>
      <c r="K305" s="38"/>
      <c r="N305" s="38"/>
      <c r="Q305" s="38"/>
      <c r="S305" s="14"/>
    </row>
    <row r="306" spans="1:19" x14ac:dyDescent="0.2">
      <c r="A306" s="37"/>
      <c r="B306" s="8"/>
      <c r="E306" s="38"/>
      <c r="H306" s="38"/>
      <c r="K306" s="38"/>
      <c r="N306" s="38"/>
      <c r="Q306" s="38"/>
      <c r="S306" s="14"/>
    </row>
    <row r="307" spans="1:19" x14ac:dyDescent="0.2">
      <c r="A307" s="37"/>
      <c r="B307" s="8"/>
      <c r="E307" s="38"/>
      <c r="H307" s="38"/>
      <c r="K307" s="38"/>
      <c r="N307" s="38"/>
      <c r="Q307" s="38"/>
      <c r="S307" s="14"/>
    </row>
    <row r="308" spans="1:19" x14ac:dyDescent="0.2">
      <c r="A308" s="37"/>
      <c r="B308" s="8"/>
      <c r="E308" s="38"/>
      <c r="H308" s="38"/>
      <c r="K308" s="38"/>
      <c r="N308" s="38"/>
      <c r="Q308" s="38"/>
      <c r="S308" s="14"/>
    </row>
    <row r="309" spans="1:19" x14ac:dyDescent="0.2">
      <c r="A309" s="37"/>
      <c r="B309" s="8"/>
      <c r="E309" s="38"/>
      <c r="H309" s="38"/>
      <c r="K309" s="38"/>
      <c r="N309" s="38"/>
      <c r="Q309" s="38"/>
      <c r="S309" s="14"/>
    </row>
    <row r="310" spans="1:19" x14ac:dyDescent="0.2">
      <c r="A310" s="37"/>
      <c r="B310" s="8"/>
      <c r="E310" s="38"/>
      <c r="H310" s="38"/>
      <c r="K310" s="38"/>
      <c r="N310" s="38"/>
      <c r="Q310" s="38"/>
      <c r="S310" s="14"/>
    </row>
    <row r="311" spans="1:19" x14ac:dyDescent="0.2">
      <c r="A311" s="37"/>
      <c r="B311" s="8"/>
      <c r="E311" s="38"/>
      <c r="H311" s="38"/>
      <c r="K311" s="38"/>
      <c r="N311" s="38"/>
      <c r="Q311" s="38"/>
      <c r="S311" s="14"/>
    </row>
    <row r="312" spans="1:19" x14ac:dyDescent="0.2">
      <c r="A312" s="37"/>
      <c r="B312" s="8"/>
      <c r="E312" s="38"/>
      <c r="H312" s="38"/>
      <c r="K312" s="38"/>
      <c r="N312" s="38"/>
      <c r="Q312" s="38"/>
      <c r="S312" s="14"/>
    </row>
    <row r="313" spans="1:19" x14ac:dyDescent="0.2">
      <c r="A313" s="37"/>
      <c r="B313" s="8"/>
      <c r="E313" s="38"/>
      <c r="H313" s="38"/>
      <c r="K313" s="38"/>
      <c r="N313" s="38"/>
      <c r="Q313" s="38"/>
      <c r="S313" s="14"/>
    </row>
    <row r="314" spans="1:19" x14ac:dyDescent="0.2">
      <c r="A314" s="37"/>
      <c r="B314" s="8"/>
      <c r="E314" s="38"/>
      <c r="H314" s="38"/>
      <c r="K314" s="38"/>
      <c r="N314" s="38"/>
      <c r="Q314" s="38"/>
      <c r="S314" s="14"/>
    </row>
    <row r="315" spans="1:19" x14ac:dyDescent="0.2">
      <c r="A315" s="37"/>
      <c r="B315" s="8"/>
      <c r="E315" s="38"/>
      <c r="H315" s="38"/>
      <c r="K315" s="38"/>
      <c r="N315" s="38"/>
      <c r="Q315" s="38"/>
      <c r="S315" s="14"/>
    </row>
    <row r="316" spans="1:19" x14ac:dyDescent="0.2">
      <c r="A316" s="37"/>
      <c r="B316" s="8"/>
      <c r="E316" s="38"/>
      <c r="H316" s="38"/>
      <c r="K316" s="38"/>
      <c r="N316" s="38"/>
      <c r="Q316" s="38"/>
      <c r="S316" s="14"/>
    </row>
    <row r="317" spans="1:19" x14ac:dyDescent="0.2">
      <c r="A317" s="37"/>
      <c r="B317" s="8"/>
      <c r="E317" s="38"/>
      <c r="H317" s="38"/>
      <c r="K317" s="38"/>
      <c r="N317" s="38"/>
      <c r="Q317" s="38"/>
      <c r="S317" s="14"/>
    </row>
    <row r="318" spans="1:19" x14ac:dyDescent="0.2">
      <c r="A318" s="37"/>
      <c r="B318" s="8"/>
      <c r="E318" s="38"/>
      <c r="H318" s="38"/>
      <c r="K318" s="38"/>
      <c r="N318" s="38"/>
      <c r="Q318" s="38"/>
      <c r="S318" s="14"/>
    </row>
    <row r="319" spans="1:19" x14ac:dyDescent="0.2">
      <c r="A319" s="37"/>
      <c r="B319" s="8"/>
      <c r="E319" s="38"/>
      <c r="H319" s="38"/>
      <c r="K319" s="38"/>
      <c r="N319" s="38"/>
      <c r="Q319" s="38"/>
      <c r="S319" s="14"/>
    </row>
    <row r="320" spans="1:19" x14ac:dyDescent="0.2">
      <c r="A320" s="37"/>
      <c r="B320" s="8"/>
      <c r="E320" s="38"/>
      <c r="H320" s="38"/>
      <c r="K320" s="38"/>
      <c r="N320" s="38"/>
      <c r="Q320" s="38"/>
      <c r="S320" s="14"/>
    </row>
    <row r="321" spans="1:19" x14ac:dyDescent="0.2">
      <c r="A321" s="37"/>
      <c r="B321" s="8"/>
      <c r="E321" s="38"/>
      <c r="H321" s="38"/>
      <c r="K321" s="38"/>
      <c r="N321" s="38"/>
      <c r="Q321" s="38"/>
      <c r="S321" s="14"/>
    </row>
    <row r="322" spans="1:19" x14ac:dyDescent="0.2">
      <c r="A322" s="37"/>
      <c r="B322" s="8"/>
      <c r="E322" s="38"/>
      <c r="H322" s="38"/>
      <c r="K322" s="38"/>
      <c r="N322" s="38"/>
      <c r="Q322" s="38"/>
      <c r="S322" s="14"/>
    </row>
    <row r="323" spans="1:19" x14ac:dyDescent="0.2">
      <c r="A323" s="37"/>
      <c r="B323" s="8"/>
      <c r="E323" s="38"/>
      <c r="H323" s="38"/>
      <c r="K323" s="38"/>
      <c r="N323" s="38"/>
      <c r="Q323" s="38"/>
      <c r="S323" s="14"/>
    </row>
    <row r="324" spans="1:19" x14ac:dyDescent="0.2">
      <c r="A324" s="37"/>
      <c r="B324" s="8"/>
      <c r="E324" s="38"/>
      <c r="H324" s="38"/>
      <c r="K324" s="38"/>
      <c r="N324" s="38"/>
      <c r="Q324" s="38"/>
      <c r="S324" s="14"/>
    </row>
    <row r="325" spans="1:19" x14ac:dyDescent="0.2">
      <c r="A325" s="37"/>
      <c r="B325" s="8"/>
      <c r="E325" s="38"/>
      <c r="H325" s="38"/>
      <c r="K325" s="38"/>
      <c r="N325" s="38"/>
      <c r="Q325" s="38"/>
      <c r="S325" s="14"/>
    </row>
    <row r="326" spans="1:19" x14ac:dyDescent="0.2">
      <c r="A326" s="37"/>
      <c r="B326" s="8"/>
      <c r="E326" s="38"/>
      <c r="H326" s="38"/>
      <c r="K326" s="38"/>
      <c r="N326" s="38"/>
      <c r="Q326" s="38"/>
      <c r="S326" s="14"/>
    </row>
    <row r="327" spans="1:19" x14ac:dyDescent="0.2">
      <c r="A327" s="37"/>
      <c r="B327" s="8"/>
      <c r="E327" s="38"/>
      <c r="H327" s="38"/>
      <c r="K327" s="38"/>
      <c r="N327" s="38"/>
      <c r="Q327" s="38"/>
      <c r="S327" s="14"/>
    </row>
    <row r="328" spans="1:19" x14ac:dyDescent="0.2">
      <c r="A328" s="37"/>
      <c r="B328" s="8"/>
      <c r="E328" s="38"/>
      <c r="H328" s="38"/>
      <c r="K328" s="38"/>
      <c r="N328" s="38"/>
      <c r="Q328" s="38"/>
      <c r="S328" s="14"/>
    </row>
    <row r="329" spans="1:19" x14ac:dyDescent="0.2">
      <c r="A329" s="37"/>
      <c r="B329" s="8"/>
      <c r="E329" s="38"/>
      <c r="H329" s="38"/>
      <c r="K329" s="38"/>
      <c r="N329" s="38"/>
      <c r="Q329" s="38"/>
      <c r="S329" s="14"/>
    </row>
    <row r="330" spans="1:19" x14ac:dyDescent="0.2">
      <c r="A330" s="37"/>
      <c r="B330" s="8"/>
      <c r="E330" s="38"/>
      <c r="H330" s="38"/>
      <c r="K330" s="38"/>
      <c r="N330" s="38"/>
      <c r="Q330" s="38"/>
      <c r="S330" s="14"/>
    </row>
    <row r="331" spans="1:19" x14ac:dyDescent="0.2">
      <c r="A331" s="37"/>
      <c r="B331" s="8"/>
      <c r="E331" s="38"/>
      <c r="H331" s="38"/>
      <c r="K331" s="38"/>
      <c r="N331" s="38"/>
      <c r="Q331" s="38"/>
      <c r="S331" s="14"/>
    </row>
    <row r="332" spans="1:19" x14ac:dyDescent="0.2">
      <c r="A332" s="37"/>
      <c r="B332" s="8"/>
      <c r="E332" s="38"/>
      <c r="H332" s="38"/>
      <c r="K332" s="38"/>
      <c r="N332" s="38"/>
      <c r="Q332" s="38"/>
      <c r="S332" s="14"/>
    </row>
    <row r="333" spans="1:19" x14ac:dyDescent="0.2">
      <c r="A333" s="37"/>
      <c r="B333" s="8"/>
      <c r="E333" s="38"/>
      <c r="H333" s="38"/>
      <c r="K333" s="38"/>
      <c r="N333" s="38"/>
      <c r="Q333" s="38"/>
      <c r="S333" s="14"/>
    </row>
    <row r="334" spans="1:19" x14ac:dyDescent="0.2">
      <c r="A334" s="37"/>
      <c r="B334" s="8"/>
      <c r="E334" s="38"/>
      <c r="H334" s="38"/>
      <c r="K334" s="38"/>
      <c r="N334" s="38"/>
      <c r="Q334" s="38"/>
      <c r="S334" s="14"/>
    </row>
    <row r="335" spans="1:19" x14ac:dyDescent="0.2">
      <c r="A335" s="37"/>
      <c r="B335" s="8"/>
      <c r="E335" s="38"/>
      <c r="H335" s="38"/>
      <c r="K335" s="38"/>
      <c r="N335" s="38"/>
      <c r="Q335" s="38"/>
      <c r="S335" s="14"/>
    </row>
    <row r="336" spans="1:19" x14ac:dyDescent="0.2">
      <c r="A336" s="37"/>
      <c r="B336" s="8"/>
      <c r="E336" s="38"/>
      <c r="H336" s="38"/>
      <c r="K336" s="38"/>
      <c r="N336" s="38"/>
      <c r="Q336" s="38"/>
      <c r="S336" s="14"/>
    </row>
    <row r="337" spans="1:19" x14ac:dyDescent="0.2">
      <c r="A337" s="37"/>
      <c r="B337" s="8"/>
      <c r="E337" s="38"/>
      <c r="H337" s="38"/>
      <c r="K337" s="38"/>
      <c r="N337" s="38"/>
      <c r="Q337" s="38"/>
      <c r="S337" s="14"/>
    </row>
    <row r="338" spans="1:19" x14ac:dyDescent="0.2">
      <c r="A338" s="37"/>
      <c r="B338" s="8"/>
      <c r="E338" s="38"/>
      <c r="H338" s="38"/>
      <c r="K338" s="38"/>
      <c r="N338" s="38"/>
      <c r="Q338" s="38"/>
      <c r="S338" s="14"/>
    </row>
    <row r="339" spans="1:19" x14ac:dyDescent="0.2">
      <c r="A339" s="37"/>
      <c r="B339" s="8"/>
      <c r="E339" s="38"/>
      <c r="H339" s="38"/>
      <c r="K339" s="38"/>
      <c r="N339" s="38"/>
      <c r="Q339" s="38"/>
      <c r="S339" s="14"/>
    </row>
    <row r="340" spans="1:19" x14ac:dyDescent="0.2">
      <c r="A340" s="37"/>
      <c r="B340" s="8"/>
      <c r="E340" s="38"/>
      <c r="H340" s="38"/>
      <c r="K340" s="38"/>
      <c r="N340" s="38"/>
      <c r="Q340" s="38"/>
      <c r="S340" s="14"/>
    </row>
    <row r="341" spans="1:19" x14ac:dyDescent="0.2">
      <c r="A341" s="37"/>
      <c r="B341" s="8"/>
      <c r="E341" s="38"/>
      <c r="H341" s="38"/>
      <c r="K341" s="38"/>
      <c r="N341" s="38"/>
      <c r="Q341" s="38"/>
      <c r="S341" s="14"/>
    </row>
    <row r="342" spans="1:19" x14ac:dyDescent="0.2">
      <c r="A342" s="37"/>
      <c r="B342" s="8"/>
      <c r="E342" s="38"/>
      <c r="H342" s="38"/>
      <c r="K342" s="38"/>
      <c r="N342" s="38"/>
      <c r="Q342" s="38"/>
      <c r="S342" s="14"/>
    </row>
    <row r="343" spans="1:19" x14ac:dyDescent="0.2">
      <c r="A343" s="37"/>
      <c r="B343" s="8"/>
      <c r="E343" s="38"/>
      <c r="H343" s="38"/>
      <c r="K343" s="38"/>
      <c r="N343" s="38"/>
      <c r="Q343" s="38"/>
      <c r="S343" s="14"/>
    </row>
    <row r="344" spans="1:19" x14ac:dyDescent="0.2">
      <c r="A344" s="37"/>
      <c r="B344" s="8"/>
      <c r="E344" s="38"/>
      <c r="H344" s="38"/>
      <c r="K344" s="38"/>
      <c r="N344" s="38"/>
      <c r="Q344" s="38"/>
      <c r="S344" s="14"/>
    </row>
    <row r="345" spans="1:19" x14ac:dyDescent="0.2">
      <c r="A345" s="37"/>
      <c r="B345" s="8"/>
      <c r="E345" s="38"/>
      <c r="H345" s="38"/>
      <c r="K345" s="38"/>
      <c r="N345" s="38"/>
      <c r="Q345" s="38"/>
      <c r="S345" s="14"/>
    </row>
    <row r="346" spans="1:19" x14ac:dyDescent="0.2">
      <c r="A346" s="37"/>
      <c r="B346" s="8"/>
      <c r="E346" s="38"/>
      <c r="H346" s="38"/>
      <c r="K346" s="38"/>
      <c r="N346" s="38"/>
      <c r="Q346" s="38"/>
      <c r="S346" s="14"/>
    </row>
    <row r="347" spans="1:19" x14ac:dyDescent="0.2">
      <c r="A347" s="37"/>
      <c r="B347" s="8"/>
      <c r="E347" s="38"/>
      <c r="H347" s="38"/>
      <c r="K347" s="38"/>
      <c r="N347" s="38"/>
      <c r="Q347" s="38"/>
      <c r="S347" s="14"/>
    </row>
    <row r="348" spans="1:19" x14ac:dyDescent="0.2">
      <c r="A348" s="37"/>
      <c r="B348" s="8"/>
      <c r="E348" s="38"/>
      <c r="H348" s="38"/>
      <c r="K348" s="38"/>
      <c r="N348" s="38"/>
      <c r="Q348" s="38"/>
      <c r="S348" s="14"/>
    </row>
    <row r="349" spans="1:19" x14ac:dyDescent="0.2">
      <c r="A349" s="37"/>
      <c r="B349" s="8"/>
      <c r="E349" s="38"/>
      <c r="H349" s="38"/>
      <c r="K349" s="38"/>
      <c r="N349" s="38"/>
      <c r="Q349" s="38"/>
      <c r="S349" s="14"/>
    </row>
    <row r="350" spans="1:19" x14ac:dyDescent="0.2">
      <c r="A350" s="37"/>
      <c r="B350" s="8"/>
      <c r="E350" s="38"/>
      <c r="H350" s="38"/>
      <c r="K350" s="38"/>
      <c r="N350" s="38"/>
      <c r="Q350" s="38"/>
      <c r="S350" s="14"/>
    </row>
    <row r="351" spans="1:19" x14ac:dyDescent="0.2">
      <c r="A351" s="37"/>
      <c r="B351" s="8"/>
      <c r="E351" s="38"/>
      <c r="H351" s="38"/>
      <c r="K351" s="38"/>
      <c r="N351" s="38"/>
      <c r="Q351" s="38"/>
      <c r="S351" s="14"/>
    </row>
    <row r="352" spans="1:19" x14ac:dyDescent="0.2">
      <c r="A352" s="37"/>
      <c r="B352" s="8"/>
      <c r="E352" s="38"/>
      <c r="H352" s="38"/>
      <c r="K352" s="38"/>
      <c r="N352" s="38"/>
      <c r="Q352" s="38"/>
      <c r="S352" s="14"/>
    </row>
    <row r="353" spans="1:19" x14ac:dyDescent="0.2">
      <c r="A353" s="37"/>
      <c r="B353" s="8"/>
      <c r="E353" s="38"/>
      <c r="H353" s="38"/>
      <c r="K353" s="38"/>
      <c r="N353" s="38"/>
      <c r="Q353" s="38"/>
      <c r="S353" s="14"/>
    </row>
    <row r="354" spans="1:19" x14ac:dyDescent="0.2">
      <c r="A354" s="37"/>
      <c r="B354" s="8"/>
      <c r="E354" s="38"/>
      <c r="H354" s="38"/>
      <c r="K354" s="38"/>
      <c r="N354" s="38"/>
      <c r="Q354" s="38"/>
      <c r="S354" s="14"/>
    </row>
    <row r="355" spans="1:19" x14ac:dyDescent="0.2">
      <c r="A355" s="37"/>
      <c r="B355" s="8"/>
      <c r="E355" s="38"/>
      <c r="H355" s="38"/>
      <c r="K355" s="38"/>
      <c r="N355" s="38"/>
      <c r="Q355" s="38"/>
      <c r="S355" s="14"/>
    </row>
    <row r="356" spans="1:19" x14ac:dyDescent="0.2">
      <c r="A356" s="37"/>
      <c r="B356" s="8"/>
      <c r="E356" s="38"/>
      <c r="H356" s="38"/>
      <c r="K356" s="38"/>
      <c r="N356" s="38"/>
      <c r="Q356" s="38"/>
      <c r="S356" s="14"/>
    </row>
    <row r="357" spans="1:19" x14ac:dyDescent="0.2">
      <c r="A357" s="37"/>
      <c r="B357" s="8"/>
      <c r="E357" s="38"/>
      <c r="H357" s="38"/>
      <c r="K357" s="38"/>
      <c r="N357" s="38"/>
      <c r="Q357" s="38"/>
      <c r="S357" s="14"/>
    </row>
    <row r="358" spans="1:19" x14ac:dyDescent="0.2">
      <c r="A358" s="37"/>
      <c r="B358" s="8"/>
      <c r="E358" s="38"/>
      <c r="H358" s="38"/>
      <c r="K358" s="38"/>
      <c r="N358" s="38"/>
      <c r="Q358" s="38"/>
      <c r="S358" s="14"/>
    </row>
    <row r="359" spans="1:19" x14ac:dyDescent="0.2">
      <c r="A359" s="37"/>
      <c r="B359" s="8"/>
      <c r="E359" s="38"/>
      <c r="H359" s="38"/>
      <c r="K359" s="38"/>
      <c r="N359" s="38"/>
      <c r="Q359" s="38"/>
      <c r="S359" s="14"/>
    </row>
    <row r="360" spans="1:19" x14ac:dyDescent="0.2">
      <c r="A360" s="37"/>
      <c r="B360" s="8"/>
      <c r="E360" s="38"/>
      <c r="H360" s="38"/>
      <c r="K360" s="38"/>
      <c r="N360" s="38"/>
      <c r="Q360" s="38"/>
      <c r="S360" s="14"/>
    </row>
    <row r="361" spans="1:19" x14ac:dyDescent="0.2">
      <c r="A361" s="37"/>
      <c r="B361" s="8"/>
      <c r="E361" s="38"/>
      <c r="H361" s="38"/>
      <c r="K361" s="38"/>
      <c r="N361" s="38"/>
      <c r="Q361" s="38"/>
      <c r="S361" s="14"/>
    </row>
    <row r="362" spans="1:19" x14ac:dyDescent="0.2">
      <c r="A362" s="37"/>
      <c r="B362" s="8"/>
      <c r="E362" s="38"/>
      <c r="H362" s="38"/>
      <c r="K362" s="38"/>
      <c r="N362" s="38"/>
      <c r="Q362" s="38"/>
      <c r="S362" s="14"/>
    </row>
    <row r="363" spans="1:19" x14ac:dyDescent="0.2">
      <c r="A363" s="37"/>
      <c r="B363" s="8"/>
      <c r="E363" s="38"/>
      <c r="H363" s="38"/>
      <c r="K363" s="38"/>
      <c r="N363" s="38"/>
      <c r="Q363" s="38"/>
      <c r="S363" s="14"/>
    </row>
    <row r="364" spans="1:19" x14ac:dyDescent="0.2">
      <c r="A364" s="37"/>
      <c r="B364" s="8"/>
      <c r="E364" s="38"/>
      <c r="H364" s="38"/>
      <c r="K364" s="38"/>
      <c r="N364" s="38"/>
      <c r="Q364" s="38"/>
      <c r="S364" s="14"/>
    </row>
    <row r="365" spans="1:19" x14ac:dyDescent="0.2">
      <c r="A365" s="37"/>
      <c r="B365" s="8"/>
      <c r="E365" s="38"/>
      <c r="H365" s="38"/>
      <c r="K365" s="38"/>
      <c r="N365" s="38"/>
      <c r="Q365" s="38"/>
      <c r="S365" s="14"/>
    </row>
    <row r="366" spans="1:19" x14ac:dyDescent="0.2">
      <c r="A366" s="37"/>
      <c r="B366" s="8"/>
      <c r="E366" s="38"/>
      <c r="H366" s="38"/>
      <c r="K366" s="38"/>
      <c r="N366" s="38"/>
      <c r="Q366" s="38"/>
      <c r="S366" s="14"/>
    </row>
    <row r="367" spans="1:19" x14ac:dyDescent="0.2">
      <c r="A367" s="37"/>
      <c r="B367" s="8"/>
      <c r="E367" s="38"/>
      <c r="H367" s="38"/>
      <c r="K367" s="38"/>
      <c r="N367" s="38"/>
      <c r="Q367" s="38"/>
      <c r="S367" s="14"/>
    </row>
    <row r="368" spans="1:19" x14ac:dyDescent="0.2">
      <c r="A368" s="37"/>
      <c r="B368" s="8"/>
      <c r="E368" s="38"/>
      <c r="H368" s="38"/>
      <c r="K368" s="38"/>
      <c r="N368" s="38"/>
      <c r="Q368" s="38"/>
      <c r="S368" s="14"/>
    </row>
    <row r="369" spans="1:19" x14ac:dyDescent="0.2">
      <c r="A369" s="37"/>
      <c r="B369" s="8"/>
      <c r="E369" s="38"/>
      <c r="H369" s="38"/>
      <c r="K369" s="38"/>
      <c r="N369" s="38"/>
      <c r="Q369" s="38"/>
      <c r="S369" s="14"/>
    </row>
    <row r="370" spans="1:19" x14ac:dyDescent="0.2">
      <c r="A370" s="37"/>
      <c r="B370" s="8"/>
      <c r="E370" s="38"/>
      <c r="H370" s="38"/>
      <c r="K370" s="38"/>
      <c r="N370" s="38"/>
      <c r="Q370" s="38"/>
      <c r="S370" s="14"/>
    </row>
    <row r="371" spans="1:19" x14ac:dyDescent="0.2">
      <c r="A371" s="37"/>
      <c r="B371" s="8"/>
      <c r="E371" s="38"/>
      <c r="H371" s="38"/>
      <c r="K371" s="38"/>
      <c r="N371" s="38"/>
      <c r="Q371" s="38"/>
      <c r="S371" s="14"/>
    </row>
    <row r="372" spans="1:19" x14ac:dyDescent="0.2">
      <c r="A372" s="37"/>
      <c r="B372" s="8"/>
      <c r="E372" s="38"/>
      <c r="H372" s="38"/>
      <c r="K372" s="38"/>
      <c r="N372" s="38"/>
      <c r="Q372" s="38"/>
      <c r="S372" s="14"/>
    </row>
    <row r="373" spans="1:19" x14ac:dyDescent="0.2">
      <c r="A373" s="37"/>
      <c r="B373" s="8"/>
      <c r="E373" s="38"/>
      <c r="H373" s="38"/>
      <c r="K373" s="38"/>
      <c r="N373" s="38"/>
      <c r="Q373" s="38"/>
      <c r="S373" s="14"/>
    </row>
    <row r="374" spans="1:19" x14ac:dyDescent="0.2">
      <c r="A374" s="37"/>
      <c r="B374" s="8"/>
      <c r="E374" s="38"/>
      <c r="H374" s="38"/>
      <c r="K374" s="38"/>
      <c r="N374" s="38"/>
      <c r="Q374" s="38"/>
      <c r="S374" s="14"/>
    </row>
    <row r="375" spans="1:19" x14ac:dyDescent="0.2">
      <c r="A375" s="37"/>
      <c r="B375" s="8"/>
      <c r="E375" s="38"/>
      <c r="H375" s="38"/>
      <c r="K375" s="38"/>
      <c r="N375" s="38"/>
      <c r="Q375" s="38"/>
      <c r="S375" s="14"/>
    </row>
    <row r="376" spans="1:19" x14ac:dyDescent="0.2">
      <c r="A376" s="37"/>
      <c r="B376" s="8"/>
      <c r="E376" s="38"/>
      <c r="H376" s="38"/>
      <c r="K376" s="38"/>
      <c r="N376" s="38"/>
      <c r="Q376" s="38"/>
      <c r="S376" s="14"/>
    </row>
    <row r="377" spans="1:19" x14ac:dyDescent="0.2">
      <c r="A377" s="37"/>
      <c r="B377" s="8"/>
      <c r="E377" s="38"/>
      <c r="H377" s="38"/>
      <c r="K377" s="38"/>
      <c r="N377" s="38"/>
      <c r="Q377" s="38"/>
      <c r="S377" s="14"/>
    </row>
    <row r="378" spans="1:19" x14ac:dyDescent="0.2">
      <c r="A378" s="37"/>
      <c r="B378" s="8"/>
      <c r="E378" s="38"/>
      <c r="H378" s="38"/>
      <c r="K378" s="38"/>
      <c r="N378" s="38"/>
      <c r="Q378" s="38"/>
      <c r="S378" s="14"/>
    </row>
    <row r="379" spans="1:19" x14ac:dyDescent="0.2">
      <c r="A379" s="37"/>
      <c r="B379" s="8"/>
      <c r="E379" s="38"/>
      <c r="H379" s="38"/>
      <c r="K379" s="38"/>
      <c r="N379" s="38"/>
      <c r="Q379" s="38"/>
      <c r="S379" s="14"/>
    </row>
    <row r="380" spans="1:19" x14ac:dyDescent="0.2">
      <c r="A380" s="37"/>
      <c r="B380" s="8"/>
      <c r="E380" s="38"/>
      <c r="H380" s="38"/>
      <c r="K380" s="38"/>
      <c r="N380" s="38"/>
      <c r="Q380" s="38"/>
      <c r="S380" s="14"/>
    </row>
    <row r="381" spans="1:19" x14ac:dyDescent="0.2">
      <c r="A381" s="37"/>
      <c r="B381" s="8"/>
      <c r="E381" s="38"/>
      <c r="H381" s="38"/>
      <c r="K381" s="38"/>
      <c r="N381" s="38"/>
      <c r="Q381" s="38"/>
      <c r="S381" s="14"/>
    </row>
    <row r="382" spans="1:19" x14ac:dyDescent="0.2">
      <c r="A382" s="37"/>
      <c r="B382" s="8"/>
      <c r="E382" s="38"/>
      <c r="H382" s="38"/>
      <c r="K382" s="38"/>
      <c r="N382" s="38"/>
      <c r="Q382" s="38"/>
      <c r="S382" s="14"/>
    </row>
    <row r="383" spans="1:19" x14ac:dyDescent="0.2">
      <c r="A383" s="37"/>
      <c r="B383" s="8"/>
      <c r="E383" s="38"/>
      <c r="H383" s="38"/>
      <c r="K383" s="38"/>
      <c r="N383" s="38"/>
      <c r="Q383" s="38"/>
      <c r="S383" s="14"/>
    </row>
    <row r="384" spans="1:19" x14ac:dyDescent="0.2">
      <c r="A384" s="37"/>
      <c r="B384" s="8"/>
      <c r="E384" s="38"/>
      <c r="H384" s="38"/>
      <c r="K384" s="38"/>
      <c r="N384" s="38"/>
      <c r="Q384" s="38"/>
      <c r="S384" s="14"/>
    </row>
    <row r="385" spans="1:19" x14ac:dyDescent="0.2">
      <c r="A385" s="37"/>
      <c r="B385" s="8"/>
      <c r="E385" s="38"/>
      <c r="H385" s="38"/>
      <c r="K385" s="38"/>
      <c r="N385" s="38"/>
      <c r="Q385" s="38"/>
      <c r="S385" s="14"/>
    </row>
    <row r="386" spans="1:19" x14ac:dyDescent="0.2">
      <c r="A386" s="37"/>
      <c r="B386" s="8"/>
      <c r="E386" s="38"/>
      <c r="H386" s="38"/>
      <c r="K386" s="38"/>
      <c r="N386" s="38"/>
      <c r="Q386" s="38"/>
      <c r="S386" s="14"/>
    </row>
    <row r="387" spans="1:19" x14ac:dyDescent="0.2">
      <c r="A387" s="37"/>
      <c r="B387" s="8"/>
      <c r="E387" s="38"/>
      <c r="H387" s="38"/>
      <c r="K387" s="38"/>
      <c r="N387" s="38"/>
      <c r="Q387" s="38"/>
      <c r="S387" s="14"/>
    </row>
    <row r="388" spans="1:19" x14ac:dyDescent="0.2">
      <c r="A388" s="37"/>
      <c r="B388" s="8"/>
      <c r="E388" s="38"/>
      <c r="H388" s="38"/>
      <c r="K388" s="38"/>
      <c r="N388" s="38"/>
      <c r="Q388" s="38"/>
      <c r="S388" s="14"/>
    </row>
    <row r="389" spans="1:19" x14ac:dyDescent="0.2">
      <c r="A389" s="37"/>
      <c r="B389" s="8"/>
      <c r="E389" s="38"/>
      <c r="H389" s="38"/>
      <c r="K389" s="38"/>
      <c r="N389" s="38"/>
      <c r="Q389" s="38"/>
      <c r="S389" s="14"/>
    </row>
    <row r="390" spans="1:19" x14ac:dyDescent="0.2">
      <c r="A390" s="37"/>
      <c r="B390" s="8"/>
      <c r="E390" s="38"/>
      <c r="H390" s="38"/>
      <c r="K390" s="38"/>
      <c r="N390" s="38"/>
      <c r="Q390" s="38"/>
      <c r="S390" s="14"/>
    </row>
    <row r="391" spans="1:19" x14ac:dyDescent="0.2">
      <c r="A391" s="37"/>
      <c r="B391" s="8"/>
      <c r="E391" s="38"/>
      <c r="H391" s="38"/>
      <c r="K391" s="38"/>
      <c r="N391" s="38"/>
      <c r="Q391" s="38"/>
      <c r="S391" s="14"/>
    </row>
    <row r="392" spans="1:19" x14ac:dyDescent="0.2">
      <c r="A392" s="37"/>
      <c r="B392" s="8"/>
      <c r="E392" s="38"/>
      <c r="H392" s="38"/>
      <c r="K392" s="38"/>
      <c r="N392" s="38"/>
      <c r="Q392" s="38"/>
      <c r="S392" s="14"/>
    </row>
    <row r="393" spans="1:19" x14ac:dyDescent="0.2">
      <c r="A393" s="37"/>
      <c r="B393" s="8"/>
      <c r="E393" s="38"/>
      <c r="H393" s="38"/>
      <c r="K393" s="38"/>
      <c r="N393" s="38"/>
      <c r="Q393" s="38"/>
      <c r="S393" s="14"/>
    </row>
    <row r="394" spans="1:19" x14ac:dyDescent="0.2">
      <c r="A394" s="37"/>
      <c r="B394" s="8"/>
      <c r="E394" s="38"/>
      <c r="H394" s="38"/>
      <c r="K394" s="38"/>
      <c r="N394" s="38"/>
      <c r="Q394" s="38"/>
      <c r="S394" s="14"/>
    </row>
    <row r="395" spans="1:19" x14ac:dyDescent="0.2">
      <c r="A395" s="37"/>
      <c r="B395" s="8"/>
      <c r="E395" s="38"/>
      <c r="H395" s="38"/>
      <c r="K395" s="38"/>
      <c r="N395" s="38"/>
      <c r="Q395" s="38"/>
      <c r="S395" s="14"/>
    </row>
    <row r="396" spans="1:19" x14ac:dyDescent="0.2">
      <c r="A396" s="37"/>
      <c r="B396" s="8"/>
      <c r="E396" s="38"/>
      <c r="H396" s="38"/>
      <c r="K396" s="38"/>
      <c r="N396" s="38"/>
      <c r="Q396" s="38"/>
      <c r="S396" s="14"/>
    </row>
    <row r="397" spans="1:19" x14ac:dyDescent="0.2">
      <c r="A397" s="37"/>
      <c r="B397" s="8"/>
      <c r="E397" s="38"/>
      <c r="H397" s="38"/>
      <c r="K397" s="38"/>
      <c r="N397" s="38"/>
      <c r="Q397" s="38"/>
      <c r="S397" s="14"/>
    </row>
    <row r="398" spans="1:19" x14ac:dyDescent="0.2">
      <c r="A398" s="37"/>
      <c r="B398" s="8"/>
      <c r="E398" s="38"/>
      <c r="H398" s="38"/>
      <c r="K398" s="38"/>
      <c r="N398" s="38"/>
      <c r="Q398" s="38"/>
      <c r="S398" s="14"/>
    </row>
    <row r="399" spans="1:19" x14ac:dyDescent="0.2">
      <c r="A399" s="37"/>
      <c r="B399" s="8"/>
      <c r="E399" s="38"/>
      <c r="H399" s="38"/>
      <c r="K399" s="38"/>
      <c r="N399" s="38"/>
      <c r="Q399" s="38"/>
      <c r="S399" s="14"/>
    </row>
    <row r="400" spans="1:19" x14ac:dyDescent="0.2">
      <c r="A400" s="37"/>
      <c r="B400" s="8"/>
      <c r="E400" s="38"/>
      <c r="H400" s="38"/>
      <c r="K400" s="38"/>
      <c r="N400" s="38"/>
      <c r="Q400" s="38"/>
      <c r="S400" s="14"/>
    </row>
    <row r="401" spans="1:19" x14ac:dyDescent="0.2">
      <c r="A401" s="37"/>
      <c r="B401" s="8"/>
      <c r="E401" s="38"/>
      <c r="H401" s="38"/>
      <c r="K401" s="38"/>
      <c r="N401" s="38"/>
      <c r="Q401" s="38"/>
      <c r="S401" s="14"/>
    </row>
    <row r="402" spans="1:19" x14ac:dyDescent="0.2">
      <c r="A402" s="37"/>
      <c r="B402" s="8"/>
      <c r="E402" s="38"/>
      <c r="H402" s="38"/>
      <c r="K402" s="38"/>
      <c r="N402" s="38"/>
      <c r="Q402" s="38"/>
      <c r="S402" s="14"/>
    </row>
    <row r="403" spans="1:19" x14ac:dyDescent="0.2">
      <c r="A403" s="37"/>
      <c r="B403" s="8"/>
      <c r="E403" s="38"/>
      <c r="H403" s="38"/>
      <c r="K403" s="38"/>
      <c r="N403" s="38"/>
      <c r="Q403" s="38"/>
      <c r="S403" s="14"/>
    </row>
    <row r="404" spans="1:19" x14ac:dyDescent="0.2">
      <c r="A404" s="37"/>
      <c r="B404" s="8"/>
      <c r="E404" s="38"/>
      <c r="H404" s="38"/>
      <c r="K404" s="38"/>
      <c r="N404" s="38"/>
      <c r="Q404" s="38"/>
      <c r="S404" s="14"/>
    </row>
    <row r="405" spans="1:19" x14ac:dyDescent="0.2">
      <c r="A405" s="37"/>
      <c r="B405" s="8"/>
      <c r="E405" s="38"/>
      <c r="H405" s="38"/>
      <c r="K405" s="38"/>
      <c r="N405" s="38"/>
      <c r="Q405" s="38"/>
      <c r="S405" s="14"/>
    </row>
    <row r="406" spans="1:19" x14ac:dyDescent="0.2">
      <c r="A406" s="37"/>
      <c r="B406" s="8"/>
      <c r="E406" s="38"/>
      <c r="H406" s="38"/>
      <c r="K406" s="38"/>
      <c r="N406" s="38"/>
      <c r="Q406" s="38"/>
      <c r="S406" s="14"/>
    </row>
    <row r="407" spans="1:19" x14ac:dyDescent="0.2">
      <c r="A407" s="37"/>
      <c r="B407" s="8"/>
      <c r="E407" s="38"/>
      <c r="H407" s="38"/>
      <c r="K407" s="38"/>
      <c r="N407" s="38"/>
      <c r="Q407" s="38"/>
      <c r="S407" s="14"/>
    </row>
    <row r="408" spans="1:19" x14ac:dyDescent="0.2">
      <c r="A408" s="37"/>
      <c r="B408" s="8"/>
      <c r="E408" s="38"/>
      <c r="H408" s="38"/>
      <c r="K408" s="38"/>
      <c r="N408" s="38"/>
      <c r="Q408" s="38"/>
      <c r="S408" s="14"/>
    </row>
    <row r="409" spans="1:19" x14ac:dyDescent="0.2">
      <c r="A409" s="37"/>
      <c r="B409" s="8"/>
      <c r="E409" s="38"/>
      <c r="H409" s="38"/>
      <c r="K409" s="38"/>
      <c r="N409" s="38"/>
      <c r="Q409" s="38"/>
      <c r="S409" s="14"/>
    </row>
    <row r="410" spans="1:19" x14ac:dyDescent="0.2">
      <c r="A410" s="37"/>
      <c r="B410" s="8"/>
      <c r="E410" s="38"/>
      <c r="H410" s="38"/>
      <c r="K410" s="38"/>
      <c r="N410" s="38"/>
      <c r="Q410" s="38"/>
      <c r="S410" s="14"/>
    </row>
    <row r="411" spans="1:19" x14ac:dyDescent="0.2">
      <c r="A411" s="37"/>
      <c r="B411" s="8"/>
      <c r="E411" s="38"/>
      <c r="H411" s="38"/>
      <c r="K411" s="38"/>
      <c r="N411" s="38"/>
      <c r="Q411" s="38"/>
      <c r="S411" s="14"/>
    </row>
    <row r="412" spans="1:19" x14ac:dyDescent="0.2">
      <c r="A412" s="37"/>
      <c r="B412" s="8"/>
      <c r="E412" s="38"/>
      <c r="H412" s="38"/>
      <c r="K412" s="38"/>
      <c r="N412" s="38"/>
      <c r="Q412" s="38"/>
      <c r="S412" s="14"/>
    </row>
    <row r="413" spans="1:19" x14ac:dyDescent="0.2">
      <c r="A413" s="37"/>
      <c r="B413" s="8"/>
      <c r="E413" s="38"/>
      <c r="H413" s="38"/>
      <c r="K413" s="38"/>
      <c r="N413" s="38"/>
      <c r="Q413" s="38"/>
      <c r="S413" s="14"/>
    </row>
    <row r="414" spans="1:19" x14ac:dyDescent="0.2">
      <c r="A414" s="37"/>
      <c r="B414" s="8"/>
      <c r="E414" s="38"/>
      <c r="H414" s="38"/>
      <c r="K414" s="38"/>
      <c r="N414" s="38"/>
      <c r="Q414" s="38"/>
      <c r="S414" s="14"/>
    </row>
    <row r="415" spans="1:19" x14ac:dyDescent="0.2">
      <c r="A415" s="37"/>
      <c r="B415" s="8"/>
      <c r="E415" s="38"/>
      <c r="H415" s="38"/>
      <c r="K415" s="38"/>
      <c r="N415" s="38"/>
      <c r="Q415" s="38"/>
      <c r="S415" s="14"/>
    </row>
    <row r="416" spans="1:19" x14ac:dyDescent="0.2">
      <c r="A416" s="37"/>
      <c r="B416" s="8"/>
      <c r="E416" s="38"/>
      <c r="H416" s="38"/>
      <c r="K416" s="38"/>
      <c r="N416" s="38"/>
      <c r="Q416" s="38"/>
      <c r="S416" s="14"/>
    </row>
    <row r="417" spans="1:19" x14ac:dyDescent="0.2">
      <c r="A417" s="37"/>
      <c r="B417" s="8"/>
      <c r="E417" s="38"/>
      <c r="H417" s="38"/>
      <c r="K417" s="38"/>
      <c r="N417" s="38"/>
      <c r="Q417" s="38"/>
      <c r="S417" s="14"/>
    </row>
    <row r="418" spans="1:19" x14ac:dyDescent="0.2">
      <c r="A418" s="37"/>
      <c r="B418" s="8"/>
      <c r="E418" s="38"/>
      <c r="H418" s="38"/>
      <c r="K418" s="38"/>
      <c r="N418" s="38"/>
      <c r="Q418" s="38"/>
      <c r="S418" s="14"/>
    </row>
    <row r="419" spans="1:19" x14ac:dyDescent="0.2">
      <c r="A419" s="37"/>
      <c r="B419" s="8"/>
      <c r="E419" s="38"/>
      <c r="H419" s="38"/>
      <c r="K419" s="38"/>
      <c r="N419" s="38"/>
      <c r="Q419" s="38"/>
      <c r="S419" s="14"/>
    </row>
    <row r="420" spans="1:19" x14ac:dyDescent="0.2">
      <c r="A420" s="37"/>
      <c r="B420" s="8"/>
      <c r="E420" s="38"/>
      <c r="H420" s="38"/>
      <c r="K420" s="38"/>
      <c r="N420" s="38"/>
      <c r="Q420" s="38"/>
      <c r="S420" s="14"/>
    </row>
    <row r="421" spans="1:19" x14ac:dyDescent="0.2">
      <c r="A421" s="37"/>
      <c r="B421" s="8"/>
      <c r="E421" s="38"/>
      <c r="H421" s="38"/>
      <c r="K421" s="38"/>
      <c r="N421" s="38"/>
      <c r="Q421" s="38"/>
      <c r="S421" s="14"/>
    </row>
    <row r="422" spans="1:19" x14ac:dyDescent="0.2">
      <c r="A422" s="37"/>
      <c r="B422" s="8"/>
      <c r="E422" s="38"/>
      <c r="H422" s="38"/>
      <c r="K422" s="38"/>
      <c r="N422" s="38"/>
      <c r="Q422" s="38"/>
      <c r="S422" s="14"/>
    </row>
    <row r="423" spans="1:19" x14ac:dyDescent="0.2">
      <c r="A423" s="37"/>
      <c r="B423" s="8"/>
      <c r="E423" s="38"/>
      <c r="H423" s="38"/>
      <c r="K423" s="38"/>
      <c r="N423" s="38"/>
      <c r="Q423" s="38"/>
      <c r="S423" s="14"/>
    </row>
    <row r="424" spans="1:19" x14ac:dyDescent="0.2">
      <c r="A424" s="37"/>
      <c r="B424" s="8"/>
      <c r="E424" s="38"/>
      <c r="H424" s="38"/>
      <c r="K424" s="38"/>
      <c r="N424" s="38"/>
      <c r="Q424" s="38"/>
      <c r="S424" s="14"/>
    </row>
    <row r="425" spans="1:19" x14ac:dyDescent="0.2">
      <c r="A425" s="37"/>
      <c r="B425" s="8"/>
      <c r="E425" s="38"/>
      <c r="H425" s="38"/>
      <c r="K425" s="38"/>
      <c r="N425" s="38"/>
      <c r="Q425" s="38"/>
      <c r="S425" s="14"/>
    </row>
    <row r="426" spans="1:19" x14ac:dyDescent="0.2">
      <c r="A426" s="37"/>
      <c r="B426" s="8"/>
      <c r="E426" s="38"/>
      <c r="H426" s="38"/>
      <c r="K426" s="38"/>
      <c r="N426" s="38"/>
      <c r="Q426" s="38"/>
      <c r="S426" s="14"/>
    </row>
    <row r="427" spans="1:19" x14ac:dyDescent="0.2">
      <c r="A427" s="37"/>
      <c r="B427" s="8"/>
      <c r="E427" s="38"/>
      <c r="H427" s="38"/>
      <c r="K427" s="38"/>
      <c r="N427" s="38"/>
      <c r="Q427" s="38"/>
      <c r="S427" s="14"/>
    </row>
    <row r="428" spans="1:19" x14ac:dyDescent="0.2">
      <c r="A428" s="37"/>
      <c r="B428" s="8"/>
      <c r="E428" s="38"/>
      <c r="H428" s="38"/>
      <c r="K428" s="38"/>
      <c r="N428" s="38"/>
      <c r="Q428" s="38"/>
      <c r="S428" s="14"/>
    </row>
    <row r="429" spans="1:19" x14ac:dyDescent="0.2">
      <c r="A429" s="37"/>
      <c r="B429" s="8"/>
      <c r="E429" s="38"/>
      <c r="H429" s="38"/>
      <c r="K429" s="38"/>
      <c r="N429" s="38"/>
      <c r="Q429" s="38"/>
      <c r="S429" s="14"/>
    </row>
    <row r="430" spans="1:19" x14ac:dyDescent="0.2">
      <c r="A430" s="37"/>
      <c r="B430" s="8"/>
      <c r="E430" s="38"/>
      <c r="H430" s="38"/>
      <c r="K430" s="38"/>
      <c r="N430" s="38"/>
      <c r="Q430" s="38"/>
      <c r="S430" s="14"/>
    </row>
    <row r="431" spans="1:19" x14ac:dyDescent="0.2">
      <c r="A431" s="37"/>
      <c r="B431" s="8"/>
      <c r="E431" s="38"/>
      <c r="H431" s="38"/>
      <c r="K431" s="38"/>
      <c r="N431" s="38"/>
      <c r="Q431" s="38"/>
      <c r="S431" s="14"/>
    </row>
    <row r="432" spans="1:19" x14ac:dyDescent="0.2">
      <c r="A432" s="37"/>
      <c r="B432" s="8"/>
      <c r="E432" s="38"/>
      <c r="H432" s="38"/>
      <c r="K432" s="38"/>
      <c r="N432" s="38"/>
      <c r="Q432" s="38"/>
      <c r="S432" s="14"/>
    </row>
    <row r="433" spans="1:19" x14ac:dyDescent="0.2">
      <c r="A433" s="37"/>
      <c r="B433" s="8"/>
      <c r="E433" s="38"/>
      <c r="H433" s="38"/>
      <c r="K433" s="38"/>
      <c r="N433" s="38"/>
      <c r="Q433" s="38"/>
      <c r="S433" s="14"/>
    </row>
    <row r="434" spans="1:19" x14ac:dyDescent="0.2">
      <c r="A434" s="37"/>
      <c r="B434" s="8"/>
      <c r="E434" s="38"/>
      <c r="H434" s="38"/>
      <c r="K434" s="38"/>
      <c r="N434" s="38"/>
      <c r="Q434" s="38"/>
      <c r="S434" s="14"/>
    </row>
    <row r="435" spans="1:19" x14ac:dyDescent="0.2">
      <c r="A435" s="37"/>
      <c r="B435" s="8"/>
      <c r="E435" s="38"/>
      <c r="H435" s="38"/>
      <c r="K435" s="38"/>
      <c r="N435" s="38"/>
      <c r="Q435" s="38"/>
      <c r="S435" s="14"/>
    </row>
    <row r="436" spans="1:19" x14ac:dyDescent="0.2">
      <c r="A436" s="37"/>
      <c r="B436" s="8"/>
      <c r="E436" s="38"/>
      <c r="H436" s="38"/>
      <c r="K436" s="38"/>
      <c r="N436" s="38"/>
      <c r="Q436" s="38"/>
      <c r="S436" s="14"/>
    </row>
    <row r="437" spans="1:19" x14ac:dyDescent="0.2">
      <c r="A437" s="37"/>
      <c r="B437" s="8"/>
      <c r="E437" s="38"/>
      <c r="H437" s="38"/>
      <c r="K437" s="38"/>
      <c r="N437" s="38"/>
      <c r="Q437" s="38"/>
      <c r="S437" s="14"/>
    </row>
    <row r="438" spans="1:19" x14ac:dyDescent="0.2">
      <c r="A438" s="37"/>
      <c r="B438" s="8"/>
      <c r="E438" s="38"/>
      <c r="H438" s="38"/>
      <c r="K438" s="38"/>
      <c r="N438" s="38"/>
      <c r="Q438" s="38"/>
      <c r="S438" s="14"/>
    </row>
    <row r="439" spans="1:19" x14ac:dyDescent="0.2">
      <c r="A439" s="37"/>
      <c r="B439" s="8"/>
      <c r="E439" s="38"/>
      <c r="H439" s="38"/>
      <c r="K439" s="38"/>
      <c r="N439" s="38"/>
      <c r="Q439" s="38"/>
      <c r="S439" s="14"/>
    </row>
    <row r="440" spans="1:19" x14ac:dyDescent="0.2">
      <c r="A440" s="37"/>
      <c r="B440" s="8"/>
      <c r="E440" s="38"/>
      <c r="H440" s="38"/>
      <c r="K440" s="38"/>
      <c r="N440" s="38"/>
      <c r="Q440" s="38"/>
      <c r="S440" s="14"/>
    </row>
    <row r="441" spans="1:19" x14ac:dyDescent="0.2">
      <c r="A441" s="37"/>
      <c r="B441" s="8"/>
      <c r="E441" s="38"/>
      <c r="H441" s="38"/>
      <c r="K441" s="38"/>
      <c r="N441" s="38"/>
      <c r="Q441" s="38"/>
      <c r="S441" s="14"/>
    </row>
    <row r="442" spans="1:19" x14ac:dyDescent="0.2">
      <c r="A442" s="37"/>
      <c r="B442" s="8"/>
      <c r="E442" s="38"/>
      <c r="H442" s="38"/>
      <c r="K442" s="38"/>
      <c r="N442" s="38"/>
      <c r="Q442" s="38"/>
      <c r="S442" s="14"/>
    </row>
    <row r="443" spans="1:19" x14ac:dyDescent="0.2">
      <c r="A443" s="37"/>
      <c r="B443" s="8"/>
      <c r="E443" s="38"/>
      <c r="H443" s="38"/>
      <c r="K443" s="38"/>
      <c r="N443" s="38"/>
      <c r="Q443" s="38"/>
      <c r="S443" s="14"/>
    </row>
    <row r="444" spans="1:19" x14ac:dyDescent="0.2">
      <c r="A444" s="37"/>
      <c r="B444" s="8"/>
      <c r="E444" s="38"/>
      <c r="H444" s="38"/>
      <c r="K444" s="38"/>
      <c r="N444" s="38"/>
      <c r="Q444" s="38"/>
      <c r="S444" s="14"/>
    </row>
    <row r="445" spans="1:19" x14ac:dyDescent="0.2">
      <c r="A445" s="37"/>
      <c r="B445" s="8"/>
      <c r="E445" s="38"/>
      <c r="H445" s="38"/>
      <c r="K445" s="38"/>
      <c r="N445" s="38"/>
      <c r="Q445" s="38"/>
      <c r="S445" s="14"/>
    </row>
    <row r="446" spans="1:19" x14ac:dyDescent="0.2">
      <c r="A446" s="37"/>
      <c r="B446" s="8"/>
      <c r="E446" s="38"/>
      <c r="H446" s="38"/>
      <c r="K446" s="38"/>
      <c r="N446" s="38"/>
      <c r="Q446" s="38"/>
      <c r="S446" s="14"/>
    </row>
    <row r="447" spans="1:19" x14ac:dyDescent="0.2">
      <c r="A447" s="37"/>
      <c r="B447" s="8"/>
      <c r="E447" s="38"/>
      <c r="H447" s="38"/>
      <c r="K447" s="38"/>
      <c r="N447" s="38"/>
      <c r="Q447" s="38"/>
      <c r="S447" s="14"/>
    </row>
    <row r="448" spans="1:19" x14ac:dyDescent="0.2">
      <c r="A448" s="37"/>
      <c r="B448" s="8"/>
      <c r="E448" s="38"/>
      <c r="H448" s="38"/>
      <c r="K448" s="38"/>
      <c r="N448" s="38"/>
      <c r="Q448" s="38"/>
      <c r="S448" s="14"/>
    </row>
    <row r="449" spans="1:19" x14ac:dyDescent="0.2">
      <c r="A449" s="37"/>
      <c r="B449" s="8"/>
      <c r="E449" s="38"/>
      <c r="H449" s="38"/>
      <c r="K449" s="38"/>
      <c r="N449" s="38"/>
      <c r="Q449" s="38"/>
      <c r="S449" s="14"/>
    </row>
    <row r="450" spans="1:19" x14ac:dyDescent="0.2">
      <c r="A450" s="37"/>
      <c r="B450" s="8"/>
      <c r="E450" s="38"/>
      <c r="H450" s="38"/>
      <c r="K450" s="38"/>
      <c r="N450" s="38"/>
      <c r="Q450" s="38"/>
      <c r="S450" s="14"/>
    </row>
    <row r="451" spans="1:19" x14ac:dyDescent="0.2">
      <c r="A451" s="37"/>
      <c r="B451" s="8"/>
      <c r="E451" s="38"/>
      <c r="H451" s="38"/>
      <c r="K451" s="38"/>
      <c r="N451" s="38"/>
      <c r="Q451" s="38"/>
      <c r="S451" s="14"/>
    </row>
    <row r="452" spans="1:19" x14ac:dyDescent="0.2">
      <c r="A452" s="37"/>
      <c r="B452" s="8"/>
      <c r="E452" s="38"/>
      <c r="H452" s="38"/>
      <c r="K452" s="38"/>
      <c r="N452" s="38"/>
      <c r="Q452" s="38"/>
      <c r="S452" s="14"/>
    </row>
    <row r="453" spans="1:19" x14ac:dyDescent="0.2">
      <c r="A453" s="37"/>
      <c r="B453" s="8"/>
      <c r="E453" s="38"/>
      <c r="H453" s="38"/>
      <c r="K453" s="38"/>
      <c r="N453" s="38"/>
      <c r="Q453" s="38"/>
      <c r="S453" s="14"/>
    </row>
    <row r="454" spans="1:19" x14ac:dyDescent="0.2">
      <c r="A454" s="37"/>
      <c r="B454" s="8"/>
      <c r="E454" s="38"/>
      <c r="H454" s="38"/>
      <c r="K454" s="38"/>
      <c r="N454" s="38"/>
      <c r="Q454" s="38"/>
      <c r="S454" s="14"/>
    </row>
    <row r="455" spans="1:19" x14ac:dyDescent="0.2">
      <c r="A455" s="37"/>
      <c r="B455" s="8"/>
      <c r="E455" s="38"/>
      <c r="H455" s="38"/>
      <c r="K455" s="38"/>
      <c r="N455" s="38"/>
      <c r="Q455" s="38"/>
      <c r="S455" s="14"/>
    </row>
    <row r="456" spans="1:19" x14ac:dyDescent="0.2">
      <c r="A456" s="37"/>
      <c r="B456" s="8"/>
      <c r="E456" s="38"/>
      <c r="H456" s="38"/>
      <c r="K456" s="38"/>
      <c r="N456" s="38"/>
      <c r="Q456" s="38"/>
      <c r="S456" s="14"/>
    </row>
    <row r="457" spans="1:19" x14ac:dyDescent="0.2">
      <c r="A457" s="37"/>
      <c r="B457" s="8"/>
      <c r="E457" s="38"/>
      <c r="H457" s="38"/>
      <c r="K457" s="38"/>
      <c r="N457" s="38"/>
      <c r="Q457" s="38"/>
      <c r="S457" s="14"/>
    </row>
    <row r="458" spans="1:19" x14ac:dyDescent="0.2">
      <c r="A458" s="37"/>
      <c r="B458" s="8"/>
      <c r="E458" s="38"/>
      <c r="H458" s="38"/>
      <c r="K458" s="38"/>
      <c r="N458" s="38"/>
      <c r="Q458" s="38"/>
      <c r="S458" s="14"/>
    </row>
    <row r="459" spans="1:19" x14ac:dyDescent="0.2">
      <c r="A459" s="37"/>
      <c r="B459" s="8"/>
      <c r="E459" s="38"/>
      <c r="H459" s="38"/>
      <c r="K459" s="38"/>
      <c r="N459" s="38"/>
      <c r="Q459" s="38"/>
      <c r="S459" s="14"/>
    </row>
    <row r="460" spans="1:19" x14ac:dyDescent="0.2">
      <c r="A460" s="37"/>
      <c r="B460" s="8"/>
      <c r="E460" s="38"/>
      <c r="H460" s="38"/>
      <c r="K460" s="38"/>
      <c r="N460" s="38"/>
      <c r="Q460" s="38"/>
      <c r="S460" s="14"/>
    </row>
    <row r="461" spans="1:19" x14ac:dyDescent="0.2">
      <c r="A461" s="37"/>
      <c r="B461" s="8"/>
      <c r="E461" s="38"/>
      <c r="H461" s="38"/>
      <c r="K461" s="38"/>
      <c r="N461" s="38"/>
      <c r="Q461" s="38"/>
      <c r="S461" s="14"/>
    </row>
    <row r="462" spans="1:19" x14ac:dyDescent="0.2">
      <c r="A462" s="37"/>
      <c r="B462" s="8"/>
      <c r="E462" s="38"/>
      <c r="H462" s="38"/>
      <c r="K462" s="38"/>
      <c r="N462" s="38"/>
      <c r="Q462" s="38"/>
      <c r="S462" s="14"/>
    </row>
    <row r="463" spans="1:19" x14ac:dyDescent="0.2">
      <c r="A463" s="37"/>
      <c r="B463" s="8"/>
      <c r="E463" s="38"/>
      <c r="H463" s="38"/>
      <c r="K463" s="38"/>
      <c r="N463" s="38"/>
      <c r="Q463" s="38"/>
      <c r="S463" s="14"/>
    </row>
    <row r="464" spans="1:19" x14ac:dyDescent="0.2">
      <c r="A464" s="37"/>
      <c r="B464" s="8"/>
      <c r="E464" s="38"/>
      <c r="H464" s="38"/>
      <c r="K464" s="38"/>
      <c r="N464" s="38"/>
      <c r="Q464" s="38"/>
      <c r="S464" s="14"/>
    </row>
    <row r="465" spans="1:19" x14ac:dyDescent="0.2">
      <c r="A465" s="37"/>
      <c r="B465" s="8"/>
      <c r="E465" s="38"/>
      <c r="H465" s="38"/>
      <c r="K465" s="38"/>
      <c r="N465" s="38"/>
      <c r="Q465" s="38"/>
      <c r="S465" s="14"/>
    </row>
    <row r="466" spans="1:19" x14ac:dyDescent="0.2">
      <c r="A466" s="37"/>
      <c r="B466" s="8"/>
      <c r="E466" s="38"/>
      <c r="H466" s="38"/>
      <c r="K466" s="38"/>
      <c r="N466" s="38"/>
      <c r="Q466" s="38"/>
      <c r="S466" s="14"/>
    </row>
    <row r="467" spans="1:19" x14ac:dyDescent="0.2">
      <c r="A467" s="37"/>
      <c r="B467" s="8"/>
      <c r="E467" s="38"/>
      <c r="H467" s="38"/>
      <c r="K467" s="38"/>
      <c r="N467" s="38"/>
      <c r="Q467" s="38"/>
      <c r="S467" s="14"/>
    </row>
    <row r="468" spans="1:19" x14ac:dyDescent="0.2">
      <c r="A468" s="37"/>
      <c r="B468" s="8"/>
      <c r="E468" s="38"/>
      <c r="H468" s="38"/>
      <c r="K468" s="38"/>
      <c r="N468" s="38"/>
      <c r="Q468" s="38"/>
      <c r="S468" s="14"/>
    </row>
    <row r="469" spans="1:19" x14ac:dyDescent="0.2">
      <c r="A469" s="37"/>
      <c r="B469" s="8"/>
      <c r="E469" s="38"/>
      <c r="H469" s="38"/>
      <c r="K469" s="38"/>
      <c r="N469" s="38"/>
      <c r="Q469" s="38"/>
      <c r="S469" s="14"/>
    </row>
    <row r="470" spans="1:19" x14ac:dyDescent="0.2">
      <c r="A470" s="37"/>
      <c r="B470" s="8"/>
      <c r="E470" s="38"/>
      <c r="H470" s="38"/>
      <c r="K470" s="38"/>
      <c r="N470" s="38"/>
      <c r="Q470" s="38"/>
      <c r="S470" s="14"/>
    </row>
    <row r="471" spans="1:19" x14ac:dyDescent="0.2">
      <c r="A471" s="37"/>
      <c r="B471" s="8"/>
      <c r="E471" s="38"/>
      <c r="H471" s="38"/>
      <c r="K471" s="38"/>
      <c r="N471" s="38"/>
      <c r="Q471" s="38"/>
      <c r="S471" s="14"/>
    </row>
    <row r="472" spans="1:19" x14ac:dyDescent="0.2">
      <c r="A472" s="37"/>
      <c r="B472" s="8"/>
      <c r="E472" s="38"/>
      <c r="H472" s="38"/>
      <c r="K472" s="38"/>
      <c r="N472" s="38"/>
      <c r="Q472" s="38"/>
      <c r="S472" s="14"/>
    </row>
    <row r="473" spans="1:19" x14ac:dyDescent="0.2">
      <c r="A473" s="37"/>
      <c r="B473" s="8"/>
      <c r="E473" s="38"/>
      <c r="H473" s="38"/>
      <c r="K473" s="38"/>
      <c r="N473" s="38"/>
      <c r="Q473" s="38"/>
      <c r="S473" s="14"/>
    </row>
    <row r="474" spans="1:19" x14ac:dyDescent="0.2">
      <c r="A474" s="37"/>
      <c r="B474" s="8"/>
      <c r="E474" s="38"/>
      <c r="H474" s="38"/>
      <c r="K474" s="38"/>
      <c r="N474" s="38"/>
      <c r="Q474" s="38"/>
      <c r="S474" s="14"/>
    </row>
    <row r="475" spans="1:19" x14ac:dyDescent="0.2">
      <c r="A475" s="37"/>
      <c r="B475" s="8"/>
      <c r="E475" s="38"/>
      <c r="H475" s="38"/>
      <c r="K475" s="38"/>
      <c r="N475" s="38"/>
      <c r="Q475" s="38"/>
      <c r="S475" s="14"/>
    </row>
    <row r="476" spans="1:19" x14ac:dyDescent="0.2">
      <c r="A476" s="37"/>
      <c r="B476" s="8"/>
      <c r="E476" s="38"/>
      <c r="H476" s="38"/>
      <c r="K476" s="38"/>
      <c r="N476" s="38"/>
      <c r="Q476" s="38"/>
      <c r="S476" s="14"/>
    </row>
    <row r="477" spans="1:19" x14ac:dyDescent="0.2">
      <c r="A477" s="37"/>
      <c r="B477" s="8"/>
      <c r="E477" s="38"/>
      <c r="H477" s="38"/>
      <c r="K477" s="38"/>
      <c r="N477" s="38"/>
      <c r="Q477" s="38"/>
      <c r="S477" s="14"/>
    </row>
    <row r="478" spans="1:19" x14ac:dyDescent="0.2">
      <c r="A478" s="37"/>
      <c r="B478" s="8"/>
      <c r="E478" s="38"/>
      <c r="H478" s="38"/>
      <c r="K478" s="38"/>
      <c r="N478" s="38"/>
      <c r="Q478" s="38"/>
      <c r="S478" s="14"/>
    </row>
    <row r="479" spans="1:19" x14ac:dyDescent="0.2">
      <c r="A479" s="37"/>
      <c r="B479" s="8"/>
      <c r="E479" s="38"/>
      <c r="H479" s="38"/>
      <c r="K479" s="38"/>
      <c r="N479" s="38"/>
      <c r="Q479" s="38"/>
      <c r="S479" s="14"/>
    </row>
    <row r="480" spans="1:19" x14ac:dyDescent="0.2">
      <c r="A480" s="37"/>
      <c r="B480" s="8"/>
      <c r="E480" s="38"/>
      <c r="H480" s="38"/>
      <c r="K480" s="38"/>
      <c r="N480" s="38"/>
      <c r="Q480" s="38"/>
      <c r="S480" s="14"/>
    </row>
    <row r="481" spans="1:19" x14ac:dyDescent="0.2">
      <c r="A481" s="37"/>
      <c r="B481" s="8"/>
      <c r="E481" s="38"/>
      <c r="H481" s="38"/>
      <c r="K481" s="38"/>
      <c r="N481" s="38"/>
      <c r="Q481" s="38"/>
      <c r="S481" s="14"/>
    </row>
    <row r="482" spans="1:19" x14ac:dyDescent="0.2">
      <c r="A482" s="37"/>
      <c r="B482" s="8"/>
      <c r="E482" s="38"/>
      <c r="H482" s="38"/>
      <c r="K482" s="38"/>
      <c r="N482" s="38"/>
      <c r="Q482" s="38"/>
      <c r="S482" s="14"/>
    </row>
    <row r="483" spans="1:19" x14ac:dyDescent="0.2">
      <c r="A483" s="37"/>
      <c r="B483" s="8"/>
      <c r="E483" s="38"/>
      <c r="H483" s="38"/>
      <c r="K483" s="38"/>
      <c r="N483" s="38"/>
      <c r="Q483" s="38"/>
      <c r="S483" s="14"/>
    </row>
    <row r="484" spans="1:19" x14ac:dyDescent="0.2">
      <c r="A484" s="37"/>
      <c r="B484" s="8"/>
      <c r="E484" s="38"/>
      <c r="H484" s="38"/>
      <c r="K484" s="38"/>
      <c r="N484" s="38"/>
      <c r="Q484" s="38"/>
      <c r="S484" s="14"/>
    </row>
    <row r="485" spans="1:19" x14ac:dyDescent="0.2">
      <c r="A485" s="37"/>
      <c r="B485" s="8"/>
      <c r="E485" s="38"/>
      <c r="H485" s="38"/>
      <c r="K485" s="38"/>
      <c r="N485" s="38"/>
      <c r="Q485" s="38"/>
      <c r="S485" s="14"/>
    </row>
    <row r="486" spans="1:19" x14ac:dyDescent="0.2">
      <c r="A486" s="37"/>
      <c r="B486" s="8"/>
      <c r="E486" s="38"/>
      <c r="H486" s="38"/>
      <c r="K486" s="38"/>
      <c r="N486" s="38"/>
      <c r="Q486" s="38"/>
      <c r="S486" s="14"/>
    </row>
    <row r="487" spans="1:19" x14ac:dyDescent="0.2">
      <c r="A487" s="37"/>
      <c r="B487" s="8"/>
      <c r="E487" s="38"/>
      <c r="H487" s="38"/>
      <c r="K487" s="38"/>
      <c r="N487" s="38"/>
      <c r="Q487" s="38"/>
      <c r="S487" s="14"/>
    </row>
    <row r="488" spans="1:19" x14ac:dyDescent="0.2">
      <c r="A488" s="37"/>
      <c r="B488" s="8"/>
      <c r="E488" s="38"/>
      <c r="H488" s="38"/>
      <c r="K488" s="38"/>
      <c r="N488" s="38"/>
      <c r="Q488" s="38"/>
      <c r="S488" s="14"/>
    </row>
    <row r="489" spans="1:19" x14ac:dyDescent="0.2">
      <c r="A489" s="37"/>
      <c r="B489" s="8"/>
      <c r="E489" s="38"/>
      <c r="H489" s="38"/>
      <c r="K489" s="38"/>
      <c r="N489" s="38"/>
      <c r="Q489" s="38"/>
      <c r="S489" s="14"/>
    </row>
    <row r="490" spans="1:19" x14ac:dyDescent="0.2">
      <c r="A490" s="37"/>
      <c r="B490" s="8"/>
      <c r="E490" s="38"/>
      <c r="H490" s="38"/>
      <c r="K490" s="38"/>
      <c r="N490" s="38"/>
      <c r="Q490" s="38"/>
      <c r="S490" s="14"/>
    </row>
    <row r="491" spans="1:19" x14ac:dyDescent="0.2">
      <c r="A491" s="37"/>
      <c r="B491" s="8"/>
      <c r="E491" s="38"/>
      <c r="H491" s="38"/>
      <c r="K491" s="38"/>
      <c r="N491" s="38"/>
      <c r="Q491" s="38"/>
      <c r="S491" s="14"/>
    </row>
    <row r="492" spans="1:19" x14ac:dyDescent="0.2">
      <c r="A492" s="37"/>
      <c r="B492" s="8"/>
      <c r="E492" s="38"/>
      <c r="H492" s="38"/>
      <c r="K492" s="38"/>
      <c r="N492" s="38"/>
      <c r="Q492" s="38"/>
      <c r="S492" s="14"/>
    </row>
    <row r="493" spans="1:19" x14ac:dyDescent="0.2">
      <c r="A493" s="37"/>
      <c r="B493" s="8"/>
      <c r="E493" s="38"/>
      <c r="H493" s="38"/>
      <c r="K493" s="38"/>
      <c r="N493" s="38"/>
      <c r="Q493" s="38"/>
      <c r="S493" s="14"/>
    </row>
    <row r="494" spans="1:19" x14ac:dyDescent="0.2">
      <c r="A494" s="37"/>
      <c r="B494" s="8"/>
      <c r="E494" s="38"/>
      <c r="H494" s="38"/>
      <c r="K494" s="38"/>
      <c r="N494" s="38"/>
      <c r="Q494" s="38"/>
      <c r="S494" s="14"/>
    </row>
    <row r="495" spans="1:19" x14ac:dyDescent="0.2">
      <c r="A495" s="37"/>
      <c r="B495" s="8"/>
      <c r="E495" s="38"/>
      <c r="H495" s="38"/>
      <c r="K495" s="38"/>
      <c r="N495" s="38"/>
      <c r="Q495" s="38"/>
      <c r="S495" s="14"/>
    </row>
    <row r="496" spans="1:19" x14ac:dyDescent="0.2">
      <c r="A496" s="37"/>
      <c r="B496" s="8"/>
      <c r="E496" s="38"/>
      <c r="H496" s="38"/>
      <c r="K496" s="38"/>
      <c r="N496" s="38"/>
      <c r="Q496" s="38"/>
      <c r="S496" s="14"/>
    </row>
    <row r="497" spans="1:19" x14ac:dyDescent="0.2">
      <c r="A497" s="37"/>
      <c r="B497" s="8"/>
      <c r="E497" s="38"/>
      <c r="H497" s="38"/>
      <c r="K497" s="38"/>
      <c r="N497" s="38"/>
      <c r="Q497" s="38"/>
      <c r="S497" s="14"/>
    </row>
    <row r="498" spans="1:19" x14ac:dyDescent="0.2">
      <c r="A498" s="37"/>
      <c r="B498" s="8"/>
      <c r="E498" s="38"/>
      <c r="H498" s="38"/>
      <c r="K498" s="38"/>
      <c r="N498" s="38"/>
      <c r="Q498" s="38"/>
      <c r="S498" s="14"/>
    </row>
    <row r="499" spans="1:19" x14ac:dyDescent="0.2">
      <c r="A499" s="37"/>
      <c r="B499" s="8"/>
      <c r="E499" s="38"/>
      <c r="H499" s="38"/>
      <c r="K499" s="38"/>
      <c r="N499" s="38"/>
      <c r="Q499" s="38"/>
      <c r="S499" s="14"/>
    </row>
    <row r="500" spans="1:19" x14ac:dyDescent="0.2">
      <c r="A500" s="37"/>
      <c r="B500" s="8"/>
      <c r="E500" s="38"/>
      <c r="H500" s="38"/>
      <c r="K500" s="38"/>
      <c r="N500" s="38"/>
      <c r="Q500" s="38"/>
      <c r="S500" s="14"/>
    </row>
    <row r="501" spans="1:19" x14ac:dyDescent="0.2">
      <c r="A501" s="37"/>
      <c r="B501" s="8"/>
      <c r="E501" s="38"/>
      <c r="H501" s="38"/>
      <c r="K501" s="38"/>
      <c r="N501" s="38"/>
      <c r="Q501" s="38"/>
      <c r="S501" s="14"/>
    </row>
    <row r="502" spans="1:19" x14ac:dyDescent="0.2">
      <c r="A502" s="37"/>
      <c r="B502" s="8"/>
      <c r="E502" s="38"/>
      <c r="H502" s="38"/>
      <c r="K502" s="38"/>
      <c r="N502" s="38"/>
      <c r="Q502" s="38"/>
      <c r="S502" s="14"/>
    </row>
    <row r="503" spans="1:19" x14ac:dyDescent="0.2">
      <c r="A503" s="37"/>
      <c r="B503" s="8"/>
      <c r="E503" s="38"/>
      <c r="H503" s="38"/>
      <c r="K503" s="38"/>
      <c r="N503" s="38"/>
      <c r="Q503" s="38"/>
      <c r="S503" s="14"/>
    </row>
    <row r="504" spans="1:19" x14ac:dyDescent="0.2">
      <c r="A504" s="37"/>
      <c r="B504" s="8"/>
      <c r="E504" s="38"/>
      <c r="H504" s="38"/>
      <c r="K504" s="38"/>
      <c r="N504" s="38"/>
      <c r="Q504" s="38"/>
      <c r="S504" s="14"/>
    </row>
    <row r="505" spans="1:19" x14ac:dyDescent="0.2">
      <c r="A505" s="37"/>
      <c r="B505" s="8"/>
      <c r="E505" s="38"/>
      <c r="H505" s="38"/>
      <c r="K505" s="38"/>
      <c r="N505" s="38"/>
      <c r="Q505" s="38"/>
      <c r="S505" s="14"/>
    </row>
    <row r="506" spans="1:19" x14ac:dyDescent="0.2">
      <c r="A506" s="37"/>
      <c r="B506" s="8"/>
      <c r="E506" s="38"/>
      <c r="H506" s="38"/>
      <c r="K506" s="38"/>
      <c r="N506" s="38"/>
      <c r="Q506" s="38"/>
      <c r="S506" s="14"/>
    </row>
    <row r="507" spans="1:19" x14ac:dyDescent="0.2">
      <c r="A507" s="37"/>
      <c r="B507" s="8"/>
      <c r="E507" s="38"/>
      <c r="H507" s="38"/>
      <c r="K507" s="38"/>
      <c r="N507" s="38"/>
      <c r="Q507" s="38"/>
      <c r="S507" s="14"/>
    </row>
    <row r="508" spans="1:19" x14ac:dyDescent="0.2">
      <c r="A508" s="37"/>
      <c r="B508" s="8"/>
      <c r="E508" s="38"/>
      <c r="H508" s="38"/>
      <c r="K508" s="38"/>
      <c r="N508" s="38"/>
      <c r="Q508" s="38"/>
      <c r="S508" s="14"/>
    </row>
    <row r="509" spans="1:19" x14ac:dyDescent="0.2">
      <c r="A509" s="37"/>
      <c r="B509" s="8"/>
      <c r="E509" s="38"/>
      <c r="H509" s="38"/>
      <c r="K509" s="38"/>
      <c r="N509" s="38"/>
      <c r="Q509" s="38"/>
      <c r="S509" s="14"/>
    </row>
    <row r="510" spans="1:19" x14ac:dyDescent="0.2">
      <c r="A510" s="37"/>
      <c r="B510" s="8"/>
      <c r="E510" s="38"/>
      <c r="H510" s="38"/>
      <c r="K510" s="38"/>
      <c r="N510" s="38"/>
      <c r="Q510" s="38"/>
      <c r="S510" s="14"/>
    </row>
    <row r="511" spans="1:19" x14ac:dyDescent="0.2">
      <c r="A511" s="37"/>
      <c r="B511" s="8"/>
      <c r="E511" s="38"/>
      <c r="H511" s="38"/>
      <c r="K511" s="38"/>
      <c r="N511" s="38"/>
      <c r="Q511" s="38"/>
      <c r="S511" s="14"/>
    </row>
    <row r="512" spans="1:19" x14ac:dyDescent="0.2">
      <c r="A512" s="37"/>
      <c r="B512" s="8"/>
      <c r="E512" s="38"/>
      <c r="H512" s="38"/>
      <c r="K512" s="38"/>
      <c r="N512" s="38"/>
      <c r="Q512" s="38"/>
      <c r="S512" s="14"/>
    </row>
    <row r="513" spans="1:19" x14ac:dyDescent="0.2">
      <c r="A513" s="37"/>
      <c r="B513" s="8"/>
      <c r="E513" s="38"/>
      <c r="H513" s="38"/>
      <c r="K513" s="38"/>
      <c r="N513" s="38"/>
      <c r="Q513" s="38"/>
      <c r="S513" s="14"/>
    </row>
    <row r="514" spans="1:19" x14ac:dyDescent="0.2">
      <c r="A514" s="37"/>
      <c r="B514" s="8"/>
      <c r="E514" s="38"/>
      <c r="H514" s="38"/>
      <c r="K514" s="38"/>
      <c r="N514" s="38"/>
      <c r="Q514" s="38"/>
      <c r="S514" s="14"/>
    </row>
    <row r="515" spans="1:19" x14ac:dyDescent="0.2">
      <c r="A515" s="37"/>
      <c r="B515" s="8"/>
      <c r="E515" s="38"/>
      <c r="H515" s="38"/>
      <c r="K515" s="38"/>
      <c r="N515" s="38"/>
      <c r="Q515" s="38"/>
      <c r="S515" s="14"/>
    </row>
    <row r="516" spans="1:19" x14ac:dyDescent="0.2">
      <c r="A516" s="37"/>
      <c r="B516" s="8"/>
      <c r="E516" s="38"/>
      <c r="H516" s="38"/>
      <c r="K516" s="38"/>
      <c r="N516" s="38"/>
      <c r="Q516" s="38"/>
      <c r="S516" s="14"/>
    </row>
    <row r="517" spans="1:19" x14ac:dyDescent="0.2">
      <c r="A517" s="37"/>
      <c r="B517" s="8"/>
      <c r="E517" s="38"/>
      <c r="H517" s="38"/>
      <c r="K517" s="38"/>
      <c r="N517" s="38"/>
      <c r="Q517" s="38"/>
      <c r="S517" s="14"/>
    </row>
    <row r="518" spans="1:19" x14ac:dyDescent="0.2">
      <c r="A518" s="37"/>
      <c r="B518" s="8"/>
      <c r="E518" s="38"/>
      <c r="H518" s="38"/>
      <c r="K518" s="38"/>
      <c r="N518" s="38"/>
      <c r="Q518" s="38"/>
      <c r="S518" s="14"/>
    </row>
    <row r="519" spans="1:19" x14ac:dyDescent="0.2">
      <c r="A519" s="37"/>
      <c r="B519" s="8"/>
      <c r="E519" s="38"/>
      <c r="H519" s="38"/>
      <c r="K519" s="38"/>
      <c r="N519" s="38"/>
      <c r="Q519" s="38"/>
      <c r="S519" s="14"/>
    </row>
    <row r="520" spans="1:19" x14ac:dyDescent="0.2">
      <c r="A520" s="37"/>
      <c r="B520" s="8"/>
      <c r="E520" s="38"/>
      <c r="H520" s="38"/>
      <c r="K520" s="38"/>
      <c r="N520" s="38"/>
      <c r="Q520" s="38"/>
      <c r="S520" s="14"/>
    </row>
    <row r="521" spans="1:19" x14ac:dyDescent="0.2">
      <c r="A521" s="37"/>
      <c r="B521" s="8"/>
      <c r="E521" s="38"/>
      <c r="H521" s="38"/>
      <c r="K521" s="38"/>
      <c r="N521" s="38"/>
      <c r="Q521" s="38"/>
      <c r="S521" s="14"/>
    </row>
    <row r="522" spans="1:19" x14ac:dyDescent="0.2">
      <c r="A522" s="37"/>
      <c r="B522" s="8"/>
      <c r="E522" s="38"/>
      <c r="H522" s="38"/>
      <c r="K522" s="38"/>
      <c r="N522" s="38"/>
      <c r="Q522" s="38"/>
      <c r="S522" s="14"/>
    </row>
    <row r="523" spans="1:19" x14ac:dyDescent="0.2">
      <c r="A523" s="37"/>
      <c r="B523" s="8"/>
      <c r="E523" s="38"/>
      <c r="H523" s="38"/>
      <c r="K523" s="38"/>
      <c r="N523" s="38"/>
      <c r="Q523" s="38"/>
      <c r="S523" s="14"/>
    </row>
    <row r="524" spans="1:19" x14ac:dyDescent="0.2">
      <c r="A524" s="37"/>
      <c r="B524" s="8"/>
      <c r="E524" s="38"/>
      <c r="H524" s="38"/>
      <c r="K524" s="38"/>
      <c r="N524" s="38"/>
      <c r="Q524" s="38"/>
      <c r="S524" s="14"/>
    </row>
    <row r="525" spans="1:19" x14ac:dyDescent="0.2">
      <c r="A525" s="37"/>
      <c r="B525" s="8"/>
      <c r="E525" s="38"/>
      <c r="H525" s="38"/>
      <c r="K525" s="38"/>
      <c r="N525" s="38"/>
      <c r="Q525" s="38"/>
      <c r="S525" s="14"/>
    </row>
    <row r="526" spans="1:19" x14ac:dyDescent="0.2">
      <c r="A526" s="37"/>
      <c r="B526" s="8"/>
      <c r="E526" s="38"/>
      <c r="H526" s="38"/>
      <c r="K526" s="38"/>
      <c r="N526" s="38"/>
      <c r="Q526" s="38"/>
      <c r="S526" s="14"/>
    </row>
    <row r="527" spans="1:19" x14ac:dyDescent="0.2">
      <c r="A527" s="37"/>
      <c r="B527" s="8"/>
      <c r="E527" s="38"/>
      <c r="H527" s="38"/>
      <c r="K527" s="38"/>
      <c r="N527" s="38"/>
      <c r="Q527" s="38"/>
      <c r="S527" s="14"/>
    </row>
    <row r="528" spans="1:19" x14ac:dyDescent="0.2">
      <c r="A528" s="37"/>
      <c r="B528" s="8"/>
      <c r="E528" s="38"/>
      <c r="H528" s="38"/>
      <c r="K528" s="38"/>
      <c r="N528" s="38"/>
      <c r="Q528" s="38"/>
      <c r="S528" s="14"/>
    </row>
    <row r="529" spans="1:19" x14ac:dyDescent="0.2">
      <c r="A529" s="37"/>
      <c r="B529" s="8"/>
      <c r="E529" s="38"/>
      <c r="H529" s="38"/>
      <c r="K529" s="38"/>
      <c r="N529" s="38"/>
      <c r="Q529" s="38"/>
      <c r="S529" s="14"/>
    </row>
    <row r="530" spans="1:19" x14ac:dyDescent="0.2">
      <c r="A530" s="37"/>
      <c r="B530" s="8"/>
      <c r="E530" s="38"/>
      <c r="H530" s="38"/>
      <c r="K530" s="38"/>
      <c r="N530" s="38"/>
      <c r="Q530" s="38"/>
      <c r="S530" s="14"/>
    </row>
    <row r="531" spans="1:19" x14ac:dyDescent="0.2">
      <c r="A531" s="37"/>
      <c r="B531" s="8"/>
      <c r="E531" s="38"/>
      <c r="H531" s="38"/>
      <c r="K531" s="38"/>
      <c r="N531" s="38"/>
      <c r="Q531" s="38"/>
      <c r="S531" s="14"/>
    </row>
    <row r="532" spans="1:19" x14ac:dyDescent="0.2">
      <c r="A532" s="37"/>
      <c r="B532" s="8"/>
      <c r="E532" s="38"/>
      <c r="H532" s="38"/>
      <c r="K532" s="38"/>
      <c r="N532" s="38"/>
      <c r="Q532" s="38"/>
      <c r="S532" s="14"/>
    </row>
    <row r="533" spans="1:19" x14ac:dyDescent="0.2">
      <c r="A533" s="37"/>
      <c r="B533" s="8"/>
      <c r="E533" s="38"/>
      <c r="H533" s="38"/>
      <c r="K533" s="38"/>
      <c r="N533" s="38"/>
      <c r="Q533" s="38"/>
      <c r="S533" s="14"/>
    </row>
    <row r="534" spans="1:19" x14ac:dyDescent="0.2">
      <c r="A534" s="37"/>
      <c r="B534" s="8"/>
      <c r="E534" s="38"/>
      <c r="H534" s="38"/>
      <c r="K534" s="38"/>
      <c r="N534" s="38"/>
      <c r="Q534" s="38"/>
      <c r="S534" s="14"/>
    </row>
    <row r="535" spans="1:19" x14ac:dyDescent="0.2">
      <c r="A535" s="37"/>
      <c r="B535" s="8"/>
      <c r="E535" s="38"/>
      <c r="H535" s="38"/>
      <c r="K535" s="38"/>
      <c r="N535" s="38"/>
      <c r="Q535" s="38"/>
      <c r="S535" s="14"/>
    </row>
    <row r="536" spans="1:19" x14ac:dyDescent="0.2">
      <c r="A536" s="37"/>
      <c r="B536" s="8"/>
      <c r="E536" s="38"/>
      <c r="H536" s="38"/>
      <c r="K536" s="38"/>
      <c r="N536" s="38"/>
      <c r="Q536" s="38"/>
      <c r="S536" s="14"/>
    </row>
    <row r="537" spans="1:19" x14ac:dyDescent="0.2">
      <c r="A537" s="37"/>
      <c r="B537" s="8"/>
      <c r="E537" s="38"/>
      <c r="H537" s="38"/>
      <c r="K537" s="38"/>
      <c r="N537" s="38"/>
      <c r="Q537" s="38"/>
      <c r="S537" s="14"/>
    </row>
    <row r="538" spans="1:19" x14ac:dyDescent="0.2">
      <c r="A538" s="37"/>
      <c r="B538" s="8"/>
      <c r="E538" s="38"/>
      <c r="H538" s="38"/>
      <c r="K538" s="38"/>
      <c r="N538" s="38"/>
      <c r="Q538" s="38"/>
      <c r="S538" s="14"/>
    </row>
    <row r="539" spans="1:19" x14ac:dyDescent="0.2">
      <c r="A539" s="37"/>
      <c r="B539" s="8"/>
      <c r="E539" s="38"/>
      <c r="H539" s="38"/>
      <c r="K539" s="38"/>
      <c r="N539" s="38"/>
      <c r="Q539" s="38"/>
      <c r="S539" s="14"/>
    </row>
    <row r="540" spans="1:19" x14ac:dyDescent="0.2">
      <c r="A540" s="37"/>
      <c r="B540" s="8"/>
      <c r="E540" s="38"/>
      <c r="H540" s="38"/>
      <c r="K540" s="38"/>
      <c r="N540" s="38"/>
      <c r="Q540" s="38"/>
      <c r="S540" s="14"/>
    </row>
    <row r="541" spans="1:19" x14ac:dyDescent="0.2">
      <c r="A541" s="37"/>
      <c r="B541" s="8"/>
      <c r="E541" s="38"/>
      <c r="H541" s="38"/>
      <c r="K541" s="38"/>
      <c r="N541" s="38"/>
      <c r="Q541" s="38"/>
      <c r="S541" s="14"/>
    </row>
    <row r="542" spans="1:19" x14ac:dyDescent="0.2">
      <c r="A542" s="37"/>
      <c r="B542" s="8"/>
      <c r="E542" s="38"/>
      <c r="H542" s="38"/>
      <c r="K542" s="38"/>
      <c r="N542" s="38"/>
      <c r="Q542" s="38"/>
      <c r="S542" s="14"/>
    </row>
    <row r="543" spans="1:19" x14ac:dyDescent="0.2">
      <c r="A543" s="37"/>
      <c r="B543" s="8"/>
      <c r="E543" s="38"/>
      <c r="H543" s="38"/>
      <c r="K543" s="38"/>
      <c r="N543" s="38"/>
      <c r="Q543" s="38"/>
      <c r="S543" s="14"/>
    </row>
    <row r="544" spans="1:19" x14ac:dyDescent="0.2">
      <c r="A544" s="37"/>
      <c r="B544" s="8"/>
      <c r="E544" s="38"/>
      <c r="H544" s="38"/>
      <c r="K544" s="38"/>
      <c r="N544" s="38"/>
      <c r="Q544" s="38"/>
      <c r="S544" s="14"/>
    </row>
    <row r="545" spans="1:19" x14ac:dyDescent="0.2">
      <c r="A545" s="37"/>
      <c r="B545" s="8"/>
      <c r="E545" s="38"/>
      <c r="H545" s="38"/>
      <c r="K545" s="38"/>
      <c r="N545" s="38"/>
      <c r="Q545" s="38"/>
      <c r="S545" s="14"/>
    </row>
    <row r="546" spans="1:19" x14ac:dyDescent="0.2">
      <c r="A546" s="37"/>
      <c r="B546" s="8"/>
      <c r="E546" s="38"/>
      <c r="H546" s="38"/>
      <c r="K546" s="38"/>
      <c r="N546" s="38"/>
      <c r="Q546" s="38"/>
      <c r="S546" s="14"/>
    </row>
    <row r="547" spans="1:19" x14ac:dyDescent="0.2">
      <c r="A547" s="37"/>
      <c r="B547" s="8"/>
      <c r="E547" s="38"/>
      <c r="H547" s="38"/>
      <c r="K547" s="38"/>
      <c r="N547" s="38"/>
      <c r="Q547" s="38"/>
      <c r="S547" s="14"/>
    </row>
    <row r="548" spans="1:19" x14ac:dyDescent="0.2">
      <c r="A548" s="37"/>
      <c r="B548" s="8"/>
      <c r="E548" s="38"/>
      <c r="H548" s="38"/>
      <c r="K548" s="38"/>
      <c r="N548" s="38"/>
      <c r="Q548" s="38"/>
      <c r="S548" s="14"/>
    </row>
    <row r="549" spans="1:19" x14ac:dyDescent="0.2">
      <c r="A549" s="37"/>
      <c r="B549" s="8"/>
      <c r="E549" s="38"/>
      <c r="H549" s="38"/>
      <c r="K549" s="38"/>
      <c r="N549" s="38"/>
      <c r="Q549" s="38"/>
      <c r="S549" s="14"/>
    </row>
    <row r="550" spans="1:19" x14ac:dyDescent="0.2">
      <c r="A550" s="37"/>
      <c r="B550" s="8"/>
      <c r="E550" s="38"/>
      <c r="H550" s="38"/>
      <c r="K550" s="38"/>
      <c r="N550" s="38"/>
      <c r="Q550" s="38"/>
      <c r="S550" s="14"/>
    </row>
    <row r="551" spans="1:19" x14ac:dyDescent="0.2">
      <c r="A551" s="37"/>
      <c r="B551" s="8"/>
      <c r="E551" s="38"/>
      <c r="H551" s="38"/>
      <c r="K551" s="38"/>
      <c r="N551" s="38"/>
      <c r="Q551" s="38"/>
      <c r="S551" s="14"/>
    </row>
    <row r="552" spans="1:19" x14ac:dyDescent="0.2">
      <c r="A552" s="37"/>
      <c r="B552" s="8"/>
      <c r="E552" s="38"/>
      <c r="H552" s="38"/>
      <c r="K552" s="38"/>
      <c r="N552" s="38"/>
      <c r="Q552" s="38"/>
      <c r="S552" s="14"/>
    </row>
    <row r="553" spans="1:19" x14ac:dyDescent="0.2">
      <c r="A553" s="37"/>
      <c r="B553" s="8"/>
      <c r="E553" s="38"/>
      <c r="H553" s="38"/>
      <c r="K553" s="38"/>
      <c r="N553" s="38"/>
      <c r="Q553" s="38"/>
      <c r="S553" s="14"/>
    </row>
    <row r="554" spans="1:19" x14ac:dyDescent="0.2">
      <c r="A554" s="37"/>
      <c r="B554" s="8"/>
      <c r="E554" s="38"/>
      <c r="H554" s="38"/>
      <c r="K554" s="38"/>
      <c r="N554" s="38"/>
      <c r="Q554" s="38"/>
      <c r="S554" s="14"/>
    </row>
    <row r="555" spans="1:19" x14ac:dyDescent="0.2">
      <c r="A555" s="37"/>
      <c r="B555" s="8"/>
      <c r="E555" s="38"/>
      <c r="H555" s="38"/>
      <c r="K555" s="38"/>
      <c r="N555" s="38"/>
      <c r="Q555" s="38"/>
      <c r="S555" s="14"/>
    </row>
    <row r="556" spans="1:19" x14ac:dyDescent="0.2">
      <c r="A556" s="37"/>
      <c r="B556" s="8"/>
      <c r="E556" s="38"/>
      <c r="H556" s="38"/>
      <c r="K556" s="38"/>
      <c r="N556" s="38"/>
      <c r="Q556" s="38"/>
      <c r="S556" s="14"/>
    </row>
    <row r="557" spans="1:19" x14ac:dyDescent="0.2">
      <c r="A557" s="37"/>
      <c r="B557" s="8"/>
      <c r="E557" s="38"/>
      <c r="H557" s="38"/>
      <c r="K557" s="38"/>
      <c r="N557" s="38"/>
      <c r="Q557" s="38"/>
      <c r="S557" s="14"/>
    </row>
    <row r="558" spans="1:19" x14ac:dyDescent="0.2">
      <c r="A558" s="37"/>
      <c r="B558" s="8"/>
      <c r="E558" s="38"/>
      <c r="H558" s="38"/>
      <c r="K558" s="38"/>
      <c r="N558" s="38"/>
      <c r="Q558" s="38"/>
      <c r="S558" s="14"/>
    </row>
    <row r="559" spans="1:19" x14ac:dyDescent="0.2">
      <c r="A559" s="37"/>
      <c r="B559" s="8"/>
      <c r="E559" s="38"/>
      <c r="H559" s="38"/>
      <c r="K559" s="38"/>
      <c r="N559" s="38"/>
      <c r="Q559" s="38"/>
      <c r="S559" s="14"/>
    </row>
    <row r="560" spans="1:19" x14ac:dyDescent="0.2">
      <c r="A560" s="37"/>
      <c r="B560" s="8"/>
      <c r="E560" s="38"/>
      <c r="H560" s="38"/>
      <c r="K560" s="38"/>
      <c r="N560" s="38"/>
      <c r="Q560" s="38"/>
      <c r="S560" s="14"/>
    </row>
    <row r="561" spans="1:19" x14ac:dyDescent="0.2">
      <c r="A561" s="37"/>
      <c r="B561" s="8"/>
      <c r="E561" s="38"/>
      <c r="H561" s="38"/>
      <c r="K561" s="38"/>
      <c r="N561" s="38"/>
      <c r="Q561" s="38"/>
      <c r="S561" s="14"/>
    </row>
    <row r="562" spans="1:19" x14ac:dyDescent="0.2">
      <c r="A562" s="37"/>
      <c r="B562" s="8"/>
      <c r="E562" s="38"/>
      <c r="H562" s="38"/>
      <c r="K562" s="38"/>
      <c r="N562" s="38"/>
      <c r="Q562" s="38"/>
      <c r="S562" s="14"/>
    </row>
    <row r="563" spans="1:19" x14ac:dyDescent="0.2">
      <c r="A563" s="37"/>
      <c r="B563" s="8"/>
      <c r="E563" s="38"/>
      <c r="H563" s="38"/>
      <c r="K563" s="38"/>
      <c r="N563" s="38"/>
      <c r="Q563" s="38"/>
      <c r="S563" s="14"/>
    </row>
    <row r="564" spans="1:19" x14ac:dyDescent="0.2">
      <c r="A564" s="37"/>
      <c r="B564" s="8"/>
      <c r="E564" s="38"/>
      <c r="H564" s="38"/>
      <c r="K564" s="38"/>
      <c r="N564" s="38"/>
      <c r="Q564" s="38"/>
      <c r="S564" s="14"/>
    </row>
    <row r="565" spans="1:19" x14ac:dyDescent="0.2">
      <c r="A565" s="37"/>
      <c r="B565" s="8"/>
      <c r="E565" s="38"/>
      <c r="H565" s="38"/>
      <c r="K565" s="38"/>
      <c r="N565" s="38"/>
      <c r="Q565" s="38"/>
      <c r="S565" s="14"/>
    </row>
    <row r="566" spans="1:19" x14ac:dyDescent="0.2">
      <c r="A566" s="37"/>
      <c r="B566" s="8"/>
      <c r="E566" s="38"/>
      <c r="H566" s="38"/>
      <c r="K566" s="38"/>
      <c r="N566" s="38"/>
      <c r="Q566" s="38"/>
      <c r="S566" s="14"/>
    </row>
    <row r="567" spans="1:19" x14ac:dyDescent="0.2">
      <c r="A567" s="37"/>
      <c r="B567" s="8"/>
      <c r="E567" s="38"/>
      <c r="H567" s="38"/>
      <c r="K567" s="38"/>
      <c r="N567" s="38"/>
      <c r="Q567" s="38"/>
      <c r="S567" s="14"/>
    </row>
    <row r="568" spans="1:19" x14ac:dyDescent="0.2">
      <c r="A568" s="37"/>
      <c r="B568" s="8"/>
      <c r="E568" s="38"/>
      <c r="H568" s="38"/>
      <c r="K568" s="38"/>
      <c r="N568" s="38"/>
      <c r="Q568" s="38"/>
      <c r="S568" s="14"/>
    </row>
    <row r="569" spans="1:19" x14ac:dyDescent="0.2">
      <c r="A569" s="37"/>
      <c r="B569" s="8"/>
      <c r="E569" s="38"/>
      <c r="H569" s="38"/>
      <c r="K569" s="38"/>
      <c r="N569" s="38"/>
      <c r="Q569" s="38"/>
      <c r="S569" s="14"/>
    </row>
    <row r="570" spans="1:19" x14ac:dyDescent="0.2">
      <c r="A570" s="37"/>
      <c r="B570" s="8"/>
      <c r="E570" s="38"/>
      <c r="H570" s="38"/>
      <c r="K570" s="38"/>
      <c r="N570" s="38"/>
      <c r="Q570" s="38"/>
      <c r="S570" s="14"/>
    </row>
    <row r="571" spans="1:19" x14ac:dyDescent="0.2">
      <c r="A571" s="37"/>
      <c r="B571" s="8"/>
      <c r="E571" s="38"/>
      <c r="H571" s="38"/>
      <c r="K571" s="38"/>
      <c r="N571" s="38"/>
      <c r="Q571" s="38"/>
      <c r="S571" s="14"/>
    </row>
    <row r="572" spans="1:19" x14ac:dyDescent="0.2">
      <c r="A572" s="37"/>
      <c r="B572" s="8"/>
      <c r="E572" s="38"/>
      <c r="H572" s="38"/>
      <c r="K572" s="38"/>
      <c r="N572" s="38"/>
      <c r="Q572" s="38"/>
      <c r="S572" s="14"/>
    </row>
    <row r="573" spans="1:19" x14ac:dyDescent="0.2">
      <c r="A573" s="37"/>
      <c r="B573" s="8"/>
      <c r="E573" s="38"/>
      <c r="H573" s="38"/>
      <c r="K573" s="38"/>
      <c r="N573" s="38"/>
      <c r="Q573" s="38"/>
      <c r="S573" s="14"/>
    </row>
    <row r="574" spans="1:19" x14ac:dyDescent="0.2">
      <c r="A574" s="37"/>
      <c r="B574" s="8"/>
      <c r="E574" s="38"/>
      <c r="H574" s="38"/>
      <c r="K574" s="38"/>
      <c r="N574" s="38"/>
      <c r="Q574" s="38"/>
      <c r="S574" s="14"/>
    </row>
    <row r="575" spans="1:19" x14ac:dyDescent="0.2">
      <c r="A575" s="37"/>
      <c r="B575" s="8"/>
      <c r="E575" s="38"/>
      <c r="H575" s="38"/>
      <c r="K575" s="38"/>
      <c r="N575" s="38"/>
      <c r="Q575" s="38"/>
      <c r="S575" s="14"/>
    </row>
    <row r="576" spans="1:19" x14ac:dyDescent="0.2">
      <c r="A576" s="37"/>
      <c r="B576" s="8"/>
      <c r="E576" s="38"/>
      <c r="H576" s="38"/>
      <c r="K576" s="38"/>
      <c r="N576" s="38"/>
      <c r="Q576" s="38"/>
      <c r="S576" s="14"/>
    </row>
    <row r="577" spans="1:19" x14ac:dyDescent="0.2">
      <c r="A577" s="37"/>
      <c r="B577" s="8"/>
      <c r="E577" s="38"/>
      <c r="H577" s="38"/>
      <c r="K577" s="38"/>
      <c r="N577" s="38"/>
      <c r="Q577" s="38"/>
      <c r="S577" s="14"/>
    </row>
    <row r="578" spans="1:19" x14ac:dyDescent="0.2">
      <c r="A578" s="37"/>
      <c r="B578" s="8"/>
      <c r="E578" s="38"/>
      <c r="H578" s="38"/>
      <c r="K578" s="38"/>
      <c r="N578" s="38"/>
      <c r="Q578" s="38"/>
      <c r="S578" s="14"/>
    </row>
    <row r="579" spans="1:19" x14ac:dyDescent="0.2">
      <c r="A579" s="37"/>
      <c r="B579" s="8"/>
      <c r="E579" s="38"/>
      <c r="H579" s="38"/>
      <c r="K579" s="38"/>
      <c r="N579" s="38"/>
      <c r="Q579" s="38"/>
      <c r="S579" s="14"/>
    </row>
    <row r="580" spans="1:19" x14ac:dyDescent="0.2">
      <c r="A580" s="37"/>
      <c r="B580" s="8"/>
      <c r="E580" s="38"/>
      <c r="H580" s="38"/>
      <c r="K580" s="38"/>
      <c r="N580" s="38"/>
      <c r="Q580" s="38"/>
      <c r="S580" s="14"/>
    </row>
    <row r="581" spans="1:19" x14ac:dyDescent="0.2">
      <c r="A581" s="37"/>
      <c r="B581" s="8"/>
      <c r="E581" s="38"/>
      <c r="H581" s="38"/>
      <c r="K581" s="38"/>
      <c r="N581" s="38"/>
      <c r="Q581" s="38"/>
      <c r="S581" s="14"/>
    </row>
    <row r="582" spans="1:19" x14ac:dyDescent="0.2">
      <c r="A582" s="37"/>
      <c r="B582" s="8"/>
      <c r="E582" s="38"/>
      <c r="H582" s="38"/>
      <c r="K582" s="38"/>
      <c r="N582" s="38"/>
      <c r="Q582" s="38"/>
      <c r="S582" s="14"/>
    </row>
    <row r="583" spans="1:19" x14ac:dyDescent="0.2">
      <c r="A583" s="37"/>
      <c r="B583" s="8"/>
      <c r="E583" s="38"/>
      <c r="H583" s="38"/>
      <c r="K583" s="38"/>
      <c r="N583" s="38"/>
      <c r="Q583" s="38"/>
      <c r="S583" s="14"/>
    </row>
    <row r="584" spans="1:19" x14ac:dyDescent="0.2">
      <c r="A584" s="37"/>
      <c r="B584" s="8"/>
      <c r="E584" s="38"/>
      <c r="H584" s="38"/>
      <c r="K584" s="38"/>
      <c r="N584" s="38"/>
      <c r="Q584" s="38"/>
      <c r="S584" s="14"/>
    </row>
    <row r="585" spans="1:19" x14ac:dyDescent="0.2">
      <c r="A585" s="37"/>
      <c r="B585" s="8"/>
      <c r="E585" s="38"/>
      <c r="H585" s="38"/>
      <c r="K585" s="38"/>
      <c r="N585" s="38"/>
      <c r="Q585" s="38"/>
      <c r="S585" s="14"/>
    </row>
    <row r="586" spans="1:19" x14ac:dyDescent="0.2">
      <c r="A586" s="37"/>
      <c r="B586" s="8"/>
      <c r="E586" s="38"/>
      <c r="H586" s="38"/>
      <c r="K586" s="38"/>
      <c r="N586" s="38"/>
      <c r="Q586" s="38"/>
      <c r="S586" s="14"/>
    </row>
    <row r="587" spans="1:19" x14ac:dyDescent="0.2">
      <c r="A587" s="37"/>
      <c r="B587" s="8"/>
      <c r="E587" s="38"/>
      <c r="H587" s="38"/>
      <c r="K587" s="38"/>
      <c r="N587" s="38"/>
      <c r="Q587" s="38"/>
      <c r="S587" s="14"/>
    </row>
    <row r="588" spans="1:19" x14ac:dyDescent="0.2">
      <c r="A588" s="37"/>
      <c r="B588" s="8"/>
      <c r="E588" s="38"/>
      <c r="H588" s="38"/>
      <c r="K588" s="38"/>
      <c r="N588" s="38"/>
      <c r="Q588" s="38"/>
      <c r="S588" s="14"/>
    </row>
    <row r="589" spans="1:19" x14ac:dyDescent="0.2">
      <c r="A589" s="37"/>
      <c r="B589" s="8"/>
      <c r="E589" s="38"/>
      <c r="H589" s="38"/>
      <c r="K589" s="38"/>
      <c r="N589" s="38"/>
      <c r="Q589" s="38"/>
      <c r="S589" s="14"/>
    </row>
    <row r="590" spans="1:19" x14ac:dyDescent="0.2">
      <c r="A590" s="37"/>
      <c r="B590" s="8"/>
      <c r="E590" s="38"/>
      <c r="H590" s="38"/>
      <c r="K590" s="38"/>
      <c r="N590" s="38"/>
      <c r="Q590" s="38"/>
      <c r="S590" s="14"/>
    </row>
    <row r="591" spans="1:19" x14ac:dyDescent="0.2">
      <c r="A591" s="37"/>
      <c r="B591" s="8"/>
      <c r="E591" s="38"/>
      <c r="H591" s="38"/>
      <c r="K591" s="38"/>
      <c r="N591" s="38"/>
      <c r="Q591" s="38"/>
      <c r="S591" s="14"/>
    </row>
    <row r="592" spans="1:19" x14ac:dyDescent="0.2">
      <c r="A592" s="37"/>
      <c r="B592" s="8"/>
      <c r="E592" s="38"/>
      <c r="H592" s="38"/>
      <c r="K592" s="38"/>
      <c r="N592" s="38"/>
      <c r="Q592" s="38"/>
      <c r="S592" s="14"/>
    </row>
    <row r="593" spans="1:19" x14ac:dyDescent="0.2">
      <c r="A593" s="37"/>
      <c r="B593" s="8"/>
      <c r="E593" s="38"/>
      <c r="H593" s="38"/>
      <c r="K593" s="38"/>
      <c r="N593" s="38"/>
      <c r="Q593" s="38"/>
      <c r="S593" s="14"/>
    </row>
    <row r="594" spans="1:19" x14ac:dyDescent="0.2">
      <c r="A594" s="37"/>
      <c r="B594" s="8"/>
      <c r="E594" s="38"/>
      <c r="H594" s="38"/>
      <c r="K594" s="38"/>
      <c r="N594" s="38"/>
      <c r="Q594" s="38"/>
      <c r="S594" s="14"/>
    </row>
    <row r="595" spans="1:19" x14ac:dyDescent="0.2">
      <c r="A595" s="37"/>
      <c r="B595" s="8"/>
      <c r="E595" s="38"/>
      <c r="H595" s="38"/>
      <c r="K595" s="38"/>
      <c r="N595" s="38"/>
      <c r="Q595" s="38"/>
      <c r="S595" s="14"/>
    </row>
    <row r="596" spans="1:19" x14ac:dyDescent="0.2">
      <c r="A596" s="37"/>
      <c r="B596" s="8"/>
      <c r="E596" s="38"/>
      <c r="H596" s="38"/>
      <c r="K596" s="38"/>
      <c r="N596" s="38"/>
      <c r="Q596" s="38"/>
      <c r="S596" s="14"/>
    </row>
    <row r="597" spans="1:19" x14ac:dyDescent="0.2">
      <c r="A597" s="37"/>
      <c r="B597" s="8"/>
      <c r="E597" s="38"/>
      <c r="H597" s="38"/>
      <c r="K597" s="38"/>
      <c r="N597" s="38"/>
      <c r="Q597" s="38"/>
      <c r="S597" s="14"/>
    </row>
    <row r="598" spans="1:19" x14ac:dyDescent="0.2">
      <c r="A598" s="37"/>
      <c r="B598" s="8"/>
      <c r="E598" s="38"/>
      <c r="H598" s="38"/>
      <c r="K598" s="38"/>
      <c r="N598" s="38"/>
      <c r="Q598" s="38"/>
      <c r="S598" s="14"/>
    </row>
    <row r="599" spans="1:19" x14ac:dyDescent="0.2">
      <c r="A599" s="37"/>
      <c r="B599" s="8"/>
      <c r="E599" s="38"/>
      <c r="H599" s="38"/>
      <c r="K599" s="38"/>
      <c r="N599" s="38"/>
      <c r="Q599" s="38"/>
      <c r="S599" s="14"/>
    </row>
    <row r="600" spans="1:19" x14ac:dyDescent="0.2">
      <c r="A600" s="37"/>
      <c r="B600" s="8"/>
      <c r="E600" s="38"/>
      <c r="H600" s="38"/>
      <c r="K600" s="38"/>
      <c r="N600" s="38"/>
      <c r="Q600" s="38"/>
      <c r="S600" s="14"/>
    </row>
    <row r="601" spans="1:19" x14ac:dyDescent="0.2">
      <c r="A601" s="37"/>
      <c r="B601" s="8"/>
      <c r="E601" s="38"/>
      <c r="H601" s="38"/>
      <c r="K601" s="38"/>
      <c r="N601" s="38"/>
      <c r="Q601" s="38"/>
      <c r="S601" s="14"/>
    </row>
    <row r="602" spans="1:19" x14ac:dyDescent="0.2">
      <c r="A602" s="37"/>
      <c r="B602" s="8"/>
      <c r="E602" s="38"/>
      <c r="H602" s="38"/>
      <c r="K602" s="38"/>
      <c r="N602" s="38"/>
      <c r="Q602" s="38"/>
      <c r="S602" s="14"/>
    </row>
    <row r="603" spans="1:19" x14ac:dyDescent="0.2">
      <c r="A603" s="37"/>
      <c r="B603" s="8"/>
      <c r="E603" s="38"/>
      <c r="H603" s="38"/>
      <c r="K603" s="38"/>
      <c r="N603" s="38"/>
      <c r="Q603" s="38"/>
      <c r="S603" s="14"/>
    </row>
    <row r="604" spans="1:19" x14ac:dyDescent="0.2">
      <c r="A604" s="37"/>
      <c r="B604" s="8"/>
      <c r="E604" s="38"/>
      <c r="H604" s="38"/>
      <c r="K604" s="38"/>
      <c r="N604" s="38"/>
      <c r="Q604" s="38"/>
      <c r="S604" s="14"/>
    </row>
    <row r="605" spans="1:19" x14ac:dyDescent="0.2">
      <c r="A605" s="37"/>
      <c r="B605" s="8"/>
      <c r="E605" s="38"/>
      <c r="H605" s="38"/>
      <c r="K605" s="38"/>
      <c r="N605" s="38"/>
      <c r="Q605" s="38"/>
      <c r="S605" s="14"/>
    </row>
    <row r="606" spans="1:19" x14ac:dyDescent="0.2">
      <c r="A606" s="37"/>
      <c r="B606" s="8"/>
      <c r="E606" s="38"/>
      <c r="H606" s="38"/>
      <c r="K606" s="38"/>
      <c r="N606" s="38"/>
      <c r="Q606" s="38"/>
      <c r="S606" s="14"/>
    </row>
    <row r="607" spans="1:19" x14ac:dyDescent="0.2">
      <c r="A607" s="37"/>
      <c r="B607" s="8"/>
      <c r="E607" s="38"/>
      <c r="H607" s="38"/>
      <c r="K607" s="38"/>
      <c r="N607" s="38"/>
      <c r="Q607" s="38"/>
      <c r="S607" s="14"/>
    </row>
    <row r="608" spans="1:19" x14ac:dyDescent="0.2">
      <c r="A608" s="37"/>
      <c r="B608" s="8"/>
      <c r="E608" s="38"/>
      <c r="H608" s="38"/>
      <c r="K608" s="38"/>
      <c r="N608" s="38"/>
      <c r="Q608" s="38"/>
      <c r="S608" s="14"/>
    </row>
    <row r="609" spans="1:19" x14ac:dyDescent="0.2">
      <c r="A609" s="37"/>
      <c r="B609" s="8"/>
      <c r="E609" s="38"/>
      <c r="H609" s="38"/>
      <c r="K609" s="38"/>
      <c r="N609" s="38"/>
      <c r="Q609" s="38"/>
      <c r="S609" s="14"/>
    </row>
    <row r="610" spans="1:19" x14ac:dyDescent="0.2">
      <c r="A610" s="37"/>
      <c r="B610" s="8"/>
      <c r="E610" s="38"/>
      <c r="H610" s="38"/>
      <c r="K610" s="38"/>
      <c r="N610" s="38"/>
      <c r="Q610" s="38"/>
      <c r="S610" s="14"/>
    </row>
    <row r="611" spans="1:19" x14ac:dyDescent="0.2">
      <c r="A611" s="37"/>
      <c r="B611" s="8"/>
      <c r="E611" s="38"/>
      <c r="H611" s="38"/>
      <c r="K611" s="38"/>
      <c r="N611" s="38"/>
      <c r="Q611" s="38"/>
      <c r="S611" s="14"/>
    </row>
    <row r="612" spans="1:19" x14ac:dyDescent="0.2">
      <c r="A612" s="37"/>
      <c r="B612" s="8"/>
      <c r="E612" s="38"/>
      <c r="H612" s="38"/>
      <c r="K612" s="38"/>
      <c r="N612" s="38"/>
      <c r="Q612" s="38"/>
      <c r="S612" s="14"/>
    </row>
    <row r="613" spans="1:19" x14ac:dyDescent="0.2">
      <c r="A613" s="37"/>
      <c r="B613" s="8"/>
      <c r="E613" s="38"/>
      <c r="H613" s="38"/>
      <c r="K613" s="38"/>
      <c r="N613" s="38"/>
      <c r="Q613" s="38"/>
      <c r="S613" s="14"/>
    </row>
    <row r="614" spans="1:19" x14ac:dyDescent="0.2">
      <c r="A614" s="37"/>
      <c r="B614" s="8"/>
      <c r="E614" s="38"/>
      <c r="H614" s="38"/>
      <c r="K614" s="38"/>
      <c r="N614" s="38"/>
      <c r="Q614" s="38"/>
      <c r="S614" s="14"/>
    </row>
    <row r="615" spans="1:19" x14ac:dyDescent="0.2">
      <c r="A615" s="37"/>
      <c r="B615" s="8"/>
      <c r="E615" s="38"/>
      <c r="H615" s="38"/>
      <c r="K615" s="38"/>
      <c r="N615" s="38"/>
      <c r="Q615" s="38"/>
      <c r="S615" s="14"/>
    </row>
    <row r="616" spans="1:19" x14ac:dyDescent="0.2">
      <c r="A616" s="37"/>
      <c r="B616" s="8"/>
      <c r="E616" s="38"/>
      <c r="H616" s="38"/>
      <c r="K616" s="38"/>
      <c r="N616" s="38"/>
      <c r="Q616" s="38"/>
      <c r="S616" s="14"/>
    </row>
    <row r="617" spans="1:19" x14ac:dyDescent="0.2">
      <c r="A617" s="37"/>
      <c r="B617" s="8"/>
      <c r="E617" s="38"/>
      <c r="H617" s="38"/>
      <c r="K617" s="38"/>
      <c r="N617" s="38"/>
      <c r="Q617" s="38"/>
      <c r="S617" s="14"/>
    </row>
    <row r="618" spans="1:19" x14ac:dyDescent="0.2">
      <c r="A618" s="37"/>
      <c r="B618" s="8"/>
      <c r="E618" s="38"/>
      <c r="H618" s="38"/>
      <c r="K618" s="38"/>
      <c r="N618" s="38"/>
      <c r="Q618" s="38"/>
      <c r="S618" s="14"/>
    </row>
    <row r="619" spans="1:19" x14ac:dyDescent="0.2">
      <c r="A619" s="37"/>
      <c r="B619" s="8"/>
      <c r="E619" s="38"/>
      <c r="H619" s="38"/>
      <c r="K619" s="38"/>
      <c r="N619" s="38"/>
      <c r="Q619" s="38"/>
      <c r="S619" s="14"/>
    </row>
    <row r="620" spans="1:19" x14ac:dyDescent="0.2">
      <c r="A620" s="37"/>
      <c r="B620" s="8"/>
      <c r="E620" s="38"/>
      <c r="H620" s="38"/>
      <c r="K620" s="38"/>
      <c r="N620" s="38"/>
      <c r="Q620" s="38"/>
      <c r="S620" s="14"/>
    </row>
    <row r="621" spans="1:19" x14ac:dyDescent="0.2">
      <c r="A621" s="37"/>
      <c r="B621" s="8"/>
      <c r="E621" s="38"/>
      <c r="H621" s="38"/>
      <c r="K621" s="38"/>
      <c r="N621" s="38"/>
      <c r="Q621" s="38"/>
      <c r="S621" s="14"/>
    </row>
    <row r="622" spans="1:19" x14ac:dyDescent="0.2">
      <c r="A622" s="37"/>
      <c r="B622" s="8"/>
      <c r="E622" s="38"/>
      <c r="H622" s="38"/>
      <c r="K622" s="38"/>
      <c r="N622" s="38"/>
      <c r="Q622" s="38"/>
      <c r="S622" s="14"/>
    </row>
    <row r="623" spans="1:19" x14ac:dyDescent="0.2">
      <c r="A623" s="37"/>
      <c r="B623" s="8"/>
      <c r="E623" s="38"/>
      <c r="H623" s="38"/>
      <c r="K623" s="38"/>
      <c r="N623" s="38"/>
      <c r="Q623" s="38"/>
      <c r="S623" s="14"/>
    </row>
    <row r="624" spans="1:19" x14ac:dyDescent="0.2">
      <c r="A624" s="37"/>
      <c r="B624" s="8"/>
      <c r="E624" s="38"/>
      <c r="H624" s="38"/>
      <c r="K624" s="38"/>
      <c r="N624" s="38"/>
      <c r="Q624" s="38"/>
      <c r="S624" s="14"/>
    </row>
    <row r="625" spans="1:19" x14ac:dyDescent="0.2">
      <c r="A625" s="37"/>
      <c r="B625" s="8"/>
      <c r="E625" s="38"/>
      <c r="H625" s="38"/>
      <c r="K625" s="38"/>
      <c r="N625" s="38"/>
      <c r="Q625" s="38"/>
      <c r="S625" s="14"/>
    </row>
    <row r="626" spans="1:19" x14ac:dyDescent="0.2">
      <c r="A626" s="37"/>
      <c r="B626" s="8"/>
      <c r="E626" s="38"/>
      <c r="H626" s="38"/>
      <c r="K626" s="38"/>
      <c r="N626" s="38"/>
      <c r="Q626" s="38"/>
      <c r="S626" s="14"/>
    </row>
    <row r="627" spans="1:19" x14ac:dyDescent="0.2">
      <c r="A627" s="37"/>
      <c r="B627" s="8"/>
      <c r="E627" s="38"/>
      <c r="H627" s="38"/>
      <c r="K627" s="38"/>
      <c r="N627" s="38"/>
      <c r="Q627" s="38"/>
      <c r="S627" s="14"/>
    </row>
    <row r="628" spans="1:19" x14ac:dyDescent="0.2">
      <c r="A628" s="37"/>
      <c r="B628" s="8"/>
      <c r="E628" s="38"/>
      <c r="H628" s="38"/>
      <c r="K628" s="38"/>
      <c r="N628" s="38"/>
      <c r="Q628" s="38"/>
      <c r="S628" s="14"/>
    </row>
    <row r="629" spans="1:19" x14ac:dyDescent="0.2">
      <c r="A629" s="37"/>
      <c r="B629" s="8"/>
      <c r="E629" s="38"/>
      <c r="H629" s="38"/>
      <c r="K629" s="38"/>
      <c r="N629" s="38"/>
      <c r="Q629" s="38"/>
      <c r="S629" s="14"/>
    </row>
    <row r="630" spans="1:19" x14ac:dyDescent="0.2">
      <c r="A630" s="37"/>
      <c r="B630" s="8"/>
      <c r="E630" s="38"/>
      <c r="H630" s="38"/>
      <c r="K630" s="38"/>
      <c r="N630" s="38"/>
      <c r="Q630" s="38"/>
      <c r="S630" s="14"/>
    </row>
    <row r="631" spans="1:19" x14ac:dyDescent="0.2">
      <c r="A631" s="37"/>
      <c r="B631" s="8"/>
      <c r="E631" s="38"/>
      <c r="H631" s="38"/>
      <c r="K631" s="38"/>
      <c r="N631" s="38"/>
      <c r="Q631" s="38"/>
      <c r="S631" s="14"/>
    </row>
    <row r="632" spans="1:19" x14ac:dyDescent="0.2">
      <c r="A632" s="37"/>
      <c r="B632" s="8"/>
      <c r="E632" s="38"/>
      <c r="H632" s="38"/>
      <c r="K632" s="38"/>
      <c r="N632" s="38"/>
      <c r="Q632" s="38"/>
      <c r="S632" s="14"/>
    </row>
    <row r="633" spans="1:19" x14ac:dyDescent="0.2">
      <c r="A633" s="37"/>
      <c r="B633" s="8"/>
      <c r="E633" s="38"/>
      <c r="H633" s="38"/>
      <c r="K633" s="38"/>
      <c r="N633" s="38"/>
      <c r="Q633" s="38"/>
      <c r="S633" s="14"/>
    </row>
    <row r="634" spans="1:19" x14ac:dyDescent="0.2">
      <c r="A634" s="37"/>
      <c r="B634" s="8"/>
      <c r="E634" s="38"/>
      <c r="H634" s="38"/>
      <c r="K634" s="38"/>
      <c r="N634" s="38"/>
      <c r="Q634" s="38"/>
      <c r="S634" s="14"/>
    </row>
    <row r="635" spans="1:19" x14ac:dyDescent="0.2">
      <c r="A635" s="37"/>
      <c r="B635" s="8"/>
      <c r="E635" s="38"/>
      <c r="H635" s="38"/>
      <c r="K635" s="38"/>
      <c r="N635" s="38"/>
      <c r="Q635" s="38"/>
      <c r="S635" s="14"/>
    </row>
    <row r="636" spans="1:19" x14ac:dyDescent="0.2">
      <c r="A636" s="37"/>
      <c r="B636" s="8"/>
      <c r="E636" s="38"/>
      <c r="H636" s="38"/>
      <c r="K636" s="38"/>
      <c r="N636" s="38"/>
      <c r="Q636" s="38"/>
      <c r="S636" s="14"/>
    </row>
    <row r="637" spans="1:19" x14ac:dyDescent="0.2">
      <c r="A637" s="37"/>
      <c r="B637" s="8"/>
      <c r="E637" s="38"/>
      <c r="H637" s="38"/>
      <c r="K637" s="38"/>
      <c r="N637" s="38"/>
      <c r="Q637" s="38"/>
      <c r="S637" s="14"/>
    </row>
    <row r="638" spans="1:19" x14ac:dyDescent="0.2">
      <c r="A638" s="37"/>
      <c r="B638" s="8"/>
      <c r="E638" s="38"/>
      <c r="H638" s="38"/>
      <c r="K638" s="38"/>
      <c r="N638" s="38"/>
      <c r="Q638" s="38"/>
      <c r="S638" s="14"/>
    </row>
    <row r="639" spans="1:19" x14ac:dyDescent="0.2">
      <c r="A639" s="37"/>
      <c r="B639" s="8"/>
      <c r="E639" s="38"/>
      <c r="H639" s="38"/>
      <c r="K639" s="38"/>
      <c r="N639" s="38"/>
      <c r="Q639" s="38"/>
      <c r="S639" s="14"/>
    </row>
    <row r="640" spans="1:19" x14ac:dyDescent="0.2">
      <c r="A640" s="37"/>
      <c r="B640" s="8"/>
      <c r="E640" s="38"/>
      <c r="H640" s="38"/>
      <c r="K640" s="38"/>
      <c r="N640" s="38"/>
      <c r="Q640" s="38"/>
      <c r="S640" s="14"/>
    </row>
    <row r="641" spans="1:19" x14ac:dyDescent="0.2">
      <c r="A641" s="37"/>
      <c r="B641" s="8"/>
      <c r="E641" s="38"/>
      <c r="H641" s="38"/>
      <c r="K641" s="38"/>
      <c r="N641" s="38"/>
      <c r="Q641" s="38"/>
      <c r="S641" s="14"/>
    </row>
    <row r="642" spans="1:19" x14ac:dyDescent="0.2">
      <c r="A642" s="37"/>
      <c r="B642" s="8"/>
      <c r="E642" s="38"/>
      <c r="H642" s="38"/>
      <c r="K642" s="38"/>
      <c r="N642" s="38"/>
      <c r="Q642" s="38"/>
      <c r="S642" s="14"/>
    </row>
    <row r="643" spans="1:19" x14ac:dyDescent="0.2">
      <c r="A643" s="37"/>
      <c r="B643" s="8"/>
      <c r="E643" s="38"/>
      <c r="H643" s="38"/>
      <c r="K643" s="38"/>
      <c r="N643" s="38"/>
      <c r="Q643" s="38"/>
      <c r="S643" s="14"/>
    </row>
    <row r="644" spans="1:19" x14ac:dyDescent="0.2">
      <c r="A644" s="37"/>
      <c r="B644" s="8"/>
      <c r="E644" s="38"/>
      <c r="H644" s="38"/>
      <c r="K644" s="38"/>
      <c r="N644" s="38"/>
      <c r="Q644" s="38"/>
      <c r="S644" s="14"/>
    </row>
    <row r="645" spans="1:19" x14ac:dyDescent="0.2">
      <c r="A645" s="37"/>
      <c r="B645" s="8"/>
      <c r="E645" s="38"/>
      <c r="H645" s="38"/>
      <c r="K645" s="38"/>
      <c r="N645" s="38"/>
      <c r="Q645" s="38"/>
      <c r="S645" s="14"/>
    </row>
    <row r="646" spans="1:19" x14ac:dyDescent="0.2">
      <c r="A646" s="37"/>
      <c r="B646" s="8"/>
      <c r="E646" s="38"/>
      <c r="H646" s="38"/>
      <c r="K646" s="38"/>
      <c r="N646" s="38"/>
      <c r="Q646" s="38"/>
      <c r="S646" s="14"/>
    </row>
    <row r="647" spans="1:19" x14ac:dyDescent="0.2">
      <c r="A647" s="37"/>
      <c r="B647" s="8"/>
      <c r="E647" s="38"/>
      <c r="H647" s="38"/>
      <c r="K647" s="38"/>
      <c r="N647" s="38"/>
      <c r="Q647" s="38"/>
      <c r="S647" s="14"/>
    </row>
    <row r="648" spans="1:19" x14ac:dyDescent="0.2">
      <c r="A648" s="37"/>
      <c r="B648" s="8"/>
      <c r="E648" s="38"/>
      <c r="H648" s="38"/>
      <c r="K648" s="38"/>
      <c r="N648" s="38"/>
      <c r="Q648" s="38"/>
      <c r="S648" s="14"/>
    </row>
    <row r="649" spans="1:19" x14ac:dyDescent="0.2">
      <c r="A649" s="37"/>
      <c r="B649" s="8"/>
      <c r="E649" s="38"/>
      <c r="H649" s="38"/>
      <c r="K649" s="38"/>
      <c r="N649" s="38"/>
      <c r="Q649" s="38"/>
      <c r="S649" s="14"/>
    </row>
    <row r="650" spans="1:19" x14ac:dyDescent="0.2">
      <c r="A650" s="37"/>
      <c r="B650" s="8"/>
      <c r="E650" s="38"/>
      <c r="H650" s="38"/>
      <c r="K650" s="38"/>
      <c r="N650" s="38"/>
      <c r="Q650" s="38"/>
      <c r="S650" s="14"/>
    </row>
    <row r="651" spans="1:19" x14ac:dyDescent="0.2">
      <c r="A651" s="37"/>
      <c r="B651" s="8"/>
      <c r="E651" s="38"/>
      <c r="H651" s="38"/>
      <c r="K651" s="38"/>
      <c r="N651" s="38"/>
      <c r="Q651" s="38"/>
      <c r="S651" s="14"/>
    </row>
    <row r="652" spans="1:19" x14ac:dyDescent="0.2">
      <c r="A652" s="37"/>
      <c r="B652" s="8"/>
      <c r="E652" s="38"/>
      <c r="H652" s="38"/>
      <c r="K652" s="38"/>
      <c r="N652" s="38"/>
      <c r="Q652" s="38"/>
      <c r="S652" s="14"/>
    </row>
    <row r="653" spans="1:19" x14ac:dyDescent="0.2">
      <c r="A653" s="37"/>
      <c r="B653" s="8"/>
      <c r="E653" s="38"/>
      <c r="H653" s="38"/>
      <c r="K653" s="38"/>
      <c r="N653" s="38"/>
      <c r="Q653" s="38"/>
      <c r="S653" s="14"/>
    </row>
    <row r="654" spans="1:19" x14ac:dyDescent="0.2">
      <c r="A654" s="37"/>
      <c r="B654" s="8"/>
      <c r="E654" s="38"/>
      <c r="H654" s="38"/>
      <c r="K654" s="38"/>
      <c r="N654" s="38"/>
      <c r="Q654" s="38"/>
      <c r="S654" s="14"/>
    </row>
    <row r="655" spans="1:19" x14ac:dyDescent="0.2">
      <c r="A655" s="37"/>
      <c r="B655" s="8"/>
      <c r="E655" s="38"/>
      <c r="H655" s="38"/>
      <c r="K655" s="38"/>
      <c r="N655" s="38"/>
      <c r="Q655" s="38"/>
      <c r="S655" s="14"/>
    </row>
    <row r="656" spans="1:19" x14ac:dyDescent="0.2">
      <c r="A656" s="37"/>
      <c r="B656" s="8"/>
      <c r="E656" s="38"/>
      <c r="H656" s="38"/>
      <c r="K656" s="38"/>
      <c r="N656" s="38"/>
      <c r="Q656" s="38"/>
      <c r="S656" s="14"/>
    </row>
    <row r="657" spans="1:19" x14ac:dyDescent="0.2">
      <c r="A657" s="37"/>
      <c r="B657" s="8"/>
      <c r="E657" s="38"/>
      <c r="H657" s="38"/>
      <c r="K657" s="38"/>
      <c r="N657" s="38"/>
      <c r="Q657" s="38"/>
      <c r="S657" s="14"/>
    </row>
    <row r="658" spans="1:19" x14ac:dyDescent="0.2">
      <c r="A658" s="37"/>
      <c r="B658" s="8"/>
      <c r="E658" s="38"/>
      <c r="H658" s="38"/>
      <c r="K658" s="38"/>
      <c r="N658" s="38"/>
      <c r="Q658" s="38"/>
      <c r="S658" s="14"/>
    </row>
    <row r="659" spans="1:19" x14ac:dyDescent="0.2">
      <c r="A659" s="37"/>
      <c r="B659" s="8"/>
      <c r="E659" s="38"/>
      <c r="H659" s="38"/>
      <c r="K659" s="38"/>
      <c r="N659" s="38"/>
      <c r="Q659" s="38"/>
      <c r="S659" s="14"/>
    </row>
    <row r="660" spans="1:19" x14ac:dyDescent="0.2">
      <c r="A660" s="37"/>
      <c r="B660" s="8"/>
      <c r="E660" s="38"/>
      <c r="H660" s="38"/>
      <c r="K660" s="38"/>
      <c r="N660" s="38"/>
      <c r="Q660" s="38"/>
      <c r="S660" s="14"/>
    </row>
    <row r="661" spans="1:19" x14ac:dyDescent="0.2">
      <c r="A661" s="37"/>
      <c r="B661" s="8"/>
      <c r="E661" s="38"/>
      <c r="H661" s="38"/>
      <c r="K661" s="38"/>
      <c r="N661" s="38"/>
      <c r="Q661" s="38"/>
      <c r="S661" s="14"/>
    </row>
    <row r="662" spans="1:19" x14ac:dyDescent="0.2">
      <c r="A662" s="37"/>
      <c r="B662" s="8"/>
      <c r="E662" s="38"/>
      <c r="H662" s="38"/>
      <c r="K662" s="38"/>
      <c r="N662" s="38"/>
      <c r="Q662" s="38"/>
      <c r="S662" s="14"/>
    </row>
    <row r="663" spans="1:19" x14ac:dyDescent="0.2">
      <c r="A663" s="37"/>
      <c r="B663" s="8"/>
      <c r="E663" s="38"/>
      <c r="H663" s="38"/>
      <c r="K663" s="38"/>
      <c r="N663" s="38"/>
      <c r="Q663" s="38"/>
      <c r="S663" s="14"/>
    </row>
    <row r="664" spans="1:19" x14ac:dyDescent="0.2">
      <c r="A664" s="37"/>
      <c r="B664" s="8"/>
      <c r="E664" s="38"/>
      <c r="H664" s="38"/>
      <c r="K664" s="38"/>
      <c r="N664" s="38"/>
      <c r="Q664" s="38"/>
      <c r="S664" s="14"/>
    </row>
    <row r="665" spans="1:19" x14ac:dyDescent="0.2">
      <c r="A665" s="37"/>
      <c r="B665" s="8"/>
      <c r="E665" s="38"/>
      <c r="H665" s="38"/>
      <c r="K665" s="38"/>
      <c r="N665" s="38"/>
      <c r="Q665" s="38"/>
      <c r="S665" s="14"/>
    </row>
    <row r="666" spans="1:19" x14ac:dyDescent="0.2">
      <c r="A666" s="37"/>
      <c r="B666" s="8"/>
      <c r="E666" s="38"/>
      <c r="H666" s="38"/>
      <c r="K666" s="38"/>
      <c r="N666" s="38"/>
      <c r="Q666" s="38"/>
      <c r="S666" s="14"/>
    </row>
    <row r="667" spans="1:19" x14ac:dyDescent="0.2">
      <c r="A667" s="37"/>
      <c r="B667" s="8"/>
      <c r="E667" s="38"/>
      <c r="H667" s="38"/>
      <c r="K667" s="38"/>
      <c r="N667" s="38"/>
      <c r="Q667" s="38"/>
      <c r="S667" s="14"/>
    </row>
    <row r="668" spans="1:19" x14ac:dyDescent="0.2">
      <c r="A668" s="37"/>
      <c r="B668" s="8"/>
      <c r="E668" s="38"/>
      <c r="H668" s="38"/>
      <c r="K668" s="38"/>
      <c r="N668" s="38"/>
      <c r="Q668" s="38"/>
      <c r="S668" s="14"/>
    </row>
    <row r="669" spans="1:19" x14ac:dyDescent="0.2">
      <c r="A669" s="37"/>
      <c r="B669" s="8"/>
      <c r="E669" s="38"/>
      <c r="H669" s="38"/>
      <c r="K669" s="38"/>
      <c r="N669" s="38"/>
      <c r="Q669" s="38"/>
      <c r="S669" s="14"/>
    </row>
    <row r="670" spans="1:19" x14ac:dyDescent="0.2">
      <c r="A670" s="37"/>
      <c r="B670" s="8"/>
      <c r="E670" s="38"/>
      <c r="H670" s="38"/>
      <c r="K670" s="38"/>
      <c r="N670" s="38"/>
      <c r="Q670" s="38"/>
      <c r="S670" s="14"/>
    </row>
    <row r="671" spans="1:19" x14ac:dyDescent="0.2">
      <c r="A671" s="37"/>
      <c r="B671" s="8"/>
      <c r="E671" s="38"/>
      <c r="H671" s="38"/>
      <c r="K671" s="38"/>
      <c r="N671" s="38"/>
      <c r="Q671" s="38"/>
      <c r="S671" s="14"/>
    </row>
    <row r="672" spans="1:19" x14ac:dyDescent="0.2">
      <c r="A672" s="37"/>
      <c r="B672" s="8"/>
      <c r="E672" s="38"/>
      <c r="H672" s="38"/>
      <c r="K672" s="38"/>
      <c r="N672" s="38"/>
      <c r="Q672" s="38"/>
      <c r="S672" s="14"/>
    </row>
    <row r="673" spans="1:19" x14ac:dyDescent="0.2">
      <c r="A673" s="37"/>
      <c r="B673" s="8"/>
      <c r="E673" s="38"/>
      <c r="H673" s="38"/>
      <c r="K673" s="38"/>
      <c r="N673" s="38"/>
      <c r="Q673" s="38"/>
      <c r="S673" s="14"/>
    </row>
    <row r="674" spans="1:19" x14ac:dyDescent="0.2">
      <c r="A674" s="37"/>
      <c r="B674" s="8"/>
      <c r="E674" s="38"/>
      <c r="H674" s="38"/>
      <c r="K674" s="38"/>
      <c r="N674" s="38"/>
      <c r="Q674" s="38"/>
      <c r="S674" s="14"/>
    </row>
    <row r="675" spans="1:19" x14ac:dyDescent="0.2">
      <c r="A675" s="37"/>
      <c r="B675" s="8"/>
      <c r="E675" s="38"/>
      <c r="H675" s="38"/>
      <c r="K675" s="38"/>
      <c r="N675" s="38"/>
      <c r="Q675" s="38"/>
      <c r="S675" s="14"/>
    </row>
    <row r="676" spans="1:19" x14ac:dyDescent="0.2">
      <c r="A676" s="37"/>
      <c r="B676" s="8"/>
      <c r="E676" s="38"/>
      <c r="H676" s="38"/>
      <c r="K676" s="38"/>
      <c r="N676" s="38"/>
      <c r="Q676" s="38"/>
      <c r="S676" s="14"/>
    </row>
    <row r="677" spans="1:19" x14ac:dyDescent="0.2">
      <c r="A677" s="37"/>
      <c r="B677" s="8"/>
      <c r="E677" s="38"/>
      <c r="H677" s="38"/>
      <c r="K677" s="38"/>
      <c r="N677" s="38"/>
      <c r="Q677" s="38"/>
      <c r="S677" s="14"/>
    </row>
    <row r="678" spans="1:19" x14ac:dyDescent="0.2">
      <c r="A678" s="37"/>
      <c r="B678" s="8"/>
      <c r="E678" s="38"/>
      <c r="H678" s="38"/>
      <c r="K678" s="38"/>
      <c r="N678" s="38"/>
      <c r="Q678" s="38"/>
      <c r="S678" s="14"/>
    </row>
    <row r="679" spans="1:19" x14ac:dyDescent="0.2">
      <c r="A679" s="37"/>
      <c r="B679" s="8"/>
      <c r="E679" s="38"/>
      <c r="H679" s="38"/>
      <c r="K679" s="38"/>
      <c r="N679" s="38"/>
      <c r="Q679" s="38"/>
      <c r="S679" s="14"/>
    </row>
    <row r="680" spans="1:19" x14ac:dyDescent="0.2">
      <c r="A680" s="37"/>
      <c r="B680" s="8"/>
      <c r="E680" s="38"/>
      <c r="H680" s="38"/>
      <c r="K680" s="38"/>
      <c r="N680" s="38"/>
      <c r="Q680" s="38"/>
      <c r="S680" s="14"/>
    </row>
    <row r="681" spans="1:19" x14ac:dyDescent="0.2">
      <c r="A681" s="37"/>
      <c r="B681" s="8"/>
      <c r="E681" s="38"/>
      <c r="H681" s="38"/>
      <c r="K681" s="38"/>
      <c r="N681" s="38"/>
      <c r="Q681" s="38"/>
      <c r="S681" s="14"/>
    </row>
    <row r="682" spans="1:19" x14ac:dyDescent="0.2">
      <c r="A682" s="37"/>
      <c r="B682" s="8"/>
      <c r="E682" s="38"/>
      <c r="H682" s="38"/>
      <c r="K682" s="38"/>
      <c r="N682" s="38"/>
      <c r="Q682" s="38"/>
      <c r="S682" s="14"/>
    </row>
    <row r="683" spans="1:19" x14ac:dyDescent="0.2">
      <c r="A683" s="37"/>
      <c r="B683" s="8"/>
      <c r="E683" s="38"/>
      <c r="H683" s="38"/>
      <c r="K683" s="38"/>
      <c r="N683" s="38"/>
      <c r="Q683" s="38"/>
      <c r="S683" s="14"/>
    </row>
    <row r="684" spans="1:19" x14ac:dyDescent="0.2">
      <c r="A684" s="37"/>
      <c r="B684" s="8"/>
      <c r="E684" s="38"/>
      <c r="H684" s="38"/>
      <c r="K684" s="38"/>
      <c r="N684" s="38"/>
      <c r="Q684" s="38"/>
      <c r="S684" s="14"/>
    </row>
    <row r="685" spans="1:19" x14ac:dyDescent="0.2">
      <c r="A685" s="37"/>
      <c r="B685" s="8"/>
      <c r="E685" s="38"/>
      <c r="H685" s="38"/>
      <c r="K685" s="38"/>
      <c r="N685" s="38"/>
      <c r="Q685" s="38"/>
      <c r="S685" s="14"/>
    </row>
    <row r="686" spans="1:19" x14ac:dyDescent="0.2">
      <c r="A686" s="37"/>
      <c r="B686" s="8"/>
      <c r="E686" s="38"/>
      <c r="H686" s="38"/>
      <c r="K686" s="38"/>
      <c r="N686" s="38"/>
      <c r="Q686" s="38"/>
      <c r="S686" s="14"/>
    </row>
    <row r="687" spans="1:19" x14ac:dyDescent="0.2">
      <c r="A687" s="37"/>
      <c r="B687" s="8"/>
      <c r="E687" s="38"/>
      <c r="H687" s="38"/>
      <c r="K687" s="38"/>
      <c r="N687" s="38"/>
      <c r="Q687" s="38"/>
      <c r="S687" s="14"/>
    </row>
    <row r="688" spans="1:19" x14ac:dyDescent="0.2">
      <c r="A688" s="37"/>
      <c r="B688" s="8"/>
      <c r="E688" s="38"/>
      <c r="H688" s="38"/>
      <c r="K688" s="38"/>
      <c r="N688" s="38"/>
      <c r="Q688" s="38"/>
      <c r="S688" s="14"/>
    </row>
    <row r="689" spans="1:19" x14ac:dyDescent="0.2">
      <c r="A689" s="37"/>
      <c r="B689" s="8"/>
      <c r="E689" s="38"/>
      <c r="H689" s="38"/>
      <c r="K689" s="38"/>
      <c r="N689" s="38"/>
      <c r="Q689" s="38"/>
      <c r="S689" s="14"/>
    </row>
    <row r="690" spans="1:19" x14ac:dyDescent="0.2">
      <c r="A690" s="37"/>
      <c r="B690" s="8"/>
      <c r="E690" s="38"/>
      <c r="H690" s="38"/>
      <c r="K690" s="38"/>
      <c r="N690" s="38"/>
      <c r="Q690" s="38"/>
      <c r="S690" s="14"/>
    </row>
    <row r="691" spans="1:19" x14ac:dyDescent="0.2">
      <c r="A691" s="37"/>
      <c r="B691" s="8"/>
      <c r="E691" s="38"/>
      <c r="H691" s="38"/>
      <c r="K691" s="38"/>
      <c r="N691" s="38"/>
      <c r="Q691" s="38"/>
      <c r="S691" s="14"/>
    </row>
    <row r="692" spans="1:19" x14ac:dyDescent="0.2">
      <c r="A692" s="37"/>
      <c r="B692" s="8"/>
      <c r="E692" s="38"/>
      <c r="H692" s="38"/>
      <c r="K692" s="38"/>
      <c r="N692" s="38"/>
      <c r="Q692" s="38"/>
      <c r="S692" s="14"/>
    </row>
    <row r="693" spans="1:19" x14ac:dyDescent="0.2">
      <c r="A693" s="37"/>
      <c r="B693" s="8"/>
      <c r="E693" s="38"/>
      <c r="H693" s="38"/>
      <c r="K693" s="38"/>
      <c r="N693" s="38"/>
      <c r="Q693" s="38"/>
      <c r="S693" s="14"/>
    </row>
    <row r="694" spans="1:19" x14ac:dyDescent="0.2">
      <c r="A694" s="37"/>
      <c r="B694" s="8"/>
      <c r="E694" s="38"/>
      <c r="H694" s="38"/>
      <c r="K694" s="38"/>
      <c r="N694" s="38"/>
      <c r="Q694" s="38"/>
      <c r="S694" s="14"/>
    </row>
    <row r="695" spans="1:19" x14ac:dyDescent="0.2">
      <c r="A695" s="37"/>
      <c r="B695" s="8"/>
      <c r="E695" s="38"/>
      <c r="H695" s="38"/>
      <c r="K695" s="38"/>
      <c r="N695" s="38"/>
      <c r="Q695" s="38"/>
      <c r="S695" s="14"/>
    </row>
    <row r="696" spans="1:19" x14ac:dyDescent="0.2">
      <c r="A696" s="37"/>
      <c r="B696" s="8"/>
      <c r="E696" s="38"/>
      <c r="H696" s="38"/>
      <c r="K696" s="38"/>
      <c r="N696" s="38"/>
      <c r="Q696" s="38"/>
      <c r="S696" s="14"/>
    </row>
    <row r="697" spans="1:19" x14ac:dyDescent="0.2">
      <c r="A697" s="37"/>
      <c r="B697" s="8"/>
      <c r="E697" s="38"/>
      <c r="H697" s="38"/>
      <c r="K697" s="38"/>
      <c r="N697" s="38"/>
      <c r="Q697" s="38"/>
      <c r="S697" s="14"/>
    </row>
    <row r="698" spans="1:19" x14ac:dyDescent="0.2">
      <c r="A698" s="37"/>
      <c r="B698" s="8"/>
      <c r="E698" s="38"/>
      <c r="H698" s="38"/>
      <c r="K698" s="38"/>
      <c r="N698" s="38"/>
      <c r="Q698" s="38"/>
      <c r="S698" s="14"/>
    </row>
    <row r="699" spans="1:19" x14ac:dyDescent="0.2">
      <c r="A699" s="37"/>
      <c r="B699" s="8"/>
      <c r="E699" s="38"/>
      <c r="H699" s="38"/>
      <c r="K699" s="38"/>
      <c r="N699" s="38"/>
      <c r="Q699" s="38"/>
      <c r="S699" s="14"/>
    </row>
    <row r="700" spans="1:19" x14ac:dyDescent="0.2">
      <c r="A700" s="37"/>
      <c r="B700" s="8"/>
      <c r="E700" s="38"/>
      <c r="H700" s="38"/>
      <c r="K700" s="38"/>
      <c r="N700" s="38"/>
      <c r="Q700" s="38"/>
      <c r="S700" s="14"/>
    </row>
    <row r="701" spans="1:19" x14ac:dyDescent="0.2">
      <c r="A701" s="37"/>
      <c r="B701" s="8"/>
      <c r="E701" s="38"/>
      <c r="H701" s="38"/>
      <c r="K701" s="38"/>
      <c r="N701" s="38"/>
      <c r="Q701" s="38"/>
      <c r="S701" s="14"/>
    </row>
    <row r="702" spans="1:19" x14ac:dyDescent="0.2">
      <c r="A702" s="37"/>
      <c r="B702" s="8"/>
      <c r="E702" s="38"/>
      <c r="H702" s="38"/>
      <c r="K702" s="38"/>
      <c r="N702" s="38"/>
      <c r="Q702" s="38"/>
      <c r="S702" s="14"/>
    </row>
    <row r="703" spans="1:19" x14ac:dyDescent="0.2">
      <c r="A703" s="37"/>
      <c r="B703" s="8"/>
      <c r="E703" s="38"/>
      <c r="H703" s="38"/>
      <c r="K703" s="38"/>
      <c r="N703" s="38"/>
      <c r="Q703" s="38"/>
      <c r="S703" s="14"/>
    </row>
    <row r="704" spans="1:19" x14ac:dyDescent="0.2">
      <c r="A704" s="37"/>
      <c r="B704" s="8"/>
      <c r="E704" s="38"/>
      <c r="H704" s="38"/>
      <c r="K704" s="38"/>
      <c r="N704" s="38"/>
      <c r="Q704" s="38"/>
      <c r="S704" s="14"/>
    </row>
    <row r="705" spans="1:19" x14ac:dyDescent="0.2">
      <c r="A705" s="37"/>
      <c r="B705" s="8"/>
      <c r="E705" s="38"/>
      <c r="H705" s="38"/>
      <c r="K705" s="38"/>
      <c r="N705" s="38"/>
      <c r="Q705" s="38"/>
      <c r="S705" s="14"/>
    </row>
    <row r="706" spans="1:19" x14ac:dyDescent="0.2">
      <c r="A706" s="37"/>
      <c r="B706" s="8"/>
      <c r="E706" s="38"/>
      <c r="H706" s="38"/>
      <c r="K706" s="38"/>
      <c r="N706" s="38"/>
      <c r="Q706" s="38"/>
      <c r="S706" s="14"/>
    </row>
    <row r="707" spans="1:19" x14ac:dyDescent="0.2">
      <c r="A707" s="37"/>
      <c r="B707" s="8"/>
      <c r="E707" s="38"/>
      <c r="H707" s="38"/>
      <c r="K707" s="38"/>
      <c r="N707" s="38"/>
      <c r="Q707" s="38"/>
      <c r="S707" s="14"/>
    </row>
    <row r="708" spans="1:19" x14ac:dyDescent="0.2">
      <c r="A708" s="37"/>
      <c r="B708" s="8"/>
      <c r="E708" s="38"/>
      <c r="H708" s="38"/>
      <c r="K708" s="38"/>
      <c r="N708" s="38"/>
      <c r="Q708" s="38"/>
      <c r="S708" s="14"/>
    </row>
    <row r="709" spans="1:19" x14ac:dyDescent="0.2">
      <c r="A709" s="37"/>
      <c r="B709" s="8"/>
      <c r="E709" s="38"/>
      <c r="H709" s="38"/>
      <c r="K709" s="38"/>
      <c r="N709" s="38"/>
      <c r="Q709" s="38"/>
      <c r="S709" s="14"/>
    </row>
    <row r="710" spans="1:19" x14ac:dyDescent="0.2">
      <c r="A710" s="37"/>
      <c r="B710" s="8"/>
      <c r="E710" s="38"/>
      <c r="H710" s="38"/>
      <c r="K710" s="38"/>
      <c r="N710" s="38"/>
      <c r="Q710" s="38"/>
      <c r="S710" s="14"/>
    </row>
    <row r="711" spans="1:19" x14ac:dyDescent="0.2">
      <c r="A711" s="37"/>
      <c r="B711" s="8"/>
      <c r="E711" s="38"/>
      <c r="H711" s="38"/>
      <c r="K711" s="38"/>
      <c r="N711" s="38"/>
      <c r="Q711" s="38"/>
      <c r="S711" s="14"/>
    </row>
    <row r="712" spans="1:19" x14ac:dyDescent="0.2">
      <c r="A712" s="37"/>
      <c r="B712" s="8"/>
      <c r="E712" s="38"/>
      <c r="H712" s="38"/>
      <c r="K712" s="38"/>
      <c r="N712" s="38"/>
      <c r="Q712" s="38"/>
      <c r="S712" s="14"/>
    </row>
    <row r="713" spans="1:19" x14ac:dyDescent="0.2">
      <c r="A713" s="37"/>
      <c r="B713" s="8"/>
      <c r="E713" s="38"/>
      <c r="H713" s="38"/>
      <c r="K713" s="38"/>
      <c r="N713" s="38"/>
      <c r="Q713" s="38"/>
      <c r="S713" s="14"/>
    </row>
    <row r="714" spans="1:19" x14ac:dyDescent="0.2">
      <c r="A714" s="37"/>
      <c r="B714" s="8"/>
      <c r="E714" s="38"/>
      <c r="H714" s="38"/>
      <c r="K714" s="38"/>
      <c r="N714" s="38"/>
      <c r="Q714" s="38"/>
      <c r="S714" s="14"/>
    </row>
    <row r="715" spans="1:19" x14ac:dyDescent="0.2">
      <c r="A715" s="37"/>
      <c r="B715" s="8"/>
      <c r="E715" s="38"/>
      <c r="H715" s="38"/>
      <c r="K715" s="38"/>
      <c r="N715" s="38"/>
      <c r="Q715" s="38"/>
      <c r="S715" s="14"/>
    </row>
    <row r="716" spans="1:19" x14ac:dyDescent="0.2">
      <c r="A716" s="37"/>
      <c r="B716" s="8"/>
      <c r="E716" s="38"/>
      <c r="H716" s="38"/>
      <c r="K716" s="38"/>
      <c r="N716" s="38"/>
      <c r="Q716" s="38"/>
      <c r="S716" s="14"/>
    </row>
    <row r="717" spans="1:19" x14ac:dyDescent="0.2">
      <c r="A717" s="37"/>
      <c r="B717" s="8"/>
      <c r="E717" s="38"/>
      <c r="H717" s="38"/>
      <c r="K717" s="38"/>
      <c r="N717" s="38"/>
      <c r="Q717" s="38"/>
      <c r="S717" s="14"/>
    </row>
    <row r="718" spans="1:19" x14ac:dyDescent="0.2">
      <c r="A718" s="37"/>
      <c r="B718" s="8"/>
      <c r="E718" s="38"/>
      <c r="H718" s="38"/>
      <c r="K718" s="38"/>
      <c r="N718" s="38"/>
      <c r="Q718" s="38"/>
      <c r="S718" s="14"/>
    </row>
    <row r="719" spans="1:19" x14ac:dyDescent="0.2">
      <c r="A719" s="37"/>
      <c r="B719" s="8"/>
      <c r="E719" s="38"/>
      <c r="H719" s="38"/>
      <c r="K719" s="38"/>
      <c r="N719" s="38"/>
      <c r="Q719" s="38"/>
      <c r="S719" s="14"/>
    </row>
    <row r="720" spans="1:19" x14ac:dyDescent="0.2">
      <c r="A720" s="37"/>
      <c r="B720" s="8"/>
      <c r="E720" s="38"/>
      <c r="H720" s="38"/>
      <c r="K720" s="38"/>
      <c r="N720" s="38"/>
      <c r="Q720" s="38"/>
      <c r="S720" s="14"/>
    </row>
    <row r="721" spans="1:19" x14ac:dyDescent="0.2">
      <c r="A721" s="37"/>
      <c r="B721" s="8"/>
      <c r="E721" s="38"/>
      <c r="H721" s="38"/>
      <c r="K721" s="38"/>
      <c r="N721" s="38"/>
      <c r="Q721" s="38"/>
      <c r="S721" s="14"/>
    </row>
    <row r="722" spans="1:19" x14ac:dyDescent="0.2">
      <c r="A722" s="37"/>
      <c r="B722" s="8"/>
      <c r="E722" s="38"/>
      <c r="H722" s="38"/>
      <c r="K722" s="38"/>
      <c r="N722" s="38"/>
      <c r="Q722" s="38"/>
      <c r="S722" s="14"/>
    </row>
    <row r="723" spans="1:19" x14ac:dyDescent="0.2">
      <c r="A723" s="37"/>
      <c r="B723" s="8"/>
      <c r="E723" s="38"/>
      <c r="H723" s="38"/>
      <c r="K723" s="38"/>
      <c r="N723" s="38"/>
      <c r="Q723" s="38"/>
      <c r="S723" s="14"/>
    </row>
    <row r="724" spans="1:19" x14ac:dyDescent="0.2">
      <c r="A724" s="37"/>
      <c r="B724" s="8"/>
      <c r="E724" s="38"/>
      <c r="H724" s="38"/>
      <c r="K724" s="38"/>
      <c r="N724" s="38"/>
      <c r="Q724" s="38"/>
      <c r="S724" s="14"/>
    </row>
    <row r="725" spans="1:19" x14ac:dyDescent="0.2">
      <c r="A725" s="37"/>
      <c r="B725" s="8"/>
      <c r="E725" s="38"/>
      <c r="H725" s="38"/>
      <c r="K725" s="38"/>
      <c r="N725" s="38"/>
      <c r="Q725" s="38"/>
      <c r="S725" s="14"/>
    </row>
    <row r="726" spans="1:19" x14ac:dyDescent="0.2">
      <c r="A726" s="37"/>
      <c r="B726" s="8"/>
      <c r="E726" s="38"/>
      <c r="H726" s="38"/>
      <c r="K726" s="38"/>
      <c r="N726" s="38"/>
      <c r="Q726" s="38"/>
      <c r="S726" s="14"/>
    </row>
    <row r="727" spans="1:19" x14ac:dyDescent="0.2">
      <c r="A727" s="37"/>
      <c r="B727" s="8"/>
      <c r="E727" s="38"/>
      <c r="H727" s="38"/>
      <c r="K727" s="38"/>
      <c r="N727" s="38"/>
      <c r="Q727" s="38"/>
      <c r="S727" s="14"/>
    </row>
    <row r="728" spans="1:19" x14ac:dyDescent="0.2">
      <c r="A728" s="37"/>
      <c r="B728" s="8"/>
      <c r="E728" s="38"/>
      <c r="H728" s="38"/>
      <c r="K728" s="38"/>
      <c r="N728" s="38"/>
      <c r="Q728" s="38"/>
      <c r="S728" s="14"/>
    </row>
    <row r="729" spans="1:19" x14ac:dyDescent="0.2">
      <c r="A729" s="37"/>
      <c r="B729" s="8"/>
      <c r="E729" s="38"/>
      <c r="H729" s="38"/>
      <c r="K729" s="38"/>
      <c r="N729" s="38"/>
      <c r="Q729" s="38"/>
      <c r="S729" s="14"/>
    </row>
    <row r="730" spans="1:19" x14ac:dyDescent="0.2">
      <c r="A730" s="37"/>
      <c r="B730" s="8"/>
      <c r="E730" s="38"/>
      <c r="H730" s="38"/>
      <c r="K730" s="38"/>
      <c r="N730" s="38"/>
      <c r="Q730" s="38"/>
      <c r="S730" s="14"/>
    </row>
    <row r="731" spans="1:19" x14ac:dyDescent="0.2">
      <c r="A731" s="37"/>
      <c r="B731" s="8"/>
      <c r="E731" s="38"/>
      <c r="H731" s="38"/>
      <c r="K731" s="38"/>
      <c r="N731" s="38"/>
      <c r="Q731" s="38"/>
      <c r="S731" s="14"/>
    </row>
    <row r="732" spans="1:19" x14ac:dyDescent="0.2">
      <c r="A732" s="37"/>
      <c r="B732" s="8"/>
      <c r="E732" s="38"/>
      <c r="H732" s="38"/>
      <c r="K732" s="38"/>
      <c r="N732" s="38"/>
      <c r="Q732" s="38"/>
      <c r="S732" s="14"/>
    </row>
    <row r="733" spans="1:19" x14ac:dyDescent="0.2">
      <c r="A733" s="37"/>
      <c r="B733" s="8"/>
      <c r="E733" s="38"/>
      <c r="H733" s="38"/>
      <c r="K733" s="38"/>
      <c r="N733" s="38"/>
      <c r="Q733" s="38"/>
      <c r="S733" s="14"/>
    </row>
    <row r="734" spans="1:19" x14ac:dyDescent="0.2">
      <c r="A734" s="37"/>
      <c r="B734" s="8"/>
      <c r="E734" s="38"/>
      <c r="H734" s="38"/>
      <c r="K734" s="38"/>
      <c r="N734" s="38"/>
      <c r="Q734" s="38"/>
      <c r="S734" s="14"/>
    </row>
    <row r="735" spans="1:19" x14ac:dyDescent="0.2">
      <c r="A735" s="37"/>
      <c r="B735" s="8"/>
      <c r="E735" s="38"/>
      <c r="H735" s="38"/>
      <c r="K735" s="38"/>
      <c r="N735" s="38"/>
      <c r="Q735" s="38"/>
      <c r="S735" s="14"/>
    </row>
    <row r="736" spans="1:19" x14ac:dyDescent="0.2">
      <c r="A736" s="37"/>
      <c r="B736" s="8"/>
      <c r="E736" s="38"/>
      <c r="H736" s="38"/>
      <c r="K736" s="38"/>
      <c r="N736" s="38"/>
      <c r="Q736" s="38"/>
      <c r="S736" s="14"/>
    </row>
    <row r="737" spans="1:19" x14ac:dyDescent="0.2">
      <c r="A737" s="37"/>
      <c r="B737" s="8"/>
      <c r="E737" s="38"/>
      <c r="H737" s="38"/>
      <c r="K737" s="38"/>
      <c r="N737" s="38"/>
      <c r="Q737" s="38"/>
      <c r="S737" s="14"/>
    </row>
    <row r="738" spans="1:19" x14ac:dyDescent="0.2">
      <c r="A738" s="37"/>
      <c r="B738" s="8"/>
      <c r="E738" s="38"/>
      <c r="H738" s="38"/>
      <c r="K738" s="38"/>
      <c r="N738" s="38"/>
      <c r="Q738" s="38"/>
      <c r="S738" s="14"/>
    </row>
    <row r="739" spans="1:19" x14ac:dyDescent="0.2">
      <c r="A739" s="37"/>
      <c r="B739" s="8"/>
      <c r="E739" s="38"/>
      <c r="H739" s="38"/>
      <c r="K739" s="38"/>
      <c r="N739" s="38"/>
      <c r="Q739" s="38"/>
      <c r="S739" s="14"/>
    </row>
    <row r="740" spans="1:19" x14ac:dyDescent="0.2">
      <c r="A740" s="37"/>
      <c r="B740" s="8"/>
      <c r="E740" s="38"/>
      <c r="H740" s="38"/>
      <c r="K740" s="38"/>
      <c r="N740" s="38"/>
      <c r="Q740" s="38"/>
      <c r="S740" s="14"/>
    </row>
    <row r="741" spans="1:19" x14ac:dyDescent="0.2">
      <c r="A741" s="37"/>
      <c r="B741" s="8"/>
      <c r="E741" s="38"/>
      <c r="H741" s="38"/>
      <c r="K741" s="38"/>
      <c r="N741" s="38"/>
      <c r="Q741" s="38"/>
      <c r="S741" s="14"/>
    </row>
    <row r="742" spans="1:19" x14ac:dyDescent="0.2">
      <c r="A742" s="37"/>
      <c r="B742" s="8"/>
      <c r="E742" s="38"/>
      <c r="H742" s="38"/>
      <c r="K742" s="38"/>
      <c r="N742" s="38"/>
      <c r="Q742" s="38"/>
      <c r="S742" s="14"/>
    </row>
    <row r="743" spans="1:19" x14ac:dyDescent="0.2">
      <c r="A743" s="37"/>
      <c r="B743" s="8"/>
      <c r="E743" s="38"/>
      <c r="H743" s="38"/>
      <c r="K743" s="38"/>
      <c r="N743" s="38"/>
      <c r="Q743" s="38"/>
      <c r="S743" s="14"/>
    </row>
    <row r="744" spans="1:19" x14ac:dyDescent="0.2">
      <c r="A744" s="37"/>
      <c r="B744" s="8"/>
      <c r="E744" s="38"/>
      <c r="H744" s="38"/>
      <c r="K744" s="38"/>
      <c r="N744" s="38"/>
      <c r="Q744" s="38"/>
      <c r="S744" s="14"/>
    </row>
    <row r="745" spans="1:19" x14ac:dyDescent="0.2">
      <c r="A745" s="37"/>
      <c r="B745" s="8"/>
      <c r="E745" s="38"/>
      <c r="H745" s="38"/>
      <c r="K745" s="38"/>
      <c r="N745" s="38"/>
      <c r="Q745" s="38"/>
      <c r="S745" s="14"/>
    </row>
    <row r="746" spans="1:19" x14ac:dyDescent="0.2">
      <c r="A746" s="37"/>
      <c r="B746" s="8"/>
      <c r="E746" s="38"/>
      <c r="H746" s="38"/>
      <c r="K746" s="38"/>
      <c r="N746" s="38"/>
      <c r="Q746" s="38"/>
      <c r="S746" s="14"/>
    </row>
    <row r="747" spans="1:19" x14ac:dyDescent="0.2">
      <c r="A747" s="37"/>
      <c r="B747" s="8"/>
      <c r="E747" s="38"/>
      <c r="H747" s="38"/>
      <c r="K747" s="38"/>
      <c r="N747" s="38"/>
      <c r="Q747" s="38"/>
      <c r="S747" s="14"/>
    </row>
    <row r="748" spans="1:19" x14ac:dyDescent="0.2">
      <c r="A748" s="37"/>
      <c r="B748" s="8"/>
      <c r="E748" s="38"/>
      <c r="H748" s="38"/>
      <c r="K748" s="38"/>
      <c r="N748" s="38"/>
      <c r="Q748" s="38"/>
      <c r="S748" s="14"/>
    </row>
    <row r="749" spans="1:19" x14ac:dyDescent="0.2">
      <c r="A749" s="37"/>
      <c r="B749" s="8"/>
      <c r="E749" s="38"/>
      <c r="H749" s="38"/>
      <c r="K749" s="38"/>
      <c r="N749" s="38"/>
      <c r="Q749" s="38"/>
      <c r="S749" s="14"/>
    </row>
    <row r="750" spans="1:19" x14ac:dyDescent="0.2">
      <c r="A750" s="37"/>
      <c r="B750" s="8"/>
      <c r="E750" s="38"/>
      <c r="H750" s="38"/>
      <c r="K750" s="38"/>
      <c r="N750" s="38"/>
      <c r="Q750" s="38"/>
      <c r="S750" s="14"/>
    </row>
    <row r="751" spans="1:19" x14ac:dyDescent="0.2">
      <c r="A751" s="37"/>
      <c r="B751" s="8"/>
      <c r="E751" s="38"/>
      <c r="H751" s="38"/>
      <c r="K751" s="38"/>
      <c r="N751" s="38"/>
      <c r="Q751" s="38"/>
      <c r="S751" s="14"/>
    </row>
    <row r="752" spans="1:19" x14ac:dyDescent="0.2">
      <c r="A752" s="37"/>
      <c r="B752" s="8"/>
      <c r="E752" s="38"/>
      <c r="H752" s="38"/>
      <c r="K752" s="38"/>
      <c r="N752" s="38"/>
      <c r="Q752" s="38"/>
      <c r="S752" s="14"/>
    </row>
    <row r="753" spans="1:19" x14ac:dyDescent="0.2">
      <c r="A753" s="37"/>
      <c r="B753" s="8"/>
      <c r="E753" s="38"/>
      <c r="H753" s="38"/>
      <c r="K753" s="38"/>
      <c r="N753" s="38"/>
      <c r="Q753" s="38"/>
      <c r="S753" s="14"/>
    </row>
    <row r="754" spans="1:19" x14ac:dyDescent="0.2">
      <c r="A754" s="37"/>
      <c r="B754" s="8"/>
      <c r="E754" s="38"/>
      <c r="H754" s="38"/>
      <c r="K754" s="38"/>
      <c r="N754" s="38"/>
      <c r="Q754" s="38"/>
      <c r="S754" s="14"/>
    </row>
    <row r="755" spans="1:19" x14ac:dyDescent="0.2">
      <c r="A755" s="37"/>
      <c r="B755" s="8"/>
      <c r="E755" s="38"/>
      <c r="H755" s="38"/>
      <c r="K755" s="38"/>
      <c r="N755" s="38"/>
      <c r="Q755" s="38"/>
      <c r="S755" s="14"/>
    </row>
    <row r="756" spans="1:19" x14ac:dyDescent="0.2">
      <c r="A756" s="37"/>
      <c r="B756" s="8"/>
      <c r="E756" s="38"/>
      <c r="H756" s="38"/>
      <c r="K756" s="38"/>
      <c r="N756" s="38"/>
      <c r="Q756" s="38"/>
      <c r="S756" s="14"/>
    </row>
    <row r="757" spans="1:19" x14ac:dyDescent="0.2">
      <c r="A757" s="37"/>
      <c r="B757" s="8"/>
      <c r="E757" s="38"/>
      <c r="H757" s="38"/>
      <c r="K757" s="38"/>
      <c r="N757" s="38"/>
      <c r="Q757" s="38"/>
      <c r="S757" s="14"/>
    </row>
    <row r="758" spans="1:19" x14ac:dyDescent="0.2">
      <c r="A758" s="37"/>
      <c r="B758" s="8"/>
      <c r="E758" s="38"/>
      <c r="H758" s="38"/>
      <c r="K758" s="38"/>
      <c r="N758" s="38"/>
      <c r="Q758" s="38"/>
      <c r="S758" s="14"/>
    </row>
    <row r="759" spans="1:19" x14ac:dyDescent="0.2">
      <c r="A759" s="37"/>
      <c r="B759" s="8"/>
      <c r="E759" s="38"/>
      <c r="H759" s="38"/>
      <c r="K759" s="38"/>
      <c r="N759" s="38"/>
      <c r="Q759" s="38"/>
      <c r="S759" s="14"/>
    </row>
    <row r="760" spans="1:19" x14ac:dyDescent="0.2">
      <c r="A760" s="37"/>
      <c r="B760" s="8"/>
      <c r="E760" s="38"/>
      <c r="H760" s="38"/>
      <c r="K760" s="38"/>
      <c r="N760" s="38"/>
      <c r="Q760" s="38"/>
      <c r="S760" s="14"/>
    </row>
    <row r="761" spans="1:19" x14ac:dyDescent="0.2">
      <c r="A761" s="37"/>
      <c r="B761" s="8"/>
      <c r="E761" s="38"/>
      <c r="H761" s="38"/>
      <c r="K761" s="38"/>
      <c r="N761" s="38"/>
      <c r="Q761" s="38"/>
      <c r="S761" s="14"/>
    </row>
    <row r="762" spans="1:19" x14ac:dyDescent="0.2">
      <c r="A762" s="37"/>
      <c r="B762" s="8"/>
      <c r="E762" s="38"/>
      <c r="H762" s="38"/>
      <c r="K762" s="38"/>
      <c r="N762" s="38"/>
      <c r="Q762" s="38"/>
      <c r="S762" s="14"/>
    </row>
    <row r="763" spans="1:19" x14ac:dyDescent="0.2">
      <c r="A763" s="37"/>
      <c r="B763" s="8"/>
      <c r="E763" s="38"/>
      <c r="H763" s="38"/>
      <c r="K763" s="38"/>
      <c r="N763" s="38"/>
      <c r="Q763" s="38"/>
      <c r="S763" s="14"/>
    </row>
    <row r="764" spans="1:19" x14ac:dyDescent="0.2">
      <c r="A764" s="37"/>
      <c r="B764" s="8"/>
      <c r="E764" s="38"/>
      <c r="H764" s="38"/>
      <c r="K764" s="38"/>
      <c r="N764" s="38"/>
      <c r="Q764" s="38"/>
      <c r="S764" s="14"/>
    </row>
    <row r="765" spans="1:19" x14ac:dyDescent="0.2">
      <c r="A765" s="37"/>
      <c r="B765" s="8"/>
      <c r="E765" s="38"/>
      <c r="H765" s="38"/>
      <c r="K765" s="38"/>
      <c r="N765" s="38"/>
      <c r="Q765" s="38"/>
      <c r="S765" s="14"/>
    </row>
    <row r="766" spans="1:19" x14ac:dyDescent="0.2">
      <c r="A766" s="37"/>
      <c r="B766" s="8"/>
      <c r="E766" s="38"/>
      <c r="H766" s="38"/>
      <c r="K766" s="38"/>
      <c r="N766" s="38"/>
      <c r="Q766" s="38"/>
      <c r="S766" s="14"/>
    </row>
    <row r="767" spans="1:19" x14ac:dyDescent="0.2">
      <c r="A767" s="37"/>
      <c r="B767" s="8"/>
      <c r="E767" s="38"/>
      <c r="H767" s="38"/>
      <c r="K767" s="38"/>
      <c r="N767" s="38"/>
      <c r="Q767" s="38"/>
      <c r="S767" s="14"/>
    </row>
    <row r="768" spans="1:19" x14ac:dyDescent="0.2">
      <c r="A768" s="37"/>
      <c r="B768" s="8"/>
      <c r="E768" s="38"/>
      <c r="H768" s="38"/>
      <c r="K768" s="38"/>
      <c r="N768" s="38"/>
      <c r="Q768" s="38"/>
      <c r="S768" s="14"/>
    </row>
    <row r="769" spans="1:19" x14ac:dyDescent="0.2">
      <c r="A769" s="37"/>
      <c r="B769" s="8"/>
      <c r="E769" s="38"/>
      <c r="H769" s="38"/>
      <c r="K769" s="38"/>
      <c r="N769" s="38"/>
      <c r="Q769" s="38"/>
      <c r="S769" s="14"/>
    </row>
    <row r="770" spans="1:19" x14ac:dyDescent="0.2">
      <c r="A770" s="37"/>
      <c r="B770" s="8"/>
      <c r="E770" s="38"/>
      <c r="H770" s="38"/>
      <c r="K770" s="38"/>
      <c r="N770" s="38"/>
      <c r="Q770" s="38"/>
      <c r="S770" s="14"/>
    </row>
    <row r="771" spans="1:19" x14ac:dyDescent="0.2">
      <c r="A771" s="37"/>
      <c r="B771" s="8"/>
      <c r="E771" s="38"/>
      <c r="H771" s="38"/>
      <c r="K771" s="38"/>
      <c r="N771" s="38"/>
      <c r="Q771" s="38"/>
      <c r="S771" s="14"/>
    </row>
    <row r="772" spans="1:19" x14ac:dyDescent="0.2">
      <c r="A772" s="37"/>
      <c r="B772" s="8"/>
      <c r="E772" s="38"/>
      <c r="H772" s="38"/>
      <c r="K772" s="38"/>
      <c r="N772" s="38"/>
      <c r="Q772" s="38"/>
      <c r="S772" s="14"/>
    </row>
    <row r="773" spans="1:19" x14ac:dyDescent="0.2">
      <c r="A773" s="37"/>
      <c r="B773" s="8"/>
      <c r="E773" s="38"/>
      <c r="H773" s="38"/>
      <c r="K773" s="38"/>
      <c r="N773" s="38"/>
      <c r="Q773" s="38"/>
      <c r="S773" s="14"/>
    </row>
    <row r="774" spans="1:19" x14ac:dyDescent="0.2">
      <c r="A774" s="37"/>
      <c r="B774" s="8"/>
      <c r="E774" s="38"/>
      <c r="H774" s="38"/>
      <c r="K774" s="38"/>
      <c r="N774" s="38"/>
      <c r="Q774" s="38"/>
      <c r="S774" s="14"/>
    </row>
    <row r="775" spans="1:19" x14ac:dyDescent="0.2">
      <c r="A775" s="37"/>
      <c r="B775" s="8"/>
      <c r="E775" s="38"/>
      <c r="H775" s="38"/>
      <c r="K775" s="38"/>
      <c r="N775" s="38"/>
      <c r="Q775" s="38"/>
      <c r="S775" s="14"/>
    </row>
    <row r="776" spans="1:19" x14ac:dyDescent="0.2">
      <c r="A776" s="37"/>
      <c r="B776" s="8"/>
      <c r="E776" s="38"/>
      <c r="H776" s="38"/>
      <c r="K776" s="38"/>
      <c r="N776" s="38"/>
      <c r="Q776" s="38"/>
      <c r="S776" s="14"/>
    </row>
    <row r="777" spans="1:19" x14ac:dyDescent="0.2">
      <c r="A777" s="37"/>
      <c r="B777" s="8"/>
      <c r="E777" s="38"/>
      <c r="H777" s="38"/>
      <c r="K777" s="38"/>
      <c r="N777" s="38"/>
      <c r="Q777" s="38"/>
      <c r="S777" s="14"/>
    </row>
    <row r="778" spans="1:19" x14ac:dyDescent="0.2">
      <c r="A778" s="37"/>
      <c r="B778" s="8"/>
      <c r="E778" s="38"/>
      <c r="H778" s="38"/>
      <c r="K778" s="38"/>
      <c r="N778" s="38"/>
      <c r="Q778" s="38"/>
      <c r="S778" s="14"/>
    </row>
    <row r="779" spans="1:19" x14ac:dyDescent="0.2">
      <c r="A779" s="37"/>
      <c r="B779" s="8"/>
      <c r="E779" s="38"/>
      <c r="H779" s="38"/>
      <c r="K779" s="38"/>
      <c r="N779" s="38"/>
      <c r="Q779" s="38"/>
      <c r="S779" s="14"/>
    </row>
    <row r="780" spans="1:19" x14ac:dyDescent="0.2">
      <c r="A780" s="37"/>
      <c r="B780" s="8"/>
      <c r="E780" s="38"/>
      <c r="H780" s="38"/>
      <c r="K780" s="38"/>
      <c r="N780" s="38"/>
      <c r="Q780" s="38"/>
      <c r="S780" s="14"/>
    </row>
    <row r="781" spans="1:19" x14ac:dyDescent="0.2">
      <c r="A781" s="37"/>
      <c r="B781" s="8"/>
      <c r="E781" s="38"/>
      <c r="H781" s="38"/>
      <c r="K781" s="38"/>
      <c r="N781" s="38"/>
      <c r="Q781" s="38"/>
      <c r="S781" s="14"/>
    </row>
    <row r="782" spans="1:19" x14ac:dyDescent="0.2">
      <c r="A782" s="37"/>
      <c r="B782" s="8"/>
      <c r="E782" s="38"/>
      <c r="H782" s="38"/>
      <c r="K782" s="38"/>
      <c r="N782" s="38"/>
      <c r="Q782" s="38"/>
      <c r="S782" s="14"/>
    </row>
    <row r="783" spans="1:19" x14ac:dyDescent="0.2">
      <c r="A783" s="37"/>
      <c r="B783" s="8"/>
      <c r="E783" s="38"/>
      <c r="H783" s="38"/>
      <c r="K783" s="38"/>
      <c r="N783" s="38"/>
      <c r="Q783" s="38"/>
      <c r="S783" s="14"/>
    </row>
    <row r="784" spans="1:19" x14ac:dyDescent="0.2">
      <c r="A784" s="37"/>
      <c r="B784" s="8"/>
      <c r="E784" s="38"/>
      <c r="H784" s="38"/>
      <c r="K784" s="38"/>
      <c r="N784" s="38"/>
      <c r="Q784" s="38"/>
      <c r="S784" s="14"/>
    </row>
    <row r="785" spans="1:19" x14ac:dyDescent="0.2">
      <c r="A785" s="37"/>
      <c r="B785" s="8"/>
      <c r="E785" s="38"/>
      <c r="H785" s="38"/>
      <c r="K785" s="38"/>
      <c r="N785" s="38"/>
      <c r="Q785" s="38"/>
      <c r="S785" s="14"/>
    </row>
    <row r="786" spans="1:19" x14ac:dyDescent="0.2">
      <c r="A786" s="37"/>
      <c r="B786" s="8"/>
      <c r="E786" s="38"/>
      <c r="H786" s="38"/>
      <c r="K786" s="38"/>
      <c r="N786" s="38"/>
      <c r="Q786" s="38"/>
      <c r="S786" s="14"/>
    </row>
    <row r="787" spans="1:19" x14ac:dyDescent="0.2">
      <c r="A787" s="37"/>
      <c r="B787" s="8"/>
      <c r="E787" s="38"/>
      <c r="H787" s="38"/>
      <c r="K787" s="38"/>
      <c r="N787" s="38"/>
      <c r="Q787" s="38"/>
      <c r="S787" s="14"/>
    </row>
    <row r="788" spans="1:19" x14ac:dyDescent="0.2">
      <c r="A788" s="37"/>
      <c r="B788" s="8"/>
      <c r="E788" s="38"/>
      <c r="H788" s="38"/>
      <c r="K788" s="38"/>
      <c r="N788" s="38"/>
      <c r="Q788" s="38"/>
      <c r="S788" s="14"/>
    </row>
    <row r="789" spans="1:19" x14ac:dyDescent="0.2">
      <c r="A789" s="37"/>
      <c r="B789" s="8"/>
      <c r="E789" s="38"/>
      <c r="H789" s="38"/>
      <c r="K789" s="38"/>
      <c r="N789" s="38"/>
      <c r="Q789" s="38"/>
      <c r="S789" s="14"/>
    </row>
    <row r="790" spans="1:19" x14ac:dyDescent="0.2">
      <c r="A790" s="37"/>
      <c r="B790" s="8"/>
      <c r="E790" s="38"/>
      <c r="H790" s="38"/>
      <c r="K790" s="38"/>
      <c r="N790" s="38"/>
      <c r="Q790" s="38"/>
      <c r="S790" s="14"/>
    </row>
    <row r="791" spans="1:19" x14ac:dyDescent="0.2">
      <c r="A791" s="37"/>
      <c r="B791" s="8"/>
      <c r="E791" s="38"/>
      <c r="H791" s="38"/>
      <c r="K791" s="38"/>
      <c r="N791" s="38"/>
      <c r="Q791" s="38"/>
      <c r="S791" s="14"/>
    </row>
    <row r="792" spans="1:19" x14ac:dyDescent="0.2">
      <c r="A792" s="37"/>
      <c r="B792" s="8"/>
      <c r="E792" s="38"/>
      <c r="H792" s="38"/>
      <c r="K792" s="38"/>
      <c r="N792" s="38"/>
      <c r="Q792" s="38"/>
      <c r="S792" s="14"/>
    </row>
    <row r="793" spans="1:19" x14ac:dyDescent="0.2">
      <c r="A793" s="37"/>
      <c r="B793" s="8"/>
      <c r="E793" s="38"/>
      <c r="H793" s="38"/>
      <c r="K793" s="38"/>
      <c r="N793" s="38"/>
      <c r="Q793" s="38"/>
      <c r="S793" s="14"/>
    </row>
    <row r="794" spans="1:19" x14ac:dyDescent="0.2">
      <c r="A794" s="37"/>
      <c r="B794" s="8"/>
      <c r="E794" s="38"/>
      <c r="H794" s="38"/>
      <c r="K794" s="38"/>
      <c r="N794" s="38"/>
      <c r="Q794" s="38"/>
      <c r="S794" s="14"/>
    </row>
    <row r="795" spans="1:19" x14ac:dyDescent="0.2">
      <c r="A795" s="37"/>
      <c r="B795" s="8"/>
      <c r="E795" s="38"/>
      <c r="H795" s="38"/>
      <c r="K795" s="38"/>
      <c r="N795" s="38"/>
      <c r="Q795" s="38"/>
      <c r="S795" s="14"/>
    </row>
    <row r="796" spans="1:19" x14ac:dyDescent="0.2">
      <c r="A796" s="37"/>
      <c r="B796" s="8"/>
      <c r="E796" s="38"/>
      <c r="H796" s="38"/>
      <c r="K796" s="38"/>
      <c r="N796" s="38"/>
      <c r="Q796" s="38"/>
      <c r="S796" s="14"/>
    </row>
    <row r="797" spans="1:19" x14ac:dyDescent="0.2">
      <c r="A797" s="37"/>
      <c r="B797" s="8"/>
      <c r="E797" s="38"/>
      <c r="H797" s="38"/>
      <c r="K797" s="38"/>
      <c r="N797" s="38"/>
      <c r="Q797" s="38"/>
      <c r="S797" s="14"/>
    </row>
    <row r="798" spans="1:19" x14ac:dyDescent="0.2">
      <c r="A798" s="37"/>
      <c r="B798" s="8"/>
      <c r="E798" s="38"/>
      <c r="H798" s="38"/>
      <c r="K798" s="38"/>
      <c r="N798" s="38"/>
      <c r="Q798" s="38"/>
      <c r="S798" s="14"/>
    </row>
    <row r="799" spans="1:19" x14ac:dyDescent="0.2">
      <c r="A799" s="37"/>
      <c r="B799" s="8"/>
      <c r="E799" s="38"/>
      <c r="H799" s="38"/>
      <c r="K799" s="38"/>
      <c r="N799" s="38"/>
      <c r="Q799" s="38"/>
      <c r="S799" s="14"/>
    </row>
    <row r="800" spans="1:19" x14ac:dyDescent="0.2">
      <c r="A800" s="37"/>
      <c r="B800" s="8"/>
      <c r="E800" s="38"/>
      <c r="H800" s="38"/>
      <c r="K800" s="38"/>
      <c r="N800" s="38"/>
      <c r="Q800" s="38"/>
      <c r="S800" s="14"/>
    </row>
    <row r="801" spans="1:19" x14ac:dyDescent="0.2">
      <c r="A801" s="37"/>
      <c r="B801" s="8"/>
      <c r="E801" s="38"/>
      <c r="H801" s="38"/>
      <c r="K801" s="38"/>
      <c r="N801" s="38"/>
      <c r="Q801" s="38"/>
      <c r="S801" s="14"/>
    </row>
    <row r="802" spans="1:19" x14ac:dyDescent="0.2">
      <c r="A802" s="37"/>
      <c r="B802" s="8"/>
      <c r="E802" s="38"/>
      <c r="H802" s="38"/>
      <c r="K802" s="38"/>
      <c r="N802" s="38"/>
      <c r="Q802" s="38"/>
      <c r="S802" s="14"/>
    </row>
    <row r="803" spans="1:19" x14ac:dyDescent="0.2">
      <c r="A803" s="37"/>
      <c r="B803" s="8"/>
      <c r="E803" s="38"/>
      <c r="H803" s="38"/>
      <c r="K803" s="38"/>
      <c r="N803" s="38"/>
      <c r="Q803" s="38"/>
      <c r="S803" s="14"/>
    </row>
    <row r="804" spans="1:19" x14ac:dyDescent="0.2">
      <c r="A804" s="37"/>
      <c r="B804" s="8"/>
      <c r="E804" s="38"/>
      <c r="H804" s="38"/>
      <c r="K804" s="38"/>
      <c r="N804" s="38"/>
      <c r="Q804" s="38"/>
      <c r="S804" s="14"/>
    </row>
    <row r="805" spans="1:19" x14ac:dyDescent="0.2">
      <c r="A805" s="37"/>
      <c r="B805" s="8"/>
      <c r="E805" s="38"/>
      <c r="H805" s="38"/>
      <c r="K805" s="38"/>
      <c r="N805" s="38"/>
      <c r="Q805" s="38"/>
      <c r="S805" s="14"/>
    </row>
    <row r="806" spans="1:19" x14ac:dyDescent="0.2">
      <c r="A806" s="37"/>
      <c r="B806" s="8"/>
      <c r="E806" s="38"/>
      <c r="H806" s="38"/>
      <c r="K806" s="38"/>
      <c r="N806" s="38"/>
      <c r="Q806" s="38"/>
      <c r="S806" s="14"/>
    </row>
    <row r="807" spans="1:19" x14ac:dyDescent="0.2">
      <c r="A807" s="37"/>
      <c r="B807" s="8"/>
      <c r="E807" s="38"/>
      <c r="H807" s="38"/>
      <c r="K807" s="38"/>
      <c r="N807" s="38"/>
      <c r="Q807" s="38"/>
      <c r="S807" s="14"/>
    </row>
    <row r="808" spans="1:19" x14ac:dyDescent="0.2">
      <c r="A808" s="37"/>
      <c r="B808" s="8"/>
      <c r="E808" s="38"/>
      <c r="H808" s="38"/>
      <c r="K808" s="38"/>
      <c r="N808" s="38"/>
      <c r="Q808" s="38"/>
      <c r="S808" s="14"/>
    </row>
    <row r="809" spans="1:19" x14ac:dyDescent="0.2">
      <c r="A809" s="37"/>
      <c r="B809" s="8"/>
      <c r="E809" s="38"/>
      <c r="H809" s="38"/>
      <c r="K809" s="38"/>
      <c r="N809" s="38"/>
      <c r="Q809" s="38"/>
      <c r="S809" s="14"/>
    </row>
    <row r="810" spans="1:19" x14ac:dyDescent="0.2">
      <c r="A810" s="37"/>
      <c r="B810" s="8"/>
      <c r="E810" s="38"/>
      <c r="H810" s="38"/>
      <c r="K810" s="38"/>
      <c r="N810" s="38"/>
      <c r="Q810" s="38"/>
      <c r="S810" s="14"/>
    </row>
    <row r="811" spans="1:19" x14ac:dyDescent="0.2">
      <c r="A811" s="37"/>
      <c r="B811" s="8"/>
      <c r="E811" s="38"/>
      <c r="H811" s="38"/>
      <c r="K811" s="38"/>
      <c r="N811" s="38"/>
      <c r="Q811" s="38"/>
      <c r="S811" s="14"/>
    </row>
    <row r="812" spans="1:19" x14ac:dyDescent="0.2">
      <c r="A812" s="37"/>
      <c r="B812" s="8"/>
      <c r="E812" s="38"/>
      <c r="H812" s="38"/>
      <c r="K812" s="38"/>
      <c r="N812" s="38"/>
      <c r="Q812" s="38"/>
      <c r="S812" s="14"/>
    </row>
    <row r="813" spans="1:19" x14ac:dyDescent="0.2">
      <c r="A813" s="37"/>
      <c r="B813" s="8"/>
      <c r="E813" s="38"/>
      <c r="H813" s="38"/>
      <c r="K813" s="38"/>
      <c r="N813" s="38"/>
      <c r="Q813" s="38"/>
      <c r="S813" s="14"/>
    </row>
    <row r="814" spans="1:19" x14ac:dyDescent="0.2">
      <c r="A814" s="37"/>
      <c r="B814" s="8"/>
      <c r="E814" s="38"/>
      <c r="H814" s="38"/>
      <c r="K814" s="38"/>
      <c r="N814" s="38"/>
      <c r="Q814" s="38"/>
      <c r="S814" s="14"/>
    </row>
    <row r="815" spans="1:19" x14ac:dyDescent="0.2">
      <c r="A815" s="37"/>
      <c r="B815" s="8"/>
      <c r="E815" s="38"/>
      <c r="H815" s="38"/>
      <c r="K815" s="38"/>
      <c r="N815" s="38"/>
      <c r="Q815" s="38"/>
      <c r="S815" s="14"/>
    </row>
    <row r="816" spans="1:19" x14ac:dyDescent="0.2">
      <c r="A816" s="37"/>
      <c r="B816" s="8"/>
      <c r="E816" s="38"/>
      <c r="H816" s="38"/>
      <c r="K816" s="38"/>
      <c r="N816" s="38"/>
      <c r="Q816" s="38"/>
      <c r="S816" s="14"/>
    </row>
    <row r="817" spans="1:19" x14ac:dyDescent="0.2">
      <c r="A817" s="37"/>
      <c r="B817" s="8"/>
      <c r="E817" s="38"/>
      <c r="H817" s="38"/>
      <c r="K817" s="38"/>
      <c r="N817" s="38"/>
      <c r="Q817" s="38"/>
      <c r="S817" s="14"/>
    </row>
    <row r="818" spans="1:19" x14ac:dyDescent="0.2">
      <c r="A818" s="37"/>
      <c r="B818" s="8"/>
      <c r="E818" s="38"/>
      <c r="H818" s="38"/>
      <c r="K818" s="38"/>
      <c r="N818" s="38"/>
      <c r="Q818" s="38"/>
      <c r="S818" s="14"/>
    </row>
    <row r="819" spans="1:19" x14ac:dyDescent="0.2">
      <c r="A819" s="37"/>
      <c r="B819" s="8"/>
      <c r="E819" s="38"/>
      <c r="H819" s="38"/>
      <c r="K819" s="38"/>
      <c r="N819" s="38"/>
      <c r="Q819" s="38"/>
      <c r="S819" s="14"/>
    </row>
    <row r="820" spans="1:19" x14ac:dyDescent="0.2">
      <c r="A820" s="37"/>
      <c r="B820" s="8"/>
      <c r="E820" s="38"/>
      <c r="H820" s="38"/>
      <c r="K820" s="38"/>
      <c r="N820" s="38"/>
      <c r="Q820" s="38"/>
      <c r="S820" s="14"/>
    </row>
    <row r="821" spans="1:19" x14ac:dyDescent="0.2">
      <c r="A821" s="37"/>
      <c r="B821" s="8"/>
      <c r="E821" s="38"/>
      <c r="H821" s="38"/>
      <c r="K821" s="38"/>
      <c r="N821" s="38"/>
      <c r="Q821" s="38"/>
      <c r="S821" s="14"/>
    </row>
    <row r="822" spans="1:19" x14ac:dyDescent="0.2">
      <c r="A822" s="37"/>
      <c r="B822" s="8"/>
      <c r="E822" s="38"/>
      <c r="H822" s="38"/>
      <c r="K822" s="38"/>
      <c r="N822" s="38"/>
      <c r="Q822" s="38"/>
      <c r="S822" s="14"/>
    </row>
    <row r="823" spans="1:19" x14ac:dyDescent="0.2">
      <c r="A823" s="37"/>
      <c r="B823" s="8"/>
      <c r="E823" s="38"/>
      <c r="H823" s="38"/>
      <c r="K823" s="38"/>
      <c r="N823" s="38"/>
      <c r="Q823" s="38"/>
      <c r="S823" s="14"/>
    </row>
    <row r="824" spans="1:19" x14ac:dyDescent="0.2">
      <c r="A824" s="37"/>
      <c r="B824" s="8"/>
      <c r="E824" s="38"/>
      <c r="H824" s="38"/>
      <c r="K824" s="38"/>
      <c r="N824" s="38"/>
      <c r="Q824" s="38"/>
      <c r="S824" s="14"/>
    </row>
    <row r="825" spans="1:19" x14ac:dyDescent="0.2">
      <c r="A825" s="37"/>
      <c r="B825" s="8"/>
      <c r="E825" s="38"/>
      <c r="H825" s="38"/>
      <c r="K825" s="38"/>
      <c r="N825" s="38"/>
      <c r="Q825" s="38"/>
      <c r="S825" s="14"/>
    </row>
    <row r="826" spans="1:19" x14ac:dyDescent="0.2">
      <c r="A826" s="37"/>
      <c r="B826" s="8"/>
      <c r="E826" s="38"/>
      <c r="H826" s="38"/>
      <c r="K826" s="38"/>
      <c r="N826" s="38"/>
      <c r="Q826" s="38"/>
      <c r="S826" s="14"/>
    </row>
    <row r="827" spans="1:19" x14ac:dyDescent="0.2">
      <c r="A827" s="37"/>
      <c r="B827" s="8"/>
      <c r="E827" s="38"/>
      <c r="H827" s="38"/>
      <c r="K827" s="38"/>
      <c r="N827" s="38"/>
      <c r="Q827" s="38"/>
      <c r="S827" s="14"/>
    </row>
    <row r="828" spans="1:19" x14ac:dyDescent="0.2">
      <c r="A828" s="37"/>
      <c r="B828" s="8"/>
      <c r="E828" s="38"/>
      <c r="H828" s="38"/>
      <c r="K828" s="38"/>
      <c r="N828" s="38"/>
      <c r="Q828" s="38"/>
      <c r="S828" s="14"/>
    </row>
    <row r="829" spans="1:19" x14ac:dyDescent="0.2">
      <c r="A829" s="37"/>
      <c r="B829" s="8"/>
      <c r="E829" s="38"/>
      <c r="H829" s="38"/>
      <c r="K829" s="38"/>
      <c r="N829" s="38"/>
      <c r="Q829" s="38"/>
      <c r="S829" s="14"/>
    </row>
    <row r="830" spans="1:19" x14ac:dyDescent="0.2">
      <c r="A830" s="37"/>
      <c r="B830" s="8"/>
      <c r="E830" s="38"/>
      <c r="H830" s="38"/>
      <c r="K830" s="38"/>
      <c r="N830" s="38"/>
      <c r="Q830" s="38"/>
      <c r="S830" s="14"/>
    </row>
    <row r="831" spans="1:19" x14ac:dyDescent="0.2">
      <c r="A831" s="37"/>
      <c r="B831" s="8"/>
      <c r="E831" s="38"/>
      <c r="H831" s="38"/>
      <c r="K831" s="38"/>
      <c r="N831" s="38"/>
      <c r="Q831" s="38"/>
      <c r="S831" s="14"/>
    </row>
    <row r="832" spans="1:19" x14ac:dyDescent="0.2">
      <c r="A832" s="37"/>
      <c r="B832" s="8"/>
      <c r="E832" s="38"/>
      <c r="H832" s="38"/>
      <c r="K832" s="38"/>
      <c r="N832" s="38"/>
      <c r="Q832" s="38"/>
      <c r="S832" s="14"/>
    </row>
    <row r="833" spans="1:19" x14ac:dyDescent="0.2">
      <c r="A833" s="37"/>
      <c r="B833" s="8"/>
      <c r="E833" s="38"/>
      <c r="H833" s="38"/>
      <c r="K833" s="38"/>
      <c r="N833" s="38"/>
      <c r="Q833" s="38"/>
      <c r="S833" s="14"/>
    </row>
    <row r="834" spans="1:19" x14ac:dyDescent="0.2">
      <c r="A834" s="37"/>
      <c r="B834" s="8"/>
      <c r="E834" s="38"/>
      <c r="H834" s="38"/>
      <c r="K834" s="38"/>
      <c r="N834" s="38"/>
      <c r="Q834" s="38"/>
      <c r="S834" s="14"/>
    </row>
    <row r="835" spans="1:19" x14ac:dyDescent="0.2">
      <c r="A835" s="37"/>
      <c r="B835" s="8"/>
      <c r="E835" s="38"/>
      <c r="H835" s="38"/>
      <c r="K835" s="38"/>
      <c r="N835" s="38"/>
      <c r="Q835" s="38"/>
      <c r="S835" s="14"/>
    </row>
    <row r="836" spans="1:19" x14ac:dyDescent="0.2">
      <c r="A836" s="37"/>
      <c r="B836" s="8"/>
      <c r="E836" s="38"/>
      <c r="H836" s="38"/>
      <c r="K836" s="38"/>
      <c r="N836" s="38"/>
      <c r="Q836" s="38"/>
      <c r="S836" s="14"/>
    </row>
    <row r="837" spans="1:19" x14ac:dyDescent="0.2">
      <c r="A837" s="37"/>
      <c r="B837" s="8"/>
      <c r="E837" s="38"/>
      <c r="H837" s="38"/>
      <c r="K837" s="38"/>
      <c r="N837" s="38"/>
      <c r="Q837" s="38"/>
      <c r="S837" s="14"/>
    </row>
    <row r="838" spans="1:19" x14ac:dyDescent="0.2">
      <c r="A838" s="37"/>
      <c r="B838" s="8"/>
      <c r="E838" s="38"/>
      <c r="H838" s="38"/>
      <c r="K838" s="38"/>
      <c r="N838" s="38"/>
      <c r="Q838" s="38"/>
      <c r="S838" s="14"/>
    </row>
    <row r="839" spans="1:19" x14ac:dyDescent="0.2">
      <c r="A839" s="37"/>
      <c r="B839" s="8"/>
      <c r="E839" s="38"/>
      <c r="H839" s="38"/>
      <c r="K839" s="38"/>
      <c r="N839" s="38"/>
      <c r="Q839" s="38"/>
      <c r="S839" s="14"/>
    </row>
    <row r="840" spans="1:19" x14ac:dyDescent="0.2">
      <c r="A840" s="37"/>
      <c r="B840" s="8"/>
      <c r="E840" s="38"/>
      <c r="H840" s="38"/>
      <c r="K840" s="38"/>
      <c r="N840" s="38"/>
      <c r="Q840" s="38"/>
      <c r="S840" s="14"/>
    </row>
    <row r="841" spans="1:19" x14ac:dyDescent="0.2">
      <c r="A841" s="37"/>
      <c r="B841" s="8"/>
      <c r="E841" s="38"/>
      <c r="H841" s="38"/>
      <c r="K841" s="38"/>
      <c r="N841" s="38"/>
      <c r="Q841" s="38"/>
      <c r="S841" s="14"/>
    </row>
    <row r="842" spans="1:19" x14ac:dyDescent="0.2">
      <c r="A842" s="37"/>
      <c r="B842" s="8"/>
      <c r="E842" s="38"/>
      <c r="H842" s="38"/>
      <c r="K842" s="38"/>
      <c r="N842" s="38"/>
      <c r="Q842" s="38"/>
      <c r="S842" s="14"/>
    </row>
    <row r="843" spans="1:19" x14ac:dyDescent="0.2">
      <c r="A843" s="37"/>
      <c r="B843" s="8"/>
      <c r="E843" s="38"/>
      <c r="H843" s="38"/>
      <c r="K843" s="38"/>
      <c r="N843" s="38"/>
      <c r="Q843" s="38"/>
      <c r="S843" s="14"/>
    </row>
    <row r="844" spans="1:19" x14ac:dyDescent="0.2">
      <c r="A844" s="37"/>
      <c r="B844" s="8"/>
      <c r="E844" s="38"/>
      <c r="H844" s="38"/>
      <c r="K844" s="38"/>
      <c r="N844" s="38"/>
      <c r="Q844" s="38"/>
      <c r="S844" s="14"/>
    </row>
    <row r="845" spans="1:19" x14ac:dyDescent="0.2">
      <c r="A845" s="37"/>
      <c r="B845" s="8"/>
      <c r="E845" s="38"/>
      <c r="H845" s="38"/>
      <c r="K845" s="38"/>
      <c r="N845" s="38"/>
      <c r="Q845" s="38"/>
      <c r="S845" s="14"/>
    </row>
    <row r="846" spans="1:19" x14ac:dyDescent="0.2">
      <c r="A846" s="37"/>
      <c r="B846" s="8"/>
      <c r="E846" s="38"/>
      <c r="H846" s="38"/>
      <c r="K846" s="38"/>
      <c r="N846" s="38"/>
      <c r="Q846" s="38"/>
      <c r="S846" s="14"/>
    </row>
    <row r="847" spans="1:19" x14ac:dyDescent="0.2">
      <c r="A847" s="37"/>
      <c r="B847" s="8"/>
      <c r="E847" s="38"/>
      <c r="H847" s="38"/>
      <c r="K847" s="38"/>
      <c r="N847" s="38"/>
      <c r="Q847" s="38"/>
      <c r="S847" s="14"/>
    </row>
    <row r="848" spans="1:19" x14ac:dyDescent="0.2">
      <c r="A848" s="37"/>
      <c r="B848" s="8"/>
      <c r="E848" s="38"/>
      <c r="H848" s="38"/>
      <c r="K848" s="38"/>
      <c r="N848" s="38"/>
      <c r="Q848" s="38"/>
      <c r="S848" s="14"/>
    </row>
    <row r="849" spans="1:19" x14ac:dyDescent="0.2">
      <c r="A849" s="37"/>
      <c r="B849" s="8"/>
      <c r="E849" s="38"/>
      <c r="H849" s="38"/>
      <c r="K849" s="38"/>
      <c r="N849" s="38"/>
      <c r="Q849" s="38"/>
      <c r="S849" s="14"/>
    </row>
    <row r="850" spans="1:19" x14ac:dyDescent="0.2">
      <c r="A850" s="37"/>
      <c r="B850" s="8"/>
      <c r="E850" s="38"/>
      <c r="H850" s="38"/>
      <c r="K850" s="38"/>
      <c r="N850" s="38"/>
      <c r="Q850" s="38"/>
      <c r="S850" s="14"/>
    </row>
    <row r="851" spans="1:19" x14ac:dyDescent="0.2">
      <c r="A851" s="37"/>
      <c r="B851" s="8"/>
      <c r="E851" s="38"/>
      <c r="H851" s="38"/>
      <c r="K851" s="38"/>
      <c r="N851" s="38"/>
      <c r="Q851" s="38"/>
      <c r="S851" s="14"/>
    </row>
    <row r="852" spans="1:19" x14ac:dyDescent="0.2">
      <c r="A852" s="37"/>
      <c r="B852" s="8"/>
      <c r="E852" s="38"/>
      <c r="H852" s="38"/>
      <c r="K852" s="38"/>
      <c r="N852" s="38"/>
      <c r="Q852" s="38"/>
      <c r="S852" s="14"/>
    </row>
    <row r="853" spans="1:19" x14ac:dyDescent="0.2">
      <c r="A853" s="37"/>
      <c r="B853" s="8"/>
      <c r="E853" s="38"/>
      <c r="H853" s="38"/>
      <c r="K853" s="38"/>
      <c r="N853" s="38"/>
      <c r="Q853" s="38"/>
      <c r="S853" s="14"/>
    </row>
    <row r="854" spans="1:19" x14ac:dyDescent="0.2">
      <c r="A854" s="37"/>
      <c r="B854" s="8"/>
      <c r="E854" s="38"/>
      <c r="H854" s="38"/>
      <c r="K854" s="38"/>
      <c r="N854" s="38"/>
      <c r="Q854" s="38"/>
      <c r="S854" s="14"/>
    </row>
    <row r="855" spans="1:19" x14ac:dyDescent="0.2">
      <c r="A855" s="37"/>
      <c r="B855" s="8"/>
      <c r="E855" s="38"/>
      <c r="H855" s="38"/>
      <c r="K855" s="38"/>
      <c r="N855" s="38"/>
      <c r="Q855" s="38"/>
      <c r="S855" s="14"/>
    </row>
    <row r="856" spans="1:19" x14ac:dyDescent="0.2">
      <c r="A856" s="37"/>
      <c r="B856" s="8"/>
      <c r="E856" s="38"/>
      <c r="H856" s="38"/>
      <c r="K856" s="38"/>
      <c r="N856" s="38"/>
      <c r="Q856" s="38"/>
      <c r="S856" s="14"/>
    </row>
    <row r="857" spans="1:19" x14ac:dyDescent="0.2">
      <c r="A857" s="37"/>
      <c r="B857" s="8"/>
      <c r="E857" s="38"/>
      <c r="H857" s="38"/>
      <c r="K857" s="38"/>
      <c r="N857" s="38"/>
      <c r="Q857" s="38"/>
      <c r="S857" s="14"/>
    </row>
    <row r="858" spans="1:19" x14ac:dyDescent="0.2">
      <c r="A858" s="37"/>
      <c r="B858" s="8"/>
      <c r="E858" s="38"/>
      <c r="H858" s="38"/>
      <c r="K858" s="38"/>
      <c r="N858" s="38"/>
      <c r="Q858" s="38"/>
      <c r="S858" s="14"/>
    </row>
    <row r="859" spans="1:19" x14ac:dyDescent="0.2">
      <c r="A859" s="37"/>
      <c r="B859" s="8"/>
      <c r="E859" s="38"/>
      <c r="H859" s="38"/>
      <c r="K859" s="38"/>
      <c r="N859" s="38"/>
      <c r="Q859" s="38"/>
      <c r="S859" s="14"/>
    </row>
    <row r="860" spans="1:19" x14ac:dyDescent="0.2">
      <c r="A860" s="37"/>
      <c r="B860" s="8"/>
      <c r="E860" s="38"/>
      <c r="H860" s="38"/>
      <c r="K860" s="38"/>
      <c r="N860" s="38"/>
      <c r="Q860" s="38"/>
      <c r="S860" s="14"/>
    </row>
    <row r="861" spans="1:19" x14ac:dyDescent="0.2">
      <c r="A861" s="37"/>
      <c r="B861" s="8"/>
      <c r="E861" s="38"/>
      <c r="H861" s="38"/>
      <c r="K861" s="38"/>
      <c r="N861" s="38"/>
      <c r="Q861" s="38"/>
      <c r="S861" s="14"/>
    </row>
    <row r="862" spans="1:19" x14ac:dyDescent="0.2">
      <c r="A862" s="37"/>
      <c r="B862" s="8"/>
      <c r="E862" s="38"/>
      <c r="H862" s="38"/>
      <c r="K862" s="38"/>
      <c r="N862" s="38"/>
      <c r="Q862" s="38"/>
      <c r="S862" s="14"/>
    </row>
    <row r="863" spans="1:19" x14ac:dyDescent="0.2">
      <c r="A863" s="37"/>
      <c r="B863" s="8"/>
      <c r="E863" s="38"/>
      <c r="H863" s="38"/>
      <c r="K863" s="38"/>
      <c r="N863" s="38"/>
      <c r="Q863" s="38"/>
      <c r="S863" s="14"/>
    </row>
    <row r="864" spans="1:19" x14ac:dyDescent="0.2">
      <c r="A864" s="37"/>
      <c r="B864" s="8"/>
      <c r="E864" s="38"/>
      <c r="H864" s="38"/>
      <c r="K864" s="38"/>
      <c r="N864" s="38"/>
      <c r="Q864" s="38"/>
      <c r="S864" s="14"/>
    </row>
    <row r="865" spans="1:19" x14ac:dyDescent="0.2">
      <c r="A865" s="37"/>
      <c r="B865" s="8"/>
      <c r="E865" s="38"/>
      <c r="H865" s="38"/>
      <c r="K865" s="38"/>
      <c r="N865" s="38"/>
      <c r="Q865" s="38"/>
      <c r="S865" s="14"/>
    </row>
    <row r="866" spans="1:19" x14ac:dyDescent="0.2">
      <c r="A866" s="37"/>
      <c r="B866" s="8"/>
      <c r="E866" s="38"/>
      <c r="H866" s="38"/>
      <c r="K866" s="38"/>
      <c r="N866" s="38"/>
      <c r="Q866" s="38"/>
      <c r="S866" s="14"/>
    </row>
    <row r="867" spans="1:19" x14ac:dyDescent="0.2">
      <c r="A867" s="37"/>
      <c r="B867" s="8"/>
      <c r="E867" s="38"/>
      <c r="H867" s="38"/>
      <c r="K867" s="38"/>
      <c r="N867" s="38"/>
      <c r="Q867" s="38"/>
      <c r="S867" s="14"/>
    </row>
    <row r="868" spans="1:19" x14ac:dyDescent="0.2">
      <c r="A868" s="37"/>
      <c r="B868" s="8"/>
      <c r="E868" s="38"/>
      <c r="H868" s="38"/>
      <c r="K868" s="38"/>
      <c r="N868" s="38"/>
      <c r="Q868" s="38"/>
      <c r="S868" s="14"/>
    </row>
    <row r="869" spans="1:19" x14ac:dyDescent="0.2">
      <c r="A869" s="37"/>
      <c r="B869" s="8"/>
      <c r="E869" s="38"/>
      <c r="H869" s="38"/>
      <c r="K869" s="38"/>
      <c r="N869" s="38"/>
      <c r="Q869" s="38"/>
      <c r="S869" s="14"/>
    </row>
    <row r="870" spans="1:19" x14ac:dyDescent="0.2">
      <c r="A870" s="37"/>
      <c r="B870" s="8"/>
      <c r="E870" s="38"/>
      <c r="H870" s="38"/>
      <c r="K870" s="38"/>
      <c r="N870" s="38"/>
      <c r="Q870" s="38"/>
      <c r="S870" s="14"/>
    </row>
    <row r="871" spans="1:19" x14ac:dyDescent="0.2">
      <c r="A871" s="37"/>
      <c r="B871" s="8"/>
      <c r="E871" s="38"/>
      <c r="H871" s="38"/>
      <c r="K871" s="38"/>
      <c r="N871" s="38"/>
      <c r="Q871" s="38"/>
      <c r="S871" s="14"/>
    </row>
    <row r="872" spans="1:19" x14ac:dyDescent="0.2">
      <c r="A872" s="37"/>
      <c r="B872" s="8"/>
      <c r="E872" s="38"/>
      <c r="H872" s="38"/>
      <c r="K872" s="38"/>
      <c r="N872" s="38"/>
      <c r="Q872" s="38"/>
      <c r="S872" s="14"/>
    </row>
    <row r="873" spans="1:19" x14ac:dyDescent="0.2">
      <c r="A873" s="37"/>
      <c r="B873" s="8"/>
      <c r="E873" s="38"/>
      <c r="H873" s="38"/>
      <c r="K873" s="38"/>
      <c r="N873" s="38"/>
      <c r="Q873" s="38"/>
      <c r="S873" s="14"/>
    </row>
    <row r="874" spans="1:19" x14ac:dyDescent="0.2">
      <c r="A874" s="37"/>
      <c r="B874" s="8"/>
      <c r="E874" s="38"/>
      <c r="H874" s="38"/>
      <c r="K874" s="38"/>
      <c r="N874" s="38"/>
      <c r="Q874" s="38"/>
      <c r="S874" s="14"/>
    </row>
    <row r="875" spans="1:19" x14ac:dyDescent="0.2">
      <c r="A875" s="37"/>
      <c r="B875" s="8"/>
      <c r="E875" s="38"/>
      <c r="H875" s="38"/>
      <c r="K875" s="38"/>
      <c r="N875" s="38"/>
      <c r="Q875" s="38"/>
      <c r="S875" s="14"/>
    </row>
    <row r="876" spans="1:19" x14ac:dyDescent="0.2">
      <c r="A876" s="37"/>
      <c r="B876" s="8"/>
      <c r="E876" s="38"/>
      <c r="H876" s="38"/>
      <c r="K876" s="38"/>
      <c r="N876" s="38"/>
      <c r="Q876" s="38"/>
      <c r="S876" s="14"/>
    </row>
    <row r="877" spans="1:19" x14ac:dyDescent="0.2">
      <c r="A877" s="37"/>
      <c r="B877" s="8"/>
      <c r="E877" s="38"/>
      <c r="H877" s="38"/>
      <c r="K877" s="38"/>
      <c r="N877" s="38"/>
      <c r="Q877" s="38"/>
      <c r="S877" s="14"/>
    </row>
    <row r="878" spans="1:19" x14ac:dyDescent="0.2">
      <c r="A878" s="37"/>
      <c r="B878" s="8"/>
      <c r="E878" s="38"/>
      <c r="H878" s="38"/>
      <c r="K878" s="38"/>
      <c r="N878" s="38"/>
      <c r="Q878" s="38"/>
      <c r="S878" s="14"/>
    </row>
    <row r="879" spans="1:19" x14ac:dyDescent="0.2">
      <c r="A879" s="37"/>
      <c r="B879" s="8"/>
      <c r="E879" s="38"/>
      <c r="H879" s="38"/>
      <c r="K879" s="38"/>
      <c r="N879" s="38"/>
      <c r="Q879" s="38"/>
      <c r="S879" s="14"/>
    </row>
    <row r="880" spans="1:19" x14ac:dyDescent="0.2">
      <c r="A880" s="37"/>
      <c r="B880" s="8"/>
      <c r="E880" s="38"/>
      <c r="H880" s="38"/>
      <c r="K880" s="38"/>
      <c r="N880" s="38"/>
      <c r="Q880" s="38"/>
      <c r="S880" s="14"/>
    </row>
    <row r="881" spans="1:19" x14ac:dyDescent="0.2">
      <c r="A881" s="37"/>
      <c r="B881" s="8"/>
      <c r="E881" s="38"/>
      <c r="H881" s="38"/>
      <c r="K881" s="38"/>
      <c r="N881" s="38"/>
      <c r="Q881" s="38"/>
      <c r="S881" s="14"/>
    </row>
    <row r="882" spans="1:19" x14ac:dyDescent="0.2">
      <c r="A882" s="37"/>
      <c r="B882" s="8"/>
      <c r="E882" s="38"/>
      <c r="H882" s="38"/>
      <c r="K882" s="38"/>
      <c r="N882" s="38"/>
      <c r="Q882" s="38"/>
      <c r="S882" s="14"/>
    </row>
    <row r="883" spans="1:19" x14ac:dyDescent="0.2">
      <c r="A883" s="37"/>
      <c r="B883" s="8"/>
      <c r="E883" s="38"/>
      <c r="H883" s="38"/>
      <c r="K883" s="38"/>
      <c r="N883" s="38"/>
      <c r="Q883" s="38"/>
      <c r="S883" s="14"/>
    </row>
    <row r="884" spans="1:19" x14ac:dyDescent="0.2">
      <c r="A884" s="37"/>
      <c r="B884" s="8"/>
      <c r="E884" s="38"/>
      <c r="H884" s="38"/>
      <c r="K884" s="38"/>
      <c r="N884" s="38"/>
      <c r="Q884" s="38"/>
      <c r="S884" s="14"/>
    </row>
    <row r="885" spans="1:19" x14ac:dyDescent="0.2">
      <c r="A885" s="37"/>
      <c r="B885" s="8"/>
      <c r="E885" s="38"/>
      <c r="H885" s="38"/>
      <c r="K885" s="38"/>
      <c r="N885" s="38"/>
      <c r="Q885" s="38"/>
      <c r="S885" s="14"/>
    </row>
    <row r="886" spans="1:19" x14ac:dyDescent="0.2">
      <c r="A886" s="37"/>
      <c r="B886" s="8"/>
      <c r="E886" s="38"/>
      <c r="H886" s="38"/>
      <c r="K886" s="38"/>
      <c r="N886" s="38"/>
      <c r="Q886" s="38"/>
      <c r="S886" s="14"/>
    </row>
    <row r="887" spans="1:19" x14ac:dyDescent="0.2">
      <c r="A887" s="37"/>
      <c r="B887" s="8"/>
      <c r="E887" s="38"/>
      <c r="H887" s="38"/>
      <c r="K887" s="38"/>
      <c r="N887" s="38"/>
      <c r="Q887" s="38"/>
      <c r="S887" s="14"/>
    </row>
    <row r="888" spans="1:19" x14ac:dyDescent="0.2">
      <c r="A888" s="37"/>
      <c r="B888" s="8"/>
      <c r="E888" s="38"/>
      <c r="H888" s="38"/>
      <c r="K888" s="38"/>
      <c r="N888" s="38"/>
      <c r="Q888" s="38"/>
      <c r="S888" s="14"/>
    </row>
    <row r="889" spans="1:19" x14ac:dyDescent="0.2">
      <c r="A889" s="37"/>
      <c r="B889" s="8"/>
      <c r="E889" s="38"/>
      <c r="H889" s="38"/>
      <c r="K889" s="38"/>
      <c r="N889" s="38"/>
      <c r="Q889" s="38"/>
      <c r="S889" s="14"/>
    </row>
    <row r="890" spans="1:19" x14ac:dyDescent="0.2">
      <c r="A890" s="37"/>
      <c r="B890" s="8"/>
      <c r="E890" s="38"/>
      <c r="H890" s="38"/>
      <c r="K890" s="38"/>
      <c r="N890" s="38"/>
      <c r="Q890" s="38"/>
      <c r="S890" s="14"/>
    </row>
    <row r="891" spans="1:19" x14ac:dyDescent="0.2">
      <c r="A891" s="37"/>
      <c r="B891" s="8"/>
      <c r="E891" s="38"/>
      <c r="H891" s="38"/>
      <c r="K891" s="38"/>
      <c r="N891" s="38"/>
      <c r="Q891" s="38"/>
      <c r="S891" s="14"/>
    </row>
    <row r="892" spans="1:19" x14ac:dyDescent="0.2">
      <c r="A892" s="37"/>
      <c r="B892" s="8"/>
      <c r="E892" s="38"/>
      <c r="H892" s="38"/>
      <c r="K892" s="38"/>
      <c r="N892" s="38"/>
      <c r="Q892" s="38"/>
      <c r="S892" s="14"/>
    </row>
    <row r="893" spans="1:19" x14ac:dyDescent="0.2">
      <c r="A893" s="37"/>
      <c r="B893" s="8"/>
      <c r="E893" s="38"/>
      <c r="H893" s="38"/>
      <c r="K893" s="38"/>
      <c r="N893" s="38"/>
      <c r="Q893" s="38"/>
      <c r="S893" s="14"/>
    </row>
    <row r="894" spans="1:19" x14ac:dyDescent="0.2">
      <c r="A894" s="37"/>
      <c r="B894" s="8"/>
      <c r="E894" s="38"/>
      <c r="H894" s="38"/>
      <c r="K894" s="38"/>
      <c r="N894" s="38"/>
      <c r="Q894" s="38"/>
      <c r="S894" s="14"/>
    </row>
    <row r="895" spans="1:19" x14ac:dyDescent="0.2">
      <c r="A895" s="37"/>
      <c r="B895" s="8"/>
      <c r="E895" s="38"/>
      <c r="H895" s="38"/>
      <c r="K895" s="38"/>
      <c r="N895" s="38"/>
      <c r="Q895" s="38"/>
      <c r="S895" s="14"/>
    </row>
    <row r="896" spans="1:19" x14ac:dyDescent="0.2">
      <c r="A896" s="37"/>
      <c r="B896" s="8"/>
      <c r="E896" s="38"/>
      <c r="H896" s="38"/>
      <c r="K896" s="38"/>
      <c r="N896" s="38"/>
      <c r="Q896" s="38"/>
      <c r="S896" s="14"/>
    </row>
    <row r="897" spans="1:19" x14ac:dyDescent="0.2">
      <c r="A897" s="37"/>
      <c r="B897" s="8"/>
      <c r="E897" s="38"/>
      <c r="H897" s="38"/>
      <c r="K897" s="38"/>
      <c r="N897" s="38"/>
      <c r="Q897" s="38"/>
      <c r="S897" s="14"/>
    </row>
    <row r="898" spans="1:19" x14ac:dyDescent="0.2">
      <c r="A898" s="37"/>
      <c r="B898" s="8"/>
      <c r="E898" s="38"/>
      <c r="H898" s="38"/>
      <c r="K898" s="38"/>
      <c r="N898" s="38"/>
      <c r="Q898" s="38"/>
      <c r="S898" s="14"/>
    </row>
    <row r="899" spans="1:19" x14ac:dyDescent="0.2">
      <c r="A899" s="37"/>
      <c r="B899" s="8"/>
      <c r="E899" s="38"/>
      <c r="H899" s="38"/>
      <c r="K899" s="38"/>
      <c r="N899" s="38"/>
      <c r="Q899" s="38"/>
      <c r="S899" s="14"/>
    </row>
    <row r="900" spans="1:19" x14ac:dyDescent="0.2">
      <c r="A900" s="37"/>
      <c r="B900" s="8"/>
      <c r="E900" s="38"/>
      <c r="H900" s="38"/>
      <c r="K900" s="38"/>
      <c r="N900" s="38"/>
      <c r="Q900" s="38"/>
      <c r="S900" s="14"/>
    </row>
    <row r="901" spans="1:19" x14ac:dyDescent="0.2">
      <c r="A901" s="37"/>
      <c r="B901" s="8"/>
      <c r="E901" s="38"/>
      <c r="H901" s="38"/>
      <c r="K901" s="38"/>
      <c r="N901" s="38"/>
      <c r="Q901" s="38"/>
      <c r="S901" s="14"/>
    </row>
    <row r="902" spans="1:19" x14ac:dyDescent="0.2">
      <c r="A902" s="37"/>
      <c r="B902" s="8"/>
      <c r="E902" s="38"/>
      <c r="H902" s="38"/>
      <c r="K902" s="38"/>
      <c r="N902" s="38"/>
      <c r="Q902" s="38"/>
      <c r="S902" s="14"/>
    </row>
    <row r="903" spans="1:19" x14ac:dyDescent="0.2">
      <c r="A903" s="37"/>
      <c r="B903" s="8"/>
      <c r="E903" s="38"/>
      <c r="H903" s="38"/>
      <c r="K903" s="38"/>
      <c r="N903" s="38"/>
      <c r="Q903" s="38"/>
      <c r="S903" s="14"/>
    </row>
    <row r="904" spans="1:19" x14ac:dyDescent="0.2">
      <c r="A904" s="37"/>
      <c r="B904" s="8"/>
      <c r="E904" s="38"/>
      <c r="H904" s="38"/>
      <c r="K904" s="38"/>
      <c r="N904" s="38"/>
      <c r="Q904" s="38"/>
      <c r="S904" s="14"/>
    </row>
    <row r="905" spans="1:19" x14ac:dyDescent="0.2">
      <c r="A905" s="37"/>
      <c r="B905" s="8"/>
      <c r="E905" s="38"/>
      <c r="H905" s="38"/>
      <c r="K905" s="38"/>
      <c r="N905" s="38"/>
      <c r="Q905" s="38"/>
      <c r="S905" s="14"/>
    </row>
    <row r="906" spans="1:19" x14ac:dyDescent="0.2">
      <c r="A906" s="37"/>
      <c r="B906" s="8"/>
      <c r="E906" s="38"/>
      <c r="H906" s="38"/>
      <c r="K906" s="38"/>
      <c r="N906" s="38"/>
      <c r="Q906" s="38"/>
      <c r="S906" s="14"/>
    </row>
    <row r="907" spans="1:19" x14ac:dyDescent="0.2">
      <c r="A907" s="37"/>
      <c r="B907" s="8"/>
      <c r="E907" s="38"/>
      <c r="H907" s="38"/>
      <c r="K907" s="38"/>
      <c r="N907" s="38"/>
      <c r="Q907" s="38"/>
      <c r="S907" s="14"/>
    </row>
    <row r="908" spans="1:19" x14ac:dyDescent="0.2">
      <c r="A908" s="37"/>
      <c r="B908" s="8"/>
      <c r="E908" s="38"/>
      <c r="H908" s="38"/>
      <c r="K908" s="38"/>
      <c r="N908" s="38"/>
      <c r="Q908" s="38"/>
      <c r="S908" s="14"/>
    </row>
    <row r="909" spans="1:19" x14ac:dyDescent="0.2">
      <c r="A909" s="37"/>
      <c r="B909" s="8"/>
      <c r="E909" s="38"/>
      <c r="H909" s="38"/>
      <c r="K909" s="38"/>
      <c r="N909" s="38"/>
      <c r="Q909" s="38"/>
      <c r="S909" s="14"/>
    </row>
    <row r="910" spans="1:19" x14ac:dyDescent="0.2">
      <c r="A910" s="37"/>
      <c r="B910" s="8"/>
      <c r="E910" s="38"/>
      <c r="H910" s="38"/>
      <c r="K910" s="38"/>
      <c r="N910" s="38"/>
      <c r="Q910" s="38"/>
      <c r="S910" s="14"/>
    </row>
    <row r="911" spans="1:19" x14ac:dyDescent="0.2">
      <c r="A911" s="37"/>
      <c r="B911" s="8"/>
      <c r="E911" s="38"/>
      <c r="H911" s="38"/>
      <c r="K911" s="38"/>
      <c r="N911" s="38"/>
      <c r="Q911" s="38"/>
      <c r="S911" s="14"/>
    </row>
    <row r="912" spans="1:19" x14ac:dyDescent="0.2">
      <c r="A912" s="37"/>
      <c r="B912" s="8"/>
      <c r="E912" s="38"/>
      <c r="H912" s="38"/>
      <c r="K912" s="38"/>
      <c r="N912" s="38"/>
      <c r="Q912" s="38"/>
      <c r="S912" s="14"/>
    </row>
    <row r="913" spans="1:19" x14ac:dyDescent="0.2">
      <c r="A913" s="37"/>
      <c r="B913" s="8"/>
      <c r="E913" s="38"/>
      <c r="H913" s="38"/>
      <c r="K913" s="38"/>
      <c r="N913" s="38"/>
      <c r="Q913" s="38"/>
      <c r="S913" s="14"/>
    </row>
    <row r="914" spans="1:19" x14ac:dyDescent="0.2">
      <c r="A914" s="37"/>
      <c r="B914" s="8"/>
      <c r="E914" s="38"/>
      <c r="H914" s="38"/>
      <c r="K914" s="38"/>
      <c r="N914" s="38"/>
      <c r="Q914" s="38"/>
      <c r="S914" s="14"/>
    </row>
    <row r="915" spans="1:19" x14ac:dyDescent="0.2">
      <c r="A915" s="37"/>
      <c r="B915" s="8"/>
      <c r="E915" s="38"/>
      <c r="H915" s="38"/>
      <c r="K915" s="38"/>
      <c r="N915" s="38"/>
      <c r="Q915" s="38"/>
      <c r="S915" s="14"/>
    </row>
    <row r="916" spans="1:19" x14ac:dyDescent="0.2">
      <c r="A916" s="37"/>
      <c r="B916" s="8"/>
      <c r="E916" s="38"/>
      <c r="H916" s="38"/>
      <c r="K916" s="38"/>
      <c r="N916" s="38"/>
      <c r="Q916" s="38"/>
      <c r="S916" s="14"/>
    </row>
    <row r="917" spans="1:19" x14ac:dyDescent="0.2">
      <c r="A917" s="37"/>
      <c r="B917" s="8"/>
      <c r="E917" s="38"/>
      <c r="H917" s="38"/>
      <c r="K917" s="38"/>
      <c r="N917" s="38"/>
      <c r="Q917" s="38"/>
      <c r="S917" s="14"/>
    </row>
    <row r="918" spans="1:19" x14ac:dyDescent="0.2">
      <c r="A918" s="37"/>
      <c r="B918" s="8"/>
      <c r="E918" s="38"/>
      <c r="H918" s="38"/>
      <c r="K918" s="38"/>
      <c r="N918" s="38"/>
      <c r="Q918" s="38"/>
      <c r="S918" s="14"/>
    </row>
    <row r="919" spans="1:19" x14ac:dyDescent="0.2">
      <c r="A919" s="37"/>
      <c r="B919" s="8"/>
      <c r="E919" s="38"/>
      <c r="H919" s="38"/>
      <c r="K919" s="38"/>
      <c r="N919" s="38"/>
      <c r="Q919" s="38"/>
      <c r="S919" s="14"/>
    </row>
    <row r="920" spans="1:19" x14ac:dyDescent="0.2">
      <c r="A920" s="37"/>
      <c r="B920" s="8"/>
      <c r="E920" s="38"/>
      <c r="H920" s="38"/>
      <c r="K920" s="38"/>
      <c r="N920" s="38"/>
      <c r="Q920" s="38"/>
      <c r="S920" s="14"/>
    </row>
    <row r="921" spans="1:19" x14ac:dyDescent="0.2">
      <c r="A921" s="37"/>
      <c r="B921" s="8"/>
      <c r="E921" s="38"/>
      <c r="H921" s="38"/>
      <c r="K921" s="38"/>
      <c r="N921" s="38"/>
      <c r="Q921" s="38"/>
      <c r="S921" s="14"/>
    </row>
    <row r="922" spans="1:19" x14ac:dyDescent="0.2">
      <c r="A922" s="37"/>
      <c r="B922" s="8"/>
      <c r="E922" s="38"/>
      <c r="H922" s="38"/>
      <c r="K922" s="38"/>
      <c r="N922" s="38"/>
      <c r="Q922" s="38"/>
      <c r="S922" s="14"/>
    </row>
    <row r="923" spans="1:19" x14ac:dyDescent="0.2">
      <c r="A923" s="37"/>
      <c r="B923" s="8"/>
      <c r="E923" s="38"/>
      <c r="H923" s="38"/>
      <c r="K923" s="38"/>
      <c r="N923" s="38"/>
      <c r="Q923" s="38"/>
      <c r="S923" s="14"/>
    </row>
    <row r="924" spans="1:19" x14ac:dyDescent="0.2">
      <c r="A924" s="37"/>
      <c r="B924" s="8"/>
      <c r="E924" s="38"/>
      <c r="H924" s="38"/>
      <c r="K924" s="38"/>
      <c r="N924" s="38"/>
      <c r="Q924" s="38"/>
      <c r="S924" s="14"/>
    </row>
    <row r="925" spans="1:19" x14ac:dyDescent="0.2">
      <c r="A925" s="37"/>
      <c r="B925" s="8"/>
      <c r="E925" s="38"/>
      <c r="H925" s="38"/>
      <c r="K925" s="38"/>
      <c r="N925" s="38"/>
      <c r="Q925" s="38"/>
      <c r="S925" s="14"/>
    </row>
    <row r="926" spans="1:19" x14ac:dyDescent="0.2">
      <c r="A926" s="37"/>
      <c r="B926" s="8"/>
      <c r="E926" s="38"/>
      <c r="H926" s="38"/>
      <c r="K926" s="38"/>
      <c r="N926" s="38"/>
      <c r="Q926" s="38"/>
      <c r="S926" s="14"/>
    </row>
    <row r="927" spans="1:19" x14ac:dyDescent="0.2">
      <c r="A927" s="37"/>
      <c r="B927" s="8"/>
      <c r="E927" s="38"/>
      <c r="H927" s="38"/>
      <c r="K927" s="38"/>
      <c r="N927" s="38"/>
      <c r="Q927" s="38"/>
      <c r="S927" s="14"/>
    </row>
    <row r="928" spans="1:19" x14ac:dyDescent="0.2">
      <c r="A928" s="37"/>
      <c r="B928" s="8"/>
      <c r="E928" s="38"/>
      <c r="H928" s="38"/>
      <c r="K928" s="38"/>
      <c r="N928" s="38"/>
      <c r="Q928" s="38"/>
      <c r="S928" s="14"/>
    </row>
    <row r="929" spans="1:19" x14ac:dyDescent="0.2">
      <c r="A929" s="37"/>
      <c r="B929" s="8"/>
      <c r="E929" s="38"/>
      <c r="H929" s="38"/>
      <c r="K929" s="38"/>
      <c r="N929" s="38"/>
      <c r="Q929" s="38"/>
      <c r="S929" s="14"/>
    </row>
    <row r="930" spans="1:19" x14ac:dyDescent="0.2">
      <c r="A930" s="37"/>
      <c r="B930" s="8"/>
      <c r="E930" s="38"/>
      <c r="H930" s="38"/>
      <c r="K930" s="38"/>
      <c r="N930" s="38"/>
      <c r="Q930" s="38"/>
      <c r="S930" s="14"/>
    </row>
    <row r="931" spans="1:19" x14ac:dyDescent="0.2">
      <c r="A931" s="37"/>
      <c r="B931" s="8"/>
      <c r="E931" s="38"/>
      <c r="H931" s="38"/>
      <c r="K931" s="38"/>
      <c r="N931" s="38"/>
      <c r="Q931" s="38"/>
      <c r="S931" s="14"/>
    </row>
    <row r="932" spans="1:19" x14ac:dyDescent="0.2">
      <c r="A932" s="37"/>
      <c r="B932" s="8"/>
      <c r="E932" s="38"/>
      <c r="H932" s="38"/>
      <c r="K932" s="38"/>
      <c r="N932" s="38"/>
      <c r="Q932" s="38"/>
      <c r="S932" s="14"/>
    </row>
    <row r="933" spans="1:19" x14ac:dyDescent="0.2">
      <c r="A933" s="37"/>
      <c r="B933" s="8"/>
      <c r="E933" s="38"/>
      <c r="H933" s="38"/>
      <c r="K933" s="38"/>
      <c r="N933" s="38"/>
      <c r="Q933" s="38"/>
      <c r="S933" s="14"/>
    </row>
    <row r="934" spans="1:19" x14ac:dyDescent="0.2">
      <c r="A934" s="37"/>
      <c r="B934" s="8"/>
      <c r="E934" s="38"/>
      <c r="H934" s="38"/>
      <c r="K934" s="38"/>
      <c r="N934" s="38"/>
      <c r="Q934" s="38"/>
      <c r="S934" s="14"/>
    </row>
    <row r="935" spans="1:19" x14ac:dyDescent="0.2">
      <c r="A935" s="37"/>
      <c r="B935" s="8"/>
      <c r="E935" s="38"/>
      <c r="H935" s="38"/>
      <c r="K935" s="38"/>
      <c r="N935" s="38"/>
      <c r="Q935" s="38"/>
      <c r="S935" s="14"/>
    </row>
    <row r="936" spans="1:19" x14ac:dyDescent="0.2">
      <c r="A936" s="37"/>
      <c r="B936" s="8"/>
      <c r="E936" s="38"/>
      <c r="H936" s="38"/>
      <c r="K936" s="38"/>
      <c r="N936" s="38"/>
      <c r="Q936" s="38"/>
      <c r="S936" s="14"/>
    </row>
    <row r="937" spans="1:19" x14ac:dyDescent="0.2">
      <c r="A937" s="37"/>
      <c r="B937" s="8"/>
      <c r="E937" s="38"/>
      <c r="H937" s="38"/>
      <c r="K937" s="38"/>
      <c r="N937" s="38"/>
      <c r="Q937" s="38"/>
      <c r="S937" s="14"/>
    </row>
    <row r="938" spans="1:19" x14ac:dyDescent="0.2">
      <c r="A938" s="37"/>
      <c r="B938" s="8"/>
      <c r="E938" s="38"/>
      <c r="H938" s="38"/>
      <c r="K938" s="38"/>
      <c r="N938" s="38"/>
      <c r="Q938" s="38"/>
      <c r="S938" s="14"/>
    </row>
    <row r="939" spans="1:19" x14ac:dyDescent="0.2">
      <c r="A939" s="37"/>
      <c r="B939" s="8"/>
      <c r="E939" s="38"/>
      <c r="H939" s="38"/>
      <c r="K939" s="38"/>
      <c r="N939" s="38"/>
      <c r="Q939" s="38"/>
      <c r="S939" s="14"/>
    </row>
    <row r="940" spans="1:19" x14ac:dyDescent="0.2">
      <c r="A940" s="37"/>
      <c r="B940" s="8"/>
      <c r="E940" s="38"/>
      <c r="H940" s="38"/>
      <c r="K940" s="38"/>
      <c r="N940" s="38"/>
      <c r="Q940" s="38"/>
      <c r="S940" s="14"/>
    </row>
    <row r="941" spans="1:19" x14ac:dyDescent="0.2">
      <c r="A941" s="37"/>
      <c r="B941" s="8"/>
      <c r="E941" s="38"/>
      <c r="H941" s="38"/>
      <c r="K941" s="38"/>
      <c r="N941" s="38"/>
      <c r="Q941" s="38"/>
      <c r="S941" s="14"/>
    </row>
    <row r="942" spans="1:19" x14ac:dyDescent="0.2">
      <c r="A942" s="37"/>
      <c r="B942" s="8"/>
      <c r="E942" s="38"/>
      <c r="H942" s="38"/>
      <c r="K942" s="38"/>
      <c r="N942" s="38"/>
      <c r="Q942" s="38"/>
      <c r="S942" s="14"/>
    </row>
    <row r="943" spans="1:19" x14ac:dyDescent="0.2">
      <c r="A943" s="37"/>
      <c r="B943" s="8"/>
      <c r="E943" s="38"/>
      <c r="H943" s="38"/>
      <c r="K943" s="38"/>
      <c r="N943" s="38"/>
      <c r="Q943" s="38"/>
      <c r="S943" s="14"/>
    </row>
    <row r="944" spans="1:19" x14ac:dyDescent="0.2">
      <c r="A944" s="37"/>
      <c r="B944" s="8"/>
      <c r="E944" s="38"/>
      <c r="H944" s="38"/>
      <c r="K944" s="38"/>
      <c r="N944" s="38"/>
      <c r="Q944" s="38"/>
      <c r="S944" s="14"/>
    </row>
    <row r="945" spans="1:19" x14ac:dyDescent="0.2">
      <c r="A945" s="37"/>
      <c r="B945" s="8"/>
      <c r="E945" s="38"/>
      <c r="H945" s="38"/>
      <c r="K945" s="38"/>
      <c r="N945" s="38"/>
      <c r="Q945" s="38"/>
      <c r="S945" s="14"/>
    </row>
    <row r="946" spans="1:19" x14ac:dyDescent="0.2">
      <c r="A946" s="37"/>
      <c r="B946" s="8"/>
      <c r="E946" s="38"/>
      <c r="H946" s="38"/>
      <c r="K946" s="38"/>
      <c r="N946" s="38"/>
      <c r="Q946" s="38"/>
      <c r="S946" s="14"/>
    </row>
    <row r="947" spans="1:19" x14ac:dyDescent="0.2">
      <c r="A947" s="37"/>
      <c r="B947" s="8"/>
      <c r="E947" s="38"/>
      <c r="H947" s="38"/>
      <c r="K947" s="38"/>
      <c r="N947" s="38"/>
      <c r="Q947" s="38"/>
      <c r="S947" s="14"/>
    </row>
    <row r="948" spans="1:19" x14ac:dyDescent="0.2">
      <c r="A948" s="37"/>
      <c r="B948" s="8"/>
      <c r="E948" s="38"/>
      <c r="H948" s="38"/>
      <c r="K948" s="38"/>
      <c r="N948" s="38"/>
      <c r="Q948" s="38"/>
      <c r="S948" s="14"/>
    </row>
    <row r="949" spans="1:19" x14ac:dyDescent="0.2">
      <c r="A949" s="37"/>
      <c r="B949" s="8"/>
      <c r="E949" s="38"/>
      <c r="H949" s="38"/>
      <c r="K949" s="38"/>
      <c r="N949" s="38"/>
      <c r="Q949" s="38"/>
      <c r="S949" s="14"/>
    </row>
    <row r="950" spans="1:19" x14ac:dyDescent="0.2">
      <c r="A950" s="37"/>
      <c r="B950" s="8"/>
      <c r="E950" s="38"/>
      <c r="H950" s="38"/>
      <c r="K950" s="38"/>
      <c r="N950" s="38"/>
      <c r="Q950" s="38"/>
      <c r="S950" s="14"/>
    </row>
    <row r="951" spans="1:19" x14ac:dyDescent="0.2">
      <c r="A951" s="37"/>
      <c r="B951" s="8"/>
      <c r="E951" s="38"/>
      <c r="H951" s="38"/>
      <c r="K951" s="38"/>
      <c r="N951" s="38"/>
      <c r="Q951" s="38"/>
      <c r="S951" s="14"/>
    </row>
    <row r="952" spans="1:19" x14ac:dyDescent="0.2">
      <c r="A952" s="37"/>
      <c r="B952" s="8"/>
      <c r="E952" s="38"/>
      <c r="H952" s="38"/>
      <c r="K952" s="38"/>
      <c r="N952" s="38"/>
      <c r="Q952" s="38"/>
      <c r="S952" s="14"/>
    </row>
    <row r="953" spans="1:19" x14ac:dyDescent="0.2">
      <c r="A953" s="37"/>
      <c r="B953" s="8"/>
      <c r="E953" s="38"/>
      <c r="H953" s="38"/>
      <c r="K953" s="38"/>
      <c r="N953" s="38"/>
      <c r="Q953" s="38"/>
      <c r="S953" s="14"/>
    </row>
    <row r="954" spans="1:19" x14ac:dyDescent="0.2">
      <c r="A954" s="37"/>
      <c r="B954" s="8"/>
      <c r="E954" s="38"/>
      <c r="H954" s="38"/>
      <c r="K954" s="38"/>
      <c r="N954" s="38"/>
      <c r="Q954" s="38"/>
      <c r="S954" s="14"/>
    </row>
    <row r="955" spans="1:19" x14ac:dyDescent="0.2">
      <c r="A955" s="37"/>
      <c r="B955" s="8"/>
      <c r="E955" s="38"/>
      <c r="H955" s="38"/>
      <c r="K955" s="38"/>
      <c r="N955" s="38"/>
      <c r="Q955" s="38"/>
      <c r="S955" s="14"/>
    </row>
    <row r="956" spans="1:19" x14ac:dyDescent="0.2">
      <c r="A956" s="37"/>
      <c r="B956" s="8"/>
      <c r="E956" s="38"/>
      <c r="H956" s="38"/>
      <c r="K956" s="38"/>
      <c r="N956" s="38"/>
      <c r="Q956" s="38"/>
      <c r="S956" s="14"/>
    </row>
    <row r="957" spans="1:19" x14ac:dyDescent="0.2">
      <c r="A957" s="37"/>
      <c r="B957" s="8"/>
      <c r="E957" s="38"/>
      <c r="H957" s="38"/>
      <c r="K957" s="38"/>
      <c r="N957" s="38"/>
      <c r="Q957" s="38"/>
      <c r="S957" s="14"/>
    </row>
    <row r="958" spans="1:19" x14ac:dyDescent="0.2">
      <c r="A958" s="37"/>
      <c r="B958" s="8"/>
      <c r="E958" s="38"/>
      <c r="H958" s="38"/>
      <c r="K958" s="38"/>
      <c r="N958" s="38"/>
      <c r="Q958" s="38"/>
      <c r="S958" s="14"/>
    </row>
    <row r="959" spans="1:19" x14ac:dyDescent="0.2">
      <c r="A959" s="37"/>
      <c r="B959" s="8"/>
      <c r="E959" s="38"/>
      <c r="H959" s="38"/>
      <c r="K959" s="38"/>
      <c r="N959" s="38"/>
      <c r="Q959" s="38"/>
      <c r="S959" s="14"/>
    </row>
    <row r="960" spans="1:19" x14ac:dyDescent="0.2">
      <c r="A960" s="37"/>
      <c r="B960" s="8"/>
      <c r="E960" s="38"/>
      <c r="H960" s="38"/>
      <c r="K960" s="38"/>
      <c r="N960" s="38"/>
      <c r="Q960" s="38"/>
      <c r="S960" s="14"/>
    </row>
    <row r="961" spans="1:19" x14ac:dyDescent="0.2">
      <c r="A961" s="37"/>
      <c r="B961" s="8"/>
      <c r="E961" s="38"/>
      <c r="H961" s="38"/>
      <c r="K961" s="38"/>
      <c r="N961" s="38"/>
      <c r="Q961" s="38"/>
      <c r="S961" s="14"/>
    </row>
    <row r="962" spans="1:19" x14ac:dyDescent="0.2">
      <c r="A962" s="37"/>
      <c r="B962" s="8"/>
      <c r="E962" s="38"/>
      <c r="H962" s="38"/>
      <c r="K962" s="38"/>
      <c r="N962" s="38"/>
      <c r="Q962" s="38"/>
      <c r="S962" s="14"/>
    </row>
    <row r="963" spans="1:19" x14ac:dyDescent="0.2">
      <c r="A963" s="37"/>
      <c r="B963" s="8"/>
      <c r="E963" s="38"/>
      <c r="H963" s="38"/>
      <c r="K963" s="38"/>
      <c r="N963" s="38"/>
      <c r="Q963" s="38"/>
      <c r="S963" s="14"/>
    </row>
    <row r="964" spans="1:19" x14ac:dyDescent="0.2">
      <c r="A964" s="37"/>
      <c r="B964" s="8"/>
      <c r="E964" s="38"/>
      <c r="H964" s="38"/>
      <c r="K964" s="38"/>
      <c r="N964" s="38"/>
      <c r="Q964" s="38"/>
      <c r="S964" s="14"/>
    </row>
    <row r="965" spans="1:19" x14ac:dyDescent="0.2">
      <c r="A965" s="37"/>
      <c r="B965" s="8"/>
      <c r="E965" s="38"/>
      <c r="H965" s="38"/>
      <c r="K965" s="38"/>
      <c r="N965" s="38"/>
      <c r="Q965" s="38"/>
      <c r="S965" s="14"/>
    </row>
    <row r="966" spans="1:19" x14ac:dyDescent="0.2">
      <c r="A966" s="37"/>
      <c r="B966" s="8"/>
      <c r="E966" s="38"/>
      <c r="H966" s="38"/>
      <c r="K966" s="38"/>
      <c r="N966" s="38"/>
      <c r="Q966" s="38"/>
      <c r="S966" s="14"/>
    </row>
    <row r="967" spans="1:19" x14ac:dyDescent="0.2">
      <c r="A967" s="37"/>
      <c r="B967" s="8"/>
      <c r="E967" s="38"/>
      <c r="H967" s="38"/>
      <c r="K967" s="38"/>
      <c r="N967" s="38"/>
      <c r="Q967" s="38"/>
      <c r="S967" s="14"/>
    </row>
    <row r="968" spans="1:19" x14ac:dyDescent="0.2">
      <c r="A968" s="37"/>
      <c r="B968" s="8"/>
      <c r="E968" s="38"/>
      <c r="H968" s="38"/>
      <c r="K968" s="38"/>
      <c r="N968" s="38"/>
      <c r="Q968" s="38"/>
      <c r="S968" s="14"/>
    </row>
    <row r="969" spans="1:19" x14ac:dyDescent="0.2">
      <c r="A969" s="37"/>
      <c r="B969" s="8"/>
      <c r="E969" s="38"/>
      <c r="H969" s="38"/>
      <c r="K969" s="38"/>
      <c r="N969" s="38"/>
      <c r="Q969" s="38"/>
      <c r="S969" s="14"/>
    </row>
    <row r="970" spans="1:19" x14ac:dyDescent="0.2">
      <c r="A970" s="37"/>
      <c r="B970" s="8"/>
      <c r="E970" s="38"/>
      <c r="H970" s="38"/>
      <c r="K970" s="38"/>
      <c r="N970" s="38"/>
      <c r="Q970" s="38"/>
      <c r="S970" s="14"/>
    </row>
    <row r="971" spans="1:19" x14ac:dyDescent="0.2">
      <c r="A971" s="37"/>
      <c r="B971" s="8"/>
      <c r="E971" s="38"/>
      <c r="H971" s="38"/>
      <c r="K971" s="38"/>
      <c r="N971" s="38"/>
      <c r="Q971" s="38"/>
      <c r="S971" s="14"/>
    </row>
    <row r="972" spans="1:19" x14ac:dyDescent="0.2">
      <c r="A972" s="37"/>
      <c r="B972" s="8"/>
      <c r="E972" s="38"/>
      <c r="H972" s="38"/>
      <c r="K972" s="38"/>
      <c r="N972" s="38"/>
      <c r="Q972" s="38"/>
      <c r="S972" s="14"/>
    </row>
    <row r="973" spans="1:19" x14ac:dyDescent="0.2">
      <c r="A973" s="37"/>
      <c r="B973" s="8"/>
      <c r="E973" s="38"/>
      <c r="H973" s="38"/>
      <c r="K973" s="38"/>
      <c r="N973" s="38"/>
      <c r="Q973" s="38"/>
      <c r="S973" s="14"/>
    </row>
    <row r="974" spans="1:19" x14ac:dyDescent="0.2">
      <c r="A974" s="37"/>
      <c r="B974" s="8"/>
      <c r="E974" s="38"/>
      <c r="H974" s="38"/>
      <c r="K974" s="38"/>
      <c r="N974" s="38"/>
      <c r="Q974" s="38"/>
      <c r="S974" s="14"/>
    </row>
    <row r="975" spans="1:19" x14ac:dyDescent="0.2">
      <c r="A975" s="37"/>
      <c r="B975" s="8"/>
      <c r="E975" s="38"/>
      <c r="H975" s="38"/>
      <c r="K975" s="38"/>
      <c r="N975" s="38"/>
      <c r="Q975" s="38"/>
      <c r="S975" s="14"/>
    </row>
    <row r="976" spans="1:19" x14ac:dyDescent="0.2">
      <c r="A976" s="37"/>
      <c r="B976" s="8"/>
      <c r="E976" s="38"/>
      <c r="H976" s="38"/>
      <c r="K976" s="38"/>
      <c r="N976" s="38"/>
      <c r="Q976" s="38"/>
      <c r="S976" s="14"/>
    </row>
    <row r="977" spans="1:19" x14ac:dyDescent="0.2">
      <c r="A977" s="37"/>
      <c r="B977" s="8"/>
      <c r="E977" s="38"/>
      <c r="H977" s="38"/>
      <c r="K977" s="38"/>
      <c r="N977" s="38"/>
      <c r="Q977" s="38"/>
      <c r="S977" s="14"/>
    </row>
    <row r="978" spans="1:19" x14ac:dyDescent="0.2">
      <c r="A978" s="37"/>
      <c r="B978" s="8"/>
      <c r="E978" s="38"/>
      <c r="H978" s="38"/>
      <c r="K978" s="38"/>
      <c r="N978" s="38"/>
      <c r="Q978" s="38"/>
      <c r="S978" s="14"/>
    </row>
    <row r="979" spans="1:19" x14ac:dyDescent="0.2">
      <c r="A979" s="37"/>
      <c r="B979" s="8"/>
      <c r="E979" s="38"/>
      <c r="H979" s="38"/>
      <c r="K979" s="38"/>
      <c r="N979" s="38"/>
      <c r="Q979" s="38"/>
      <c r="S979" s="14"/>
    </row>
    <row r="980" spans="1:19" x14ac:dyDescent="0.2">
      <c r="A980" s="37"/>
      <c r="B980" s="8"/>
      <c r="E980" s="38"/>
      <c r="H980" s="38"/>
      <c r="K980" s="38"/>
      <c r="N980" s="38"/>
      <c r="Q980" s="38"/>
      <c r="S980" s="14"/>
    </row>
    <row r="981" spans="1:19" x14ac:dyDescent="0.2">
      <c r="A981" s="37"/>
      <c r="B981" s="8"/>
      <c r="E981" s="38"/>
      <c r="H981" s="38"/>
      <c r="K981" s="38"/>
      <c r="N981" s="38"/>
      <c r="Q981" s="38"/>
      <c r="S981" s="14"/>
    </row>
    <row r="982" spans="1:19" x14ac:dyDescent="0.2">
      <c r="A982" s="37"/>
      <c r="B982" s="8"/>
      <c r="E982" s="38"/>
      <c r="H982" s="38"/>
      <c r="K982" s="38"/>
      <c r="N982" s="38"/>
      <c r="Q982" s="38"/>
      <c r="S982" s="14"/>
    </row>
    <row r="983" spans="1:19" x14ac:dyDescent="0.2">
      <c r="A983" s="37"/>
      <c r="B983" s="8"/>
      <c r="E983" s="38"/>
      <c r="H983" s="38"/>
      <c r="K983" s="38"/>
      <c r="N983" s="38"/>
      <c r="Q983" s="38"/>
      <c r="S983" s="14"/>
    </row>
    <row r="984" spans="1:19" x14ac:dyDescent="0.2">
      <c r="A984" s="37"/>
      <c r="B984" s="8"/>
      <c r="E984" s="38"/>
      <c r="H984" s="38"/>
      <c r="K984" s="38"/>
      <c r="N984" s="38"/>
      <c r="Q984" s="38"/>
      <c r="S984" s="14"/>
    </row>
    <row r="985" spans="1:19" x14ac:dyDescent="0.2">
      <c r="A985" s="37"/>
      <c r="B985" s="8"/>
      <c r="E985" s="38"/>
      <c r="H985" s="38"/>
      <c r="K985" s="38"/>
      <c r="N985" s="38"/>
      <c r="Q985" s="38"/>
      <c r="S985" s="14"/>
    </row>
    <row r="986" spans="1:19" x14ac:dyDescent="0.2">
      <c r="A986" s="37"/>
      <c r="B986" s="8"/>
      <c r="E986" s="38"/>
      <c r="H986" s="38"/>
      <c r="K986" s="38"/>
      <c r="N986" s="38"/>
      <c r="Q986" s="38"/>
      <c r="S986" s="14"/>
    </row>
    <row r="987" spans="1:19" x14ac:dyDescent="0.2">
      <c r="A987" s="37"/>
      <c r="B987" s="8"/>
      <c r="E987" s="38"/>
      <c r="H987" s="38"/>
      <c r="K987" s="38"/>
      <c r="N987" s="38"/>
      <c r="Q987" s="38"/>
      <c r="S987" s="14"/>
    </row>
    <row r="988" spans="1:19" x14ac:dyDescent="0.2">
      <c r="A988" s="37"/>
      <c r="B988" s="8"/>
      <c r="E988" s="38"/>
      <c r="H988" s="38"/>
      <c r="K988" s="38"/>
      <c r="N988" s="38"/>
      <c r="Q988" s="38"/>
      <c r="S988" s="14"/>
    </row>
    <row r="989" spans="1:19" x14ac:dyDescent="0.2">
      <c r="A989" s="37"/>
      <c r="B989" s="8"/>
      <c r="E989" s="38"/>
      <c r="H989" s="38"/>
      <c r="K989" s="38"/>
      <c r="N989" s="38"/>
      <c r="Q989" s="38"/>
      <c r="S989" s="14"/>
    </row>
    <row r="990" spans="1:19" x14ac:dyDescent="0.2">
      <c r="A990" s="37"/>
      <c r="B990" s="8"/>
      <c r="E990" s="38"/>
      <c r="H990" s="38"/>
      <c r="K990" s="38"/>
      <c r="N990" s="38"/>
      <c r="Q990" s="38"/>
      <c r="S990" s="14"/>
    </row>
    <row r="991" spans="1:19" x14ac:dyDescent="0.2">
      <c r="A991" s="37"/>
      <c r="B991" s="8"/>
      <c r="E991" s="38"/>
      <c r="H991" s="38"/>
      <c r="K991" s="38"/>
      <c r="N991" s="38"/>
      <c r="Q991" s="38"/>
      <c r="S991" s="14"/>
    </row>
    <row r="992" spans="1:19" x14ac:dyDescent="0.2">
      <c r="A992" s="37"/>
      <c r="B992" s="8"/>
      <c r="E992" s="38"/>
      <c r="H992" s="38"/>
      <c r="K992" s="38"/>
      <c r="N992" s="38"/>
      <c r="Q992" s="38"/>
      <c r="S992" s="14"/>
    </row>
    <row r="993" spans="1:19" x14ac:dyDescent="0.2">
      <c r="A993" s="37"/>
      <c r="B993" s="8"/>
      <c r="E993" s="38"/>
      <c r="H993" s="38"/>
      <c r="K993" s="38"/>
      <c r="N993" s="38"/>
      <c r="Q993" s="38"/>
      <c r="S993" s="14"/>
    </row>
    <row r="994" spans="1:19" x14ac:dyDescent="0.2">
      <c r="A994" s="37"/>
      <c r="B994" s="8"/>
      <c r="E994" s="38"/>
      <c r="H994" s="38"/>
      <c r="K994" s="38"/>
      <c r="N994" s="38"/>
      <c r="Q994" s="38"/>
      <c r="S994" s="14"/>
    </row>
    <row r="995" spans="1:19" x14ac:dyDescent="0.2">
      <c r="A995" s="37"/>
      <c r="B995" s="8"/>
      <c r="E995" s="38"/>
      <c r="H995" s="38"/>
      <c r="K995" s="38"/>
      <c r="N995" s="38"/>
      <c r="Q995" s="38"/>
      <c r="S995" s="14"/>
    </row>
    <row r="996" spans="1:19" x14ac:dyDescent="0.2">
      <c r="A996" s="37"/>
      <c r="B996" s="8"/>
      <c r="E996" s="38"/>
      <c r="H996" s="38"/>
      <c r="K996" s="38"/>
      <c r="N996" s="38"/>
      <c r="Q996" s="38"/>
      <c r="S996" s="14"/>
    </row>
    <row r="997" spans="1:19" x14ac:dyDescent="0.2">
      <c r="A997" s="37"/>
      <c r="B997" s="8"/>
      <c r="E997" s="38"/>
      <c r="H997" s="38"/>
      <c r="K997" s="38"/>
      <c r="N997" s="38"/>
      <c r="Q997" s="38"/>
      <c r="S997" s="14"/>
    </row>
    <row r="998" spans="1:19" x14ac:dyDescent="0.2">
      <c r="A998" s="37"/>
      <c r="B998" s="8"/>
      <c r="E998" s="38"/>
      <c r="H998" s="38"/>
      <c r="K998" s="38"/>
      <c r="N998" s="38"/>
      <c r="Q998" s="38"/>
      <c r="S998" s="14"/>
    </row>
    <row r="999" spans="1:19" x14ac:dyDescent="0.2">
      <c r="A999" s="37"/>
      <c r="B999" s="8"/>
      <c r="E999" s="38"/>
      <c r="H999" s="38"/>
      <c r="K999" s="38"/>
      <c r="N999" s="38"/>
      <c r="Q999" s="38"/>
      <c r="S999" s="14"/>
    </row>
    <row r="1000" spans="1:19" x14ac:dyDescent="0.2">
      <c r="A1000" s="37"/>
      <c r="B1000" s="8"/>
      <c r="E1000" s="38"/>
      <c r="H1000" s="38"/>
      <c r="K1000" s="38"/>
      <c r="N1000" s="38"/>
      <c r="Q1000" s="38"/>
      <c r="S1000" s="14"/>
    </row>
    <row r="1001" spans="1:19" x14ac:dyDescent="0.2">
      <c r="A1001" s="37"/>
      <c r="B1001" s="8"/>
      <c r="E1001" s="38"/>
      <c r="H1001" s="38"/>
      <c r="K1001" s="38"/>
      <c r="N1001" s="38"/>
      <c r="Q1001" s="38"/>
      <c r="S1001" s="14"/>
    </row>
    <row r="1002" spans="1:19" x14ac:dyDescent="0.2">
      <c r="A1002" s="37"/>
      <c r="B1002" s="8"/>
      <c r="E1002" s="38"/>
      <c r="H1002" s="38"/>
      <c r="K1002" s="38"/>
      <c r="N1002" s="38"/>
      <c r="Q1002" s="38"/>
      <c r="S1002" s="14"/>
    </row>
    <row r="1003" spans="1:19" x14ac:dyDescent="0.2">
      <c r="A1003" s="37"/>
      <c r="B1003" s="8"/>
      <c r="E1003" s="38"/>
      <c r="H1003" s="38"/>
      <c r="K1003" s="38"/>
      <c r="N1003" s="38"/>
      <c r="Q1003" s="38"/>
      <c r="S1003" s="14"/>
    </row>
    <row r="1004" spans="1:19" x14ac:dyDescent="0.2">
      <c r="A1004" s="37"/>
      <c r="B1004" s="8"/>
      <c r="E1004" s="38"/>
      <c r="H1004" s="38"/>
      <c r="K1004" s="38"/>
      <c r="N1004" s="38"/>
      <c r="Q1004" s="38"/>
      <c r="S1004" s="14"/>
    </row>
    <row r="1005" spans="1:19" x14ac:dyDescent="0.2">
      <c r="A1005" s="37"/>
      <c r="B1005" s="8"/>
      <c r="E1005" s="38"/>
      <c r="H1005" s="38"/>
      <c r="K1005" s="38"/>
      <c r="N1005" s="38"/>
      <c r="Q1005" s="38"/>
      <c r="S1005" s="14"/>
    </row>
    <row r="1006" spans="1:19" x14ac:dyDescent="0.2">
      <c r="A1006" s="37"/>
      <c r="B1006" s="8"/>
      <c r="E1006" s="38"/>
      <c r="H1006" s="38"/>
      <c r="K1006" s="38"/>
      <c r="N1006" s="38"/>
      <c r="Q1006" s="38"/>
      <c r="S1006" s="14"/>
    </row>
    <row r="1007" spans="1:19" x14ac:dyDescent="0.2">
      <c r="A1007" s="37"/>
      <c r="B1007" s="8"/>
      <c r="E1007" s="38"/>
      <c r="H1007" s="38"/>
      <c r="K1007" s="38"/>
      <c r="N1007" s="38"/>
      <c r="Q1007" s="38"/>
      <c r="S1007" s="14"/>
    </row>
    <row r="1008" spans="1:19" x14ac:dyDescent="0.2">
      <c r="A1008" s="37"/>
      <c r="B1008" s="8"/>
      <c r="E1008" s="38"/>
      <c r="H1008" s="38"/>
      <c r="K1008" s="38"/>
      <c r="N1008" s="38"/>
      <c r="Q1008" s="38"/>
      <c r="S1008" s="14"/>
    </row>
    <row r="1009" spans="1:19" x14ac:dyDescent="0.2">
      <c r="A1009" s="37"/>
      <c r="B1009" s="8"/>
      <c r="E1009" s="38"/>
      <c r="H1009" s="38"/>
      <c r="K1009" s="38"/>
      <c r="N1009" s="38"/>
      <c r="Q1009" s="38"/>
      <c r="S1009" s="14"/>
    </row>
    <row r="1010" spans="1:19" x14ac:dyDescent="0.2">
      <c r="A1010" s="37"/>
      <c r="B1010" s="8"/>
      <c r="E1010" s="38"/>
      <c r="H1010" s="38"/>
      <c r="K1010" s="38"/>
      <c r="N1010" s="38"/>
      <c r="Q1010" s="38"/>
      <c r="S1010" s="14"/>
    </row>
    <row r="1011" spans="1:19" x14ac:dyDescent="0.2">
      <c r="A1011" s="37"/>
      <c r="B1011" s="8"/>
      <c r="E1011" s="38"/>
      <c r="H1011" s="38"/>
      <c r="K1011" s="38"/>
      <c r="N1011" s="38"/>
      <c r="Q1011" s="38"/>
      <c r="S1011" s="14"/>
    </row>
    <row r="1012" spans="1:19" x14ac:dyDescent="0.2">
      <c r="A1012" s="37"/>
      <c r="B1012" s="8"/>
      <c r="E1012" s="38"/>
      <c r="H1012" s="38"/>
      <c r="K1012" s="38"/>
      <c r="N1012" s="38"/>
      <c r="Q1012" s="38"/>
      <c r="S1012" s="14"/>
    </row>
    <row r="1013" spans="1:19" x14ac:dyDescent="0.2">
      <c r="A1013" s="37"/>
      <c r="B1013" s="8"/>
      <c r="E1013" s="38"/>
      <c r="H1013" s="38"/>
      <c r="K1013" s="38"/>
      <c r="N1013" s="38"/>
      <c r="Q1013" s="38"/>
      <c r="S1013" s="14"/>
    </row>
    <row r="1014" spans="1:19" x14ac:dyDescent="0.2">
      <c r="A1014" s="37"/>
      <c r="B1014" s="8"/>
      <c r="E1014" s="38"/>
      <c r="H1014" s="38"/>
      <c r="K1014" s="38"/>
      <c r="N1014" s="38"/>
      <c r="Q1014" s="38"/>
      <c r="S1014" s="14"/>
    </row>
    <row r="1015" spans="1:19" x14ac:dyDescent="0.2">
      <c r="A1015" s="37"/>
      <c r="B1015" s="8"/>
      <c r="E1015" s="38"/>
      <c r="H1015" s="38"/>
      <c r="K1015" s="38"/>
      <c r="N1015" s="38"/>
      <c r="Q1015" s="38"/>
      <c r="S1015" s="14"/>
    </row>
    <row r="1016" spans="1:19" x14ac:dyDescent="0.2">
      <c r="A1016" s="37"/>
      <c r="B1016" s="8"/>
      <c r="E1016" s="38"/>
      <c r="H1016" s="38"/>
      <c r="K1016" s="38"/>
      <c r="N1016" s="38"/>
      <c r="Q1016" s="38"/>
      <c r="S1016" s="14"/>
    </row>
    <row r="1017" spans="1:19" x14ac:dyDescent="0.2">
      <c r="A1017" s="37"/>
      <c r="B1017" s="8"/>
      <c r="E1017" s="38"/>
      <c r="H1017" s="38"/>
      <c r="K1017" s="38"/>
      <c r="N1017" s="38"/>
      <c r="Q1017" s="38"/>
      <c r="S1017" s="14"/>
    </row>
    <row r="1018" spans="1:19" x14ac:dyDescent="0.2">
      <c r="A1018" s="37"/>
      <c r="B1018" s="8"/>
      <c r="E1018" s="38"/>
      <c r="H1018" s="38"/>
      <c r="K1018" s="38"/>
      <c r="N1018" s="38"/>
      <c r="Q1018" s="38"/>
      <c r="S1018" s="14"/>
    </row>
    <row r="1019" spans="1:19" x14ac:dyDescent="0.2">
      <c r="A1019" s="37"/>
      <c r="B1019" s="8"/>
      <c r="E1019" s="38"/>
      <c r="H1019" s="38"/>
      <c r="K1019" s="38"/>
      <c r="N1019" s="38"/>
      <c r="Q1019" s="38"/>
      <c r="S1019" s="14"/>
    </row>
    <row r="1020" spans="1:19" x14ac:dyDescent="0.2">
      <c r="A1020" s="37"/>
      <c r="B1020" s="8"/>
      <c r="E1020" s="38"/>
      <c r="H1020" s="38"/>
      <c r="K1020" s="38"/>
      <c r="N1020" s="38"/>
      <c r="Q1020" s="38"/>
      <c r="S1020" s="14"/>
    </row>
    <row r="1021" spans="1:19" x14ac:dyDescent="0.2">
      <c r="A1021" s="37"/>
      <c r="B1021" s="8"/>
      <c r="E1021" s="38"/>
      <c r="H1021" s="38"/>
      <c r="K1021" s="38"/>
      <c r="N1021" s="38"/>
      <c r="Q1021" s="38"/>
      <c r="S1021" s="14"/>
    </row>
    <row r="1022" spans="1:19" x14ac:dyDescent="0.2">
      <c r="A1022" s="37"/>
      <c r="B1022" s="8"/>
      <c r="E1022" s="38"/>
      <c r="H1022" s="38"/>
      <c r="K1022" s="38"/>
      <c r="N1022" s="38"/>
      <c r="Q1022" s="38"/>
      <c r="S1022" s="14"/>
    </row>
    <row r="1023" spans="1:19" x14ac:dyDescent="0.2">
      <c r="A1023" s="37"/>
      <c r="B1023" s="8"/>
      <c r="E1023" s="38"/>
      <c r="H1023" s="38"/>
      <c r="K1023" s="38"/>
      <c r="N1023" s="38"/>
      <c r="Q1023" s="38"/>
      <c r="S1023" s="14"/>
    </row>
    <row r="1024" spans="1:19" x14ac:dyDescent="0.2">
      <c r="A1024" s="37"/>
      <c r="B1024" s="8"/>
      <c r="E1024" s="38"/>
      <c r="H1024" s="38"/>
      <c r="K1024" s="38"/>
      <c r="N1024" s="38"/>
      <c r="Q1024" s="38"/>
      <c r="S1024" s="14"/>
    </row>
    <row r="1025" spans="1:19" x14ac:dyDescent="0.2">
      <c r="A1025" s="37"/>
      <c r="B1025" s="8"/>
      <c r="E1025" s="38"/>
      <c r="H1025" s="38"/>
      <c r="K1025" s="38"/>
      <c r="N1025" s="38"/>
      <c r="Q1025" s="38"/>
      <c r="S1025" s="14"/>
    </row>
    <row r="1026" spans="1:19" x14ac:dyDescent="0.2">
      <c r="A1026" s="37"/>
      <c r="B1026" s="8"/>
      <c r="E1026" s="38"/>
      <c r="H1026" s="38"/>
      <c r="K1026" s="38"/>
      <c r="N1026" s="38"/>
      <c r="Q1026" s="38"/>
      <c r="S1026" s="14"/>
    </row>
    <row r="1027" spans="1:19" x14ac:dyDescent="0.2">
      <c r="A1027" s="37"/>
      <c r="B1027" s="8"/>
      <c r="E1027" s="38"/>
      <c r="H1027" s="38"/>
      <c r="K1027" s="38"/>
      <c r="N1027" s="38"/>
      <c r="Q1027" s="38"/>
      <c r="S1027" s="14"/>
    </row>
    <row r="1028" spans="1:19" x14ac:dyDescent="0.2">
      <c r="A1028" s="37"/>
      <c r="B1028" s="8"/>
      <c r="E1028" s="38"/>
      <c r="H1028" s="38"/>
      <c r="K1028" s="38"/>
      <c r="N1028" s="38"/>
      <c r="Q1028" s="38"/>
      <c r="S1028" s="14"/>
    </row>
    <row r="1029" spans="1:19" x14ac:dyDescent="0.2">
      <c r="A1029" s="37"/>
      <c r="B1029" s="8"/>
      <c r="E1029" s="38"/>
      <c r="H1029" s="38"/>
      <c r="K1029" s="38"/>
      <c r="N1029" s="38"/>
      <c r="Q1029" s="38"/>
      <c r="S1029" s="14"/>
    </row>
    <row r="1030" spans="1:19" x14ac:dyDescent="0.2">
      <c r="A1030" s="37"/>
      <c r="B1030" s="8"/>
      <c r="E1030" s="38"/>
      <c r="H1030" s="38"/>
      <c r="K1030" s="38"/>
      <c r="N1030" s="38"/>
      <c r="Q1030" s="38"/>
      <c r="S1030" s="14"/>
    </row>
    <row r="1031" spans="1:19" x14ac:dyDescent="0.2">
      <c r="A1031" s="37"/>
      <c r="B1031" s="8"/>
      <c r="E1031" s="38"/>
      <c r="H1031" s="38"/>
      <c r="K1031" s="38"/>
      <c r="N1031" s="38"/>
      <c r="Q1031" s="38"/>
      <c r="S1031" s="14"/>
    </row>
    <row r="1032" spans="1:19" x14ac:dyDescent="0.2">
      <c r="A1032" s="37"/>
      <c r="B1032" s="8"/>
      <c r="E1032" s="38"/>
      <c r="H1032" s="38"/>
      <c r="K1032" s="38"/>
      <c r="N1032" s="38"/>
      <c r="Q1032" s="38"/>
      <c r="S1032" s="14"/>
    </row>
    <row r="1033" spans="1:19" x14ac:dyDescent="0.2">
      <c r="A1033" s="37"/>
      <c r="B1033" s="8"/>
      <c r="E1033" s="38"/>
      <c r="H1033" s="38"/>
      <c r="K1033" s="38"/>
      <c r="N1033" s="38"/>
      <c r="Q1033" s="38"/>
      <c r="S1033" s="14"/>
    </row>
    <row r="1034" spans="1:19" x14ac:dyDescent="0.2">
      <c r="A1034" s="37"/>
      <c r="B1034" s="8"/>
      <c r="E1034" s="38"/>
      <c r="H1034" s="38"/>
      <c r="K1034" s="38"/>
      <c r="N1034" s="38"/>
      <c r="Q1034" s="38"/>
      <c r="S1034" s="14"/>
    </row>
    <row r="1035" spans="1:19" x14ac:dyDescent="0.2">
      <c r="A1035" s="37"/>
      <c r="B1035" s="8"/>
      <c r="E1035" s="38"/>
      <c r="H1035" s="38"/>
      <c r="K1035" s="38"/>
      <c r="N1035" s="38"/>
      <c r="Q1035" s="38"/>
      <c r="S1035" s="14"/>
    </row>
    <row r="1036" spans="1:19" x14ac:dyDescent="0.2">
      <c r="A1036" s="37"/>
      <c r="B1036" s="8"/>
      <c r="E1036" s="38"/>
      <c r="H1036" s="38"/>
      <c r="K1036" s="38"/>
      <c r="N1036" s="38"/>
      <c r="Q1036" s="38"/>
      <c r="S1036" s="14"/>
    </row>
    <row r="1037" spans="1:19" x14ac:dyDescent="0.2">
      <c r="A1037" s="37"/>
      <c r="B1037" s="8"/>
      <c r="E1037" s="38"/>
      <c r="H1037" s="38"/>
      <c r="K1037" s="38"/>
      <c r="N1037" s="38"/>
      <c r="Q1037" s="38"/>
      <c r="S1037" s="14"/>
    </row>
    <row r="1038" spans="1:19" x14ac:dyDescent="0.2">
      <c r="A1038" s="37"/>
      <c r="B1038" s="8"/>
      <c r="E1038" s="38"/>
      <c r="H1038" s="38"/>
      <c r="K1038" s="38"/>
      <c r="N1038" s="38"/>
      <c r="Q1038" s="38"/>
      <c r="S1038" s="14"/>
    </row>
    <row r="1039" spans="1:19" x14ac:dyDescent="0.2">
      <c r="A1039" s="37"/>
      <c r="B1039" s="8"/>
      <c r="E1039" s="38"/>
      <c r="H1039" s="38"/>
      <c r="K1039" s="38"/>
      <c r="N1039" s="38"/>
      <c r="Q1039" s="38"/>
      <c r="S1039" s="14"/>
    </row>
    <row r="1040" spans="1:19" x14ac:dyDescent="0.2">
      <c r="A1040" s="37"/>
      <c r="B1040" s="8"/>
      <c r="E1040" s="38"/>
      <c r="H1040" s="38"/>
      <c r="K1040" s="38"/>
      <c r="N1040" s="38"/>
      <c r="Q1040" s="38"/>
      <c r="S1040" s="14"/>
    </row>
    <row r="1041" spans="1:19" x14ac:dyDescent="0.2">
      <c r="A1041" s="37"/>
      <c r="B1041" s="8"/>
      <c r="E1041" s="38"/>
      <c r="H1041" s="38"/>
      <c r="K1041" s="38"/>
      <c r="N1041" s="38"/>
      <c r="Q1041" s="38"/>
      <c r="S1041" s="14"/>
    </row>
  </sheetData>
  <mergeCells count="1">
    <mergeCell ref="C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14"/>
  <sheetViews>
    <sheetView workbookViewId="0">
      <selection activeCell="A17" sqref="A17"/>
    </sheetView>
  </sheetViews>
  <sheetFormatPr defaultColWidth="14.42578125" defaultRowHeight="12.75" x14ac:dyDescent="0.2"/>
  <cols>
    <col min="1" max="1" width="14.42578125" style="47"/>
    <col min="2" max="2" width="11.85546875" style="47" customWidth="1"/>
    <col min="3" max="3" width="14.42578125" style="47"/>
    <col min="4" max="4" width="17.140625" style="47" customWidth="1"/>
    <col min="5" max="5" width="17.42578125" style="47" customWidth="1"/>
    <col min="6" max="6" width="18.42578125" style="47" customWidth="1"/>
    <col min="7" max="7" width="7" style="47" customWidth="1"/>
    <col min="8" max="9" width="15.140625" style="47" customWidth="1"/>
    <col min="10" max="10" width="16.5703125" style="47" customWidth="1"/>
    <col min="11" max="11" width="14.42578125" style="47"/>
    <col min="12" max="12" width="15.42578125" style="47" customWidth="1"/>
    <col min="13" max="13" width="18.28515625" style="47" customWidth="1"/>
    <col min="14" max="14" width="16.7109375" style="47" customWidth="1"/>
    <col min="15" max="15" width="17.42578125" style="47" customWidth="1"/>
    <col min="16" max="17" width="12.28515625" style="47" customWidth="1"/>
    <col min="18" max="16384" width="14.42578125" style="47"/>
  </cols>
  <sheetData>
    <row r="1" spans="1:12" ht="48" customHeight="1" x14ac:dyDescent="0.2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/>
      <c r="H1" s="40" t="s">
        <v>6</v>
      </c>
      <c r="I1" s="40" t="s">
        <v>7</v>
      </c>
      <c r="J1" s="40" t="s">
        <v>8</v>
      </c>
      <c r="K1" s="40" t="s">
        <v>9</v>
      </c>
      <c r="L1" s="40" t="s">
        <v>10</v>
      </c>
    </row>
    <row r="2" spans="1:12" x14ac:dyDescent="0.2">
      <c r="A2" s="41" t="s">
        <v>15</v>
      </c>
      <c r="B2" s="41">
        <v>3</v>
      </c>
      <c r="C2" s="41">
        <v>14.870859374999997</v>
      </c>
      <c r="D2" s="43">
        <v>2</v>
      </c>
      <c r="E2" s="46">
        <v>8.18</v>
      </c>
      <c r="F2" s="41">
        <v>4</v>
      </c>
      <c r="G2" s="41"/>
      <c r="H2" s="41">
        <v>2.5359375E-2</v>
      </c>
      <c r="I2" s="41">
        <v>0.21864062500000003</v>
      </c>
      <c r="J2" s="41">
        <v>-8.1906250000000007</v>
      </c>
      <c r="K2" s="41">
        <v>10.959031250000001</v>
      </c>
      <c r="L2" s="41">
        <v>-0.18107812499999998</v>
      </c>
    </row>
    <row r="3" spans="1:12" x14ac:dyDescent="0.2">
      <c r="A3" s="42" t="s">
        <v>15</v>
      </c>
      <c r="B3" s="42">
        <v>3</v>
      </c>
      <c r="C3" s="42">
        <v>17.576281250000005</v>
      </c>
      <c r="D3" s="44">
        <v>1</v>
      </c>
      <c r="E3" s="44">
        <v>14.06</v>
      </c>
      <c r="F3" s="42">
        <v>3</v>
      </c>
      <c r="G3" s="42"/>
      <c r="H3" s="42">
        <v>3.2250000000000001E-2</v>
      </c>
      <c r="I3" s="42">
        <v>0.22485937500000006</v>
      </c>
      <c r="J3" s="42">
        <v>-4.6484374999999991</v>
      </c>
      <c r="K3" s="42">
        <v>14.558828125000003</v>
      </c>
      <c r="L3" s="42">
        <v>-0.16029687500000001</v>
      </c>
    </row>
    <row r="4" spans="1:12" x14ac:dyDescent="0.2">
      <c r="A4" s="41" t="s">
        <v>15</v>
      </c>
      <c r="B4" s="41">
        <v>3</v>
      </c>
      <c r="C4" s="41">
        <v>14.879859374999999</v>
      </c>
      <c r="D4" s="43">
        <v>0</v>
      </c>
      <c r="E4" s="43">
        <v>8.65</v>
      </c>
      <c r="F4" s="41">
        <v>3</v>
      </c>
      <c r="G4" s="41"/>
      <c r="H4" s="41">
        <v>4.8953125E-2</v>
      </c>
      <c r="I4" s="41">
        <v>0.180140625</v>
      </c>
      <c r="J4" s="41">
        <v>-10.221874999999995</v>
      </c>
      <c r="K4" s="41">
        <v>47.627171874999995</v>
      </c>
      <c r="L4" s="41">
        <v>-6.8499999999999991E-2</v>
      </c>
    </row>
    <row r="5" spans="1:12" x14ac:dyDescent="0.2">
      <c r="A5" s="42" t="s">
        <v>15</v>
      </c>
      <c r="B5" s="42">
        <v>3</v>
      </c>
      <c r="C5" s="42">
        <v>14.544437499999997</v>
      </c>
      <c r="D5" s="44">
        <v>0</v>
      </c>
      <c r="E5" s="44">
        <v>2.64</v>
      </c>
      <c r="F5" s="42">
        <v>2</v>
      </c>
      <c r="G5" s="42"/>
      <c r="H5" s="42">
        <v>3.2750000000000001E-2</v>
      </c>
      <c r="I5" s="42">
        <v>0.18373437500000006</v>
      </c>
      <c r="J5" s="42">
        <v>-16.826562500000001</v>
      </c>
      <c r="K5" s="42">
        <v>0.73629687499999996</v>
      </c>
      <c r="L5" s="42">
        <v>-7.0046874999999995E-2</v>
      </c>
    </row>
    <row r="6" spans="1:12" x14ac:dyDescent="0.2">
      <c r="A6" s="41" t="s">
        <v>15</v>
      </c>
      <c r="B6" s="41">
        <v>3</v>
      </c>
      <c r="C6" s="41">
        <v>17.184968749999999</v>
      </c>
      <c r="D6" s="43">
        <v>1</v>
      </c>
      <c r="E6" s="41">
        <v>3.97</v>
      </c>
      <c r="F6" s="41">
        <v>2</v>
      </c>
      <c r="G6" s="41"/>
      <c r="H6" s="41">
        <v>2.775E-2</v>
      </c>
      <c r="I6" s="41">
        <v>0.13510937499999998</v>
      </c>
      <c r="J6" s="41">
        <v>-6.4390624999999995</v>
      </c>
      <c r="K6" s="41">
        <v>0</v>
      </c>
      <c r="L6" s="41">
        <v>-0.11723437500000006</v>
      </c>
    </row>
    <row r="7" spans="1:12" x14ac:dyDescent="0.2">
      <c r="A7" s="45" t="s">
        <v>15</v>
      </c>
      <c r="B7" s="45">
        <v>1</v>
      </c>
      <c r="C7" s="45">
        <v>17.918121212121214</v>
      </c>
      <c r="D7" s="45">
        <v>0</v>
      </c>
      <c r="E7" s="45">
        <v>8.34</v>
      </c>
      <c r="F7" s="45">
        <v>4</v>
      </c>
      <c r="G7" s="45"/>
      <c r="H7" s="45">
        <v>1.6363636363636363E-3</v>
      </c>
      <c r="I7" s="45">
        <v>0.29742424242424242</v>
      </c>
      <c r="J7" s="45">
        <v>0.16060606060606059</v>
      </c>
      <c r="K7" s="45">
        <v>26.729787878787878</v>
      </c>
      <c r="L7" s="45">
        <v>-3.9818181818181822E-2</v>
      </c>
    </row>
    <row r="8" spans="1:12" x14ac:dyDescent="0.2">
      <c r="A8" s="43" t="s">
        <v>15</v>
      </c>
      <c r="B8" s="43">
        <v>1</v>
      </c>
      <c r="C8" s="43">
        <v>13.502848484848485</v>
      </c>
      <c r="D8" s="43">
        <v>0</v>
      </c>
      <c r="E8" s="43">
        <v>11.58</v>
      </c>
      <c r="F8" s="43">
        <v>3</v>
      </c>
      <c r="G8" s="43"/>
      <c r="H8" s="43">
        <v>4.2969696969696977E-2</v>
      </c>
      <c r="I8" s="43">
        <v>0.11733333333333333</v>
      </c>
      <c r="J8" s="43">
        <v>-18.596969696969694</v>
      </c>
      <c r="K8" s="43">
        <v>15.33930303030303</v>
      </c>
      <c r="L8" s="43">
        <v>2.1454545454545473E-2</v>
      </c>
    </row>
    <row r="9" spans="1:12" x14ac:dyDescent="0.2">
      <c r="A9" s="44" t="s">
        <v>15</v>
      </c>
      <c r="B9" s="44">
        <v>1</v>
      </c>
      <c r="C9" s="44">
        <v>20.558121212121211</v>
      </c>
      <c r="D9" s="44">
        <v>1</v>
      </c>
      <c r="E9" s="44">
        <v>14.47</v>
      </c>
      <c r="F9" s="44">
        <v>3</v>
      </c>
      <c r="G9" s="44"/>
      <c r="H9" s="44">
        <v>0</v>
      </c>
      <c r="I9" s="44">
        <v>0.18463636363636363</v>
      </c>
      <c r="J9" s="44">
        <v>-4.6515151515151523</v>
      </c>
      <c r="K9" s="44">
        <v>0</v>
      </c>
      <c r="L9" s="44">
        <v>-0.18957575757575759</v>
      </c>
    </row>
    <row r="10" spans="1:12" x14ac:dyDescent="0.2">
      <c r="A10" s="43" t="s">
        <v>15</v>
      </c>
      <c r="B10" s="43">
        <v>1</v>
      </c>
      <c r="C10" s="43">
        <v>19.209787878787875</v>
      </c>
      <c r="D10" s="43">
        <v>0</v>
      </c>
      <c r="E10" s="43">
        <v>1.97</v>
      </c>
      <c r="F10" s="43">
        <v>2</v>
      </c>
      <c r="G10" s="43"/>
      <c r="H10" s="43">
        <v>8.1515151515151527E-3</v>
      </c>
      <c r="I10" s="43">
        <v>0.12463636363636363</v>
      </c>
      <c r="J10" s="43">
        <v>-5.1303030303030308</v>
      </c>
      <c r="K10" s="43">
        <v>46.458606060606066</v>
      </c>
      <c r="L10" s="43">
        <v>-0.30960606060606055</v>
      </c>
    </row>
    <row r="11" spans="1:12" x14ac:dyDescent="0.2">
      <c r="A11" s="44" t="s">
        <v>15</v>
      </c>
      <c r="B11" s="44">
        <v>1</v>
      </c>
      <c r="C11" s="44">
        <v>8.9868181818181831</v>
      </c>
      <c r="D11" s="44">
        <v>0</v>
      </c>
      <c r="E11" s="44">
        <v>6.11</v>
      </c>
      <c r="F11" s="44">
        <v>2</v>
      </c>
      <c r="G11" s="44"/>
      <c r="H11" s="44">
        <v>3.8545454545454549E-2</v>
      </c>
      <c r="I11" s="44">
        <v>8.6363636363636365E-2</v>
      </c>
      <c r="J11" s="44">
        <v>1.6454545454545455</v>
      </c>
      <c r="K11" s="44">
        <v>14.537181818181821</v>
      </c>
      <c r="L11" s="44">
        <v>-1.6848484848484845E-2</v>
      </c>
    </row>
    <row r="12" spans="1:12" x14ac:dyDescent="0.2">
      <c r="A12" s="46" t="s">
        <v>15</v>
      </c>
      <c r="B12" s="46">
        <v>2</v>
      </c>
      <c r="C12" s="46">
        <v>21.39124906890131</v>
      </c>
      <c r="D12" s="46">
        <v>0</v>
      </c>
      <c r="E12" s="46">
        <v>3.61</v>
      </c>
      <c r="F12" s="46">
        <v>4</v>
      </c>
      <c r="G12" s="46"/>
      <c r="H12" s="46">
        <v>0</v>
      </c>
      <c r="I12" s="46">
        <v>0.31792737430167584</v>
      </c>
      <c r="J12" s="46">
        <v>-1.0760707635009328</v>
      </c>
      <c r="K12" s="46">
        <v>0</v>
      </c>
      <c r="L12" s="46">
        <v>-4.7249999999999973E-2</v>
      </c>
    </row>
    <row r="13" spans="1:12" x14ac:dyDescent="0.2">
      <c r="A13" s="44" t="s">
        <v>15</v>
      </c>
      <c r="B13" s="44">
        <v>2</v>
      </c>
      <c r="C13" s="44">
        <v>25.493155027932957</v>
      </c>
      <c r="D13" s="44">
        <v>0</v>
      </c>
      <c r="E13" s="44">
        <v>4.6500000000000004</v>
      </c>
      <c r="F13" s="42">
        <v>3</v>
      </c>
      <c r="G13" s="44"/>
      <c r="H13" s="44">
        <v>0</v>
      </c>
      <c r="I13" s="44">
        <v>0.17148882681564201</v>
      </c>
      <c r="J13" s="44">
        <v>-8.3168528864059414</v>
      </c>
      <c r="K13" s="44">
        <v>0</v>
      </c>
      <c r="L13" s="44">
        <v>-0.46025744878957153</v>
      </c>
    </row>
    <row r="14" spans="1:12" x14ac:dyDescent="0.2">
      <c r="A14" s="43" t="s">
        <v>15</v>
      </c>
      <c r="B14" s="43">
        <v>2</v>
      </c>
      <c r="C14" s="43">
        <v>23.783282588454423</v>
      </c>
      <c r="D14" s="43">
        <v>0</v>
      </c>
      <c r="E14" s="43">
        <v>5.1100000000000003</v>
      </c>
      <c r="F14" s="41">
        <v>3</v>
      </c>
      <c r="G14" s="43"/>
      <c r="H14" s="43">
        <v>0</v>
      </c>
      <c r="I14" s="43">
        <v>0.25425977653631326</v>
      </c>
      <c r="J14" s="43">
        <v>-9.8882681564246525E-2</v>
      </c>
      <c r="K14" s="43">
        <v>0</v>
      </c>
      <c r="L14" s="43">
        <v>-2.2641992551210383E-2</v>
      </c>
    </row>
    <row r="15" spans="1:12" x14ac:dyDescent="0.2">
      <c r="A15" s="44" t="s">
        <v>15</v>
      </c>
      <c r="B15" s="44">
        <v>2</v>
      </c>
      <c r="C15" s="44">
        <v>27.958170391061465</v>
      </c>
      <c r="D15" s="44">
        <v>0</v>
      </c>
      <c r="E15" s="44">
        <v>3.28</v>
      </c>
      <c r="F15" s="42">
        <v>2</v>
      </c>
      <c r="G15" s="44"/>
      <c r="H15" s="44">
        <v>0</v>
      </c>
      <c r="I15" s="44">
        <v>0.30302746741154268</v>
      </c>
      <c r="J15" s="44">
        <v>-9.8536312849162293</v>
      </c>
      <c r="K15" s="44">
        <v>0</v>
      </c>
      <c r="L15" s="44">
        <v>-0.26818249534450622</v>
      </c>
    </row>
    <row r="16" spans="1:12" x14ac:dyDescent="0.2">
      <c r="A16" s="41" t="s">
        <v>15</v>
      </c>
      <c r="B16" s="41">
        <v>2</v>
      </c>
      <c r="C16" s="41">
        <v>26.063718808193677</v>
      </c>
      <c r="D16" s="41">
        <v>0</v>
      </c>
      <c r="E16" s="41">
        <v>2.38</v>
      </c>
      <c r="F16" s="41">
        <v>2</v>
      </c>
      <c r="G16" s="41"/>
      <c r="H16" s="41">
        <v>7.3030726256983203E-3</v>
      </c>
      <c r="I16" s="41">
        <v>0.23254376163873344</v>
      </c>
      <c r="J16" s="41">
        <v>-0.1541433891992551</v>
      </c>
      <c r="K16" s="41">
        <v>0</v>
      </c>
      <c r="L16" s="41">
        <v>0.32367085661080058</v>
      </c>
    </row>
    <row r="17" spans="1:12" x14ac:dyDescent="0.2">
      <c r="A17" s="45" t="s">
        <v>16</v>
      </c>
      <c r="B17" s="45">
        <v>1</v>
      </c>
      <c r="C17" s="45">
        <v>16.781842105263163</v>
      </c>
      <c r="D17" s="45">
        <v>0</v>
      </c>
      <c r="E17" s="45">
        <v>4.5999999999999996</v>
      </c>
      <c r="F17" s="45">
        <v>4</v>
      </c>
      <c r="G17" s="45"/>
      <c r="H17" s="45">
        <v>7.5526315789473681E-3</v>
      </c>
      <c r="I17" s="45">
        <v>0.17921052631578943</v>
      </c>
      <c r="J17" s="45">
        <v>0.25789473684210512</v>
      </c>
      <c r="K17" s="45">
        <v>48.436368421052634</v>
      </c>
      <c r="L17" s="45">
        <v>0.30913157894736842</v>
      </c>
    </row>
    <row r="18" spans="1:12" x14ac:dyDescent="0.2">
      <c r="A18" s="41" t="s">
        <v>16</v>
      </c>
      <c r="B18" s="41">
        <v>1</v>
      </c>
      <c r="C18" s="41">
        <v>11.579421052631579</v>
      </c>
      <c r="D18" s="41">
        <v>1</v>
      </c>
      <c r="E18" s="41">
        <v>7.91</v>
      </c>
      <c r="F18" s="43">
        <v>3</v>
      </c>
      <c r="G18" s="41"/>
      <c r="H18" s="41">
        <v>1.8763157894736843E-2</v>
      </c>
      <c r="I18" s="41">
        <v>0.10997368421052629</v>
      </c>
      <c r="J18" s="41">
        <v>-17.286842105263158</v>
      </c>
      <c r="K18" s="41">
        <v>41.565605263157899</v>
      </c>
      <c r="L18" s="41">
        <v>-0.14244736842105263</v>
      </c>
    </row>
    <row r="19" spans="1:12" x14ac:dyDescent="0.2">
      <c r="A19" s="44" t="s">
        <v>16</v>
      </c>
      <c r="B19" s="44">
        <v>1</v>
      </c>
      <c r="C19" s="44">
        <v>17.060578947368416</v>
      </c>
      <c r="D19" s="44">
        <v>1</v>
      </c>
      <c r="E19" s="44">
        <v>29.1</v>
      </c>
      <c r="F19" s="44">
        <v>3</v>
      </c>
      <c r="G19" s="44"/>
      <c r="H19" s="44">
        <v>0</v>
      </c>
      <c r="I19" s="44">
        <v>0.13034210526315784</v>
      </c>
      <c r="J19" s="44">
        <v>-3.7552631578947366</v>
      </c>
      <c r="K19" s="44">
        <v>17.376973684210526</v>
      </c>
      <c r="L19" s="44">
        <v>-0.17352631578947364</v>
      </c>
    </row>
    <row r="20" spans="1:12" x14ac:dyDescent="0.2">
      <c r="A20" s="43" t="s">
        <v>16</v>
      </c>
      <c r="B20" s="43">
        <v>1</v>
      </c>
      <c r="C20" s="43">
        <v>13.71207894736842</v>
      </c>
      <c r="D20" s="43">
        <v>0</v>
      </c>
      <c r="E20" s="43">
        <v>1.93</v>
      </c>
      <c r="F20" s="43">
        <v>2</v>
      </c>
      <c r="G20" s="43"/>
      <c r="H20" s="43">
        <v>1.4368421052631581E-2</v>
      </c>
      <c r="I20" s="43">
        <v>0.10986842105263157</v>
      </c>
      <c r="J20" s="43">
        <v>-4.9342105263157894</v>
      </c>
      <c r="K20" s="43">
        <v>21.04747368421053</v>
      </c>
      <c r="L20" s="43">
        <v>-0.50460526315789445</v>
      </c>
    </row>
    <row r="21" spans="1:12" x14ac:dyDescent="0.2">
      <c r="A21" s="44" t="s">
        <v>16</v>
      </c>
      <c r="B21" s="44">
        <v>1</v>
      </c>
      <c r="C21" s="44">
        <v>9.577</v>
      </c>
      <c r="D21" s="44">
        <v>0</v>
      </c>
      <c r="E21" s="44">
        <v>2.74</v>
      </c>
      <c r="F21" s="44">
        <v>2</v>
      </c>
      <c r="G21" s="44"/>
      <c r="H21" s="44">
        <v>0</v>
      </c>
      <c r="I21" s="44">
        <v>4.7815789473684207E-2</v>
      </c>
      <c r="J21" s="44">
        <v>0.13947368421052631</v>
      </c>
      <c r="K21" s="44">
        <v>25.685684210526318</v>
      </c>
      <c r="L21" s="44">
        <v>-0.6271052631578945</v>
      </c>
    </row>
    <row r="22" spans="1:12" x14ac:dyDescent="0.2">
      <c r="A22" s="46" t="s">
        <v>16</v>
      </c>
      <c r="B22" s="46">
        <v>2</v>
      </c>
      <c r="C22" s="46">
        <v>14.698911751662976</v>
      </c>
      <c r="D22" s="46">
        <v>0</v>
      </c>
      <c r="E22" s="46">
        <v>8.58</v>
      </c>
      <c r="F22" s="46">
        <v>4</v>
      </c>
      <c r="G22" s="46"/>
      <c r="H22" s="46">
        <v>0</v>
      </c>
      <c r="I22" s="46">
        <v>0.14764079822616452</v>
      </c>
      <c r="J22" s="46">
        <v>-0.5025277161862518</v>
      </c>
      <c r="K22" s="46">
        <v>0</v>
      </c>
      <c r="L22" s="46">
        <v>0.20679689578713975</v>
      </c>
    </row>
    <row r="23" spans="1:12" x14ac:dyDescent="0.2">
      <c r="A23" s="44" t="s">
        <v>16</v>
      </c>
      <c r="B23" s="44">
        <v>2</v>
      </c>
      <c r="C23" s="44">
        <v>16.373646563192924</v>
      </c>
      <c r="D23" s="44">
        <v>0</v>
      </c>
      <c r="E23" s="44">
        <v>6.07</v>
      </c>
      <c r="F23" s="42">
        <v>3</v>
      </c>
      <c r="G23" s="44"/>
      <c r="H23" s="44">
        <v>0</v>
      </c>
      <c r="I23" s="44">
        <v>0.13508691796008682</v>
      </c>
      <c r="J23" s="44">
        <v>3.3791574279379642E-2</v>
      </c>
      <c r="K23" s="44">
        <v>34.046634146341439</v>
      </c>
      <c r="L23" s="44">
        <v>-0.10442527716186262</v>
      </c>
    </row>
    <row r="24" spans="1:12" x14ac:dyDescent="0.2">
      <c r="A24" s="43" t="s">
        <v>16</v>
      </c>
      <c r="B24" s="43">
        <v>2</v>
      </c>
      <c r="C24" s="43">
        <v>18.227105986696266</v>
      </c>
      <c r="D24" s="43">
        <v>0</v>
      </c>
      <c r="E24" s="43">
        <v>3.8</v>
      </c>
      <c r="F24" s="41">
        <v>3</v>
      </c>
      <c r="G24" s="43"/>
      <c r="H24" s="43">
        <v>0</v>
      </c>
      <c r="I24" s="43">
        <v>0.14324301552106511</v>
      </c>
      <c r="J24" s="43">
        <v>-8.6274501108647268</v>
      </c>
      <c r="K24" s="43">
        <v>63.109701995565423</v>
      </c>
      <c r="L24" s="43">
        <v>-0.37025099778270454</v>
      </c>
    </row>
    <row r="25" spans="1:12" x14ac:dyDescent="0.2">
      <c r="A25" s="44" t="s">
        <v>16</v>
      </c>
      <c r="B25" s="44">
        <v>2</v>
      </c>
      <c r="C25" s="44">
        <v>18.512136585365798</v>
      </c>
      <c r="D25" s="44">
        <v>0</v>
      </c>
      <c r="E25" s="44">
        <v>1.4</v>
      </c>
      <c r="F25" s="42">
        <v>2</v>
      </c>
      <c r="G25" s="44"/>
      <c r="H25" s="44">
        <v>0</v>
      </c>
      <c r="I25" s="44">
        <v>0.14412549889135104</v>
      </c>
      <c r="J25" s="44">
        <v>-7.2727272727272974E-2</v>
      </c>
      <c r="K25" s="44">
        <v>39.223954767184033</v>
      </c>
      <c r="L25" s="44">
        <v>-0.21132949002217305</v>
      </c>
    </row>
    <row r="26" spans="1:12" x14ac:dyDescent="0.2">
      <c r="A26" s="43" t="s">
        <v>16</v>
      </c>
      <c r="B26" s="43">
        <v>2</v>
      </c>
      <c r="C26" s="43">
        <v>18.434257649667355</v>
      </c>
      <c r="D26" s="43">
        <v>0</v>
      </c>
      <c r="E26" s="43">
        <v>2.5499999999999998</v>
      </c>
      <c r="F26" s="41">
        <v>2</v>
      </c>
      <c r="G26" s="43"/>
      <c r="H26" s="43">
        <v>0</v>
      </c>
      <c r="I26" s="43">
        <v>0.14005853658536593</v>
      </c>
      <c r="J26" s="43">
        <v>-6.8446119733924871</v>
      </c>
      <c r="K26" s="43">
        <v>104.90115920177392</v>
      </c>
      <c r="L26" s="43">
        <v>-0.5464390243902445</v>
      </c>
    </row>
    <row r="27" spans="1:12" x14ac:dyDescent="0.2">
      <c r="A27" s="44" t="s">
        <v>16</v>
      </c>
      <c r="B27" s="44">
        <v>3</v>
      </c>
      <c r="C27" s="44">
        <v>14.884921052631578</v>
      </c>
      <c r="D27" s="44">
        <v>2</v>
      </c>
      <c r="E27" s="44">
        <v>13.11</v>
      </c>
      <c r="F27" s="45">
        <v>4</v>
      </c>
      <c r="G27" s="44"/>
      <c r="H27" s="44">
        <v>0</v>
      </c>
      <c r="I27" s="44">
        <v>0.15273684210526317</v>
      </c>
      <c r="J27" s="44">
        <v>6.8421052631578938E-2</v>
      </c>
      <c r="K27" s="44">
        <v>0</v>
      </c>
      <c r="L27" s="44">
        <v>-0.42397368421052634</v>
      </c>
    </row>
    <row r="28" spans="1:12" x14ac:dyDescent="0.2">
      <c r="A28" s="43" t="s">
        <v>16</v>
      </c>
      <c r="B28" s="43">
        <v>3</v>
      </c>
      <c r="C28" s="43">
        <v>8.8142368421052648</v>
      </c>
      <c r="D28" s="43">
        <v>0</v>
      </c>
      <c r="E28" s="43">
        <v>5.15</v>
      </c>
      <c r="F28" s="43">
        <v>3</v>
      </c>
      <c r="G28" s="43"/>
      <c r="H28" s="43">
        <v>2.6236842105263159E-2</v>
      </c>
      <c r="I28" s="43">
        <v>8.6868421052631567E-2</v>
      </c>
      <c r="J28" s="43">
        <v>-16.194736842105261</v>
      </c>
      <c r="K28" s="43">
        <v>48.391263157894741</v>
      </c>
      <c r="L28" s="43">
        <v>-0.3411578947368421</v>
      </c>
    </row>
    <row r="29" spans="1:12" x14ac:dyDescent="0.2">
      <c r="A29" s="44" t="s">
        <v>16</v>
      </c>
      <c r="B29" s="44">
        <v>3</v>
      </c>
      <c r="C29" s="44">
        <v>14.910578947368423</v>
      </c>
      <c r="D29" s="44">
        <v>0</v>
      </c>
      <c r="E29" s="44">
        <v>4.18</v>
      </c>
      <c r="F29" s="44">
        <v>3</v>
      </c>
      <c r="G29" s="44"/>
      <c r="H29" s="44">
        <v>2.9868421052631579E-2</v>
      </c>
      <c r="I29" s="44">
        <v>0.16981578947368428</v>
      </c>
      <c r="J29" s="44">
        <v>-3.9973684210526317</v>
      </c>
      <c r="K29" s="44">
        <v>75.922684210526327</v>
      </c>
      <c r="L29" s="44">
        <v>-0.31115789473684219</v>
      </c>
    </row>
    <row r="30" spans="1:12" x14ac:dyDescent="0.2">
      <c r="A30" s="43" t="s">
        <v>16</v>
      </c>
      <c r="B30" s="43">
        <v>3</v>
      </c>
      <c r="C30" s="43">
        <v>14.968394736842107</v>
      </c>
      <c r="D30" s="43">
        <v>1</v>
      </c>
      <c r="E30" s="43">
        <v>6.33</v>
      </c>
      <c r="F30" s="43">
        <v>2</v>
      </c>
      <c r="G30" s="43"/>
      <c r="H30" s="43">
        <v>2.2105263157894735E-2</v>
      </c>
      <c r="I30" s="43">
        <v>0.14173684210526316</v>
      </c>
      <c r="J30" s="43">
        <v>-5.7789473684210506</v>
      </c>
      <c r="K30" s="43">
        <v>52.047184210526325</v>
      </c>
      <c r="L30" s="43">
        <v>-0.65752631578947374</v>
      </c>
    </row>
    <row r="31" spans="1:12" x14ac:dyDescent="0.2">
      <c r="A31" s="44" t="s">
        <v>16</v>
      </c>
      <c r="B31" s="44">
        <v>3</v>
      </c>
      <c r="C31" s="44">
        <v>9.922842105263161</v>
      </c>
      <c r="D31" s="44">
        <v>0</v>
      </c>
      <c r="E31" s="44">
        <v>2.5</v>
      </c>
      <c r="F31" s="44">
        <v>2</v>
      </c>
      <c r="G31" s="44"/>
      <c r="H31" s="44">
        <v>2.3368421052631583E-2</v>
      </c>
      <c r="I31" s="44">
        <v>7.0368421052631566E-2</v>
      </c>
      <c r="J31" s="44">
        <v>-14.892105263157895</v>
      </c>
      <c r="K31" s="44">
        <v>53.800710526315804</v>
      </c>
      <c r="L31" s="44">
        <v>-0.46136842105263176</v>
      </c>
    </row>
    <row r="32" spans="1:12" x14ac:dyDescent="0.2">
      <c r="A32" s="43" t="s">
        <v>17</v>
      </c>
      <c r="B32" s="43">
        <v>1</v>
      </c>
      <c r="C32" s="43">
        <v>14.505961538461538</v>
      </c>
      <c r="D32" s="43">
        <v>0</v>
      </c>
      <c r="E32" s="43">
        <v>5.75</v>
      </c>
      <c r="F32" s="46">
        <v>4</v>
      </c>
      <c r="G32" s="43"/>
      <c r="H32" s="43">
        <v>0</v>
      </c>
      <c r="I32" s="43">
        <v>0.14451923076923079</v>
      </c>
      <c r="J32" s="43">
        <v>0.20576923076923079</v>
      </c>
      <c r="K32" s="43">
        <v>84.348365384615363</v>
      </c>
      <c r="L32" s="43">
        <v>0.25021153846153843</v>
      </c>
    </row>
    <row r="33" spans="1:12" x14ac:dyDescent="0.2">
      <c r="A33" s="44" t="s">
        <v>17</v>
      </c>
      <c r="B33" s="44">
        <v>1</v>
      </c>
      <c r="C33" s="44">
        <v>12.31382692307692</v>
      </c>
      <c r="D33" s="44">
        <v>1</v>
      </c>
      <c r="E33" s="44">
        <v>18.95</v>
      </c>
      <c r="F33" s="42">
        <v>3</v>
      </c>
      <c r="G33" s="44"/>
      <c r="H33" s="44">
        <v>2.5730769230769227E-2</v>
      </c>
      <c r="I33" s="44">
        <v>0.10155769230769232</v>
      </c>
      <c r="J33" s="44">
        <v>-15.898076923076921</v>
      </c>
      <c r="K33" s="44">
        <v>27.123288461538461</v>
      </c>
      <c r="L33" s="44">
        <v>0.11448076923076927</v>
      </c>
    </row>
    <row r="34" spans="1:12" x14ac:dyDescent="0.2">
      <c r="A34" s="43" t="s">
        <v>17</v>
      </c>
      <c r="B34" s="43">
        <v>1</v>
      </c>
      <c r="C34" s="43">
        <v>15.25675</v>
      </c>
      <c r="D34" s="43">
        <v>0</v>
      </c>
      <c r="E34" s="43">
        <v>3.04</v>
      </c>
      <c r="F34" s="41">
        <v>3</v>
      </c>
      <c r="G34" s="43"/>
      <c r="H34" s="43">
        <v>5.3653846153846156E-3</v>
      </c>
      <c r="I34" s="43">
        <v>0.1041538461538461</v>
      </c>
      <c r="J34" s="43">
        <v>-6.6134615384615376</v>
      </c>
      <c r="K34" s="43">
        <v>11.017711538461539</v>
      </c>
      <c r="L34" s="43">
        <v>-0.54619230769230775</v>
      </c>
    </row>
    <row r="35" spans="1:12" x14ac:dyDescent="0.2">
      <c r="A35" s="44" t="s">
        <v>17</v>
      </c>
      <c r="B35" s="44">
        <v>1</v>
      </c>
      <c r="C35" s="44">
        <v>8.8248846153846152</v>
      </c>
      <c r="D35" s="44">
        <v>0</v>
      </c>
      <c r="E35" s="44">
        <v>2.4300000000000002</v>
      </c>
      <c r="F35" s="42">
        <v>2</v>
      </c>
      <c r="G35" s="44"/>
      <c r="H35" s="44">
        <v>4.5499999999999999E-2</v>
      </c>
      <c r="I35" s="44">
        <v>6.9499999999999992E-2</v>
      </c>
      <c r="J35" s="44">
        <v>-0.20961538461538465</v>
      </c>
      <c r="K35" s="44">
        <v>21.517884615384624</v>
      </c>
      <c r="L35" s="44">
        <v>-0.37636538461538477</v>
      </c>
    </row>
    <row r="36" spans="1:12" x14ac:dyDescent="0.2">
      <c r="A36" s="43" t="s">
        <v>17</v>
      </c>
      <c r="B36" s="43">
        <v>1</v>
      </c>
      <c r="C36" s="43">
        <v>3.4714230769230778</v>
      </c>
      <c r="D36" s="43">
        <v>0</v>
      </c>
      <c r="E36" s="43">
        <v>3.11</v>
      </c>
      <c r="F36" s="41">
        <v>2</v>
      </c>
      <c r="G36" s="43"/>
      <c r="H36" s="43">
        <v>4.6884615384615386E-2</v>
      </c>
      <c r="I36" s="43">
        <v>3.1903846153846158E-2</v>
      </c>
      <c r="J36" s="43">
        <v>-17.707692307692302</v>
      </c>
      <c r="K36" s="43">
        <v>45.645461538461532</v>
      </c>
      <c r="L36" s="43">
        <v>0.18923076923076929</v>
      </c>
    </row>
    <row r="37" spans="1:12" x14ac:dyDescent="0.2">
      <c r="A37" s="44" t="s">
        <v>17</v>
      </c>
      <c r="B37" s="44">
        <v>2</v>
      </c>
      <c r="C37" s="44">
        <v>13.319034146341453</v>
      </c>
      <c r="D37" s="44">
        <v>2</v>
      </c>
      <c r="E37" s="44">
        <v>16.96</v>
      </c>
      <c r="F37" s="45">
        <v>4</v>
      </c>
      <c r="G37" s="44"/>
      <c r="H37" s="44">
        <v>0</v>
      </c>
      <c r="I37" s="44">
        <v>0.14295414634146242</v>
      </c>
      <c r="J37" s="44">
        <v>-0.14102439024390434</v>
      </c>
      <c r="K37" s="44">
        <v>25.285427804878051</v>
      </c>
      <c r="L37" s="44">
        <v>0.59911414634146309</v>
      </c>
    </row>
    <row r="38" spans="1:12" x14ac:dyDescent="0.2">
      <c r="A38" s="43" t="s">
        <v>17</v>
      </c>
      <c r="B38" s="43">
        <v>2</v>
      </c>
      <c r="C38" s="43">
        <v>15.471383902439008</v>
      </c>
      <c r="D38" s="43">
        <v>0</v>
      </c>
      <c r="E38" s="43">
        <v>4.18</v>
      </c>
      <c r="F38" s="43">
        <v>3</v>
      </c>
      <c r="G38" s="43"/>
      <c r="H38" s="43">
        <v>0</v>
      </c>
      <c r="I38" s="43">
        <v>0.11217121951219569</v>
      </c>
      <c r="J38" s="43">
        <v>-3.2390243902438928E-2</v>
      </c>
      <c r="K38" s="43">
        <v>0</v>
      </c>
      <c r="L38" s="43">
        <v>0.17283121951219521</v>
      </c>
    </row>
    <row r="39" spans="1:12" x14ac:dyDescent="0.2">
      <c r="A39" s="44" t="s">
        <v>17</v>
      </c>
      <c r="B39" s="44">
        <v>2</v>
      </c>
      <c r="C39" s="44">
        <v>17.859313658536571</v>
      </c>
      <c r="D39" s="44">
        <v>0</v>
      </c>
      <c r="E39" s="44">
        <v>4.54</v>
      </c>
      <c r="F39" s="44">
        <v>3</v>
      </c>
      <c r="G39" s="44"/>
      <c r="H39" s="44">
        <v>0</v>
      </c>
      <c r="I39" s="44">
        <v>0.14277853658536585</v>
      </c>
      <c r="J39" s="44">
        <v>-8.3053658536585431</v>
      </c>
      <c r="K39" s="44">
        <v>0</v>
      </c>
      <c r="L39" s="44">
        <v>-2.8658536585363073E-3</v>
      </c>
    </row>
    <row r="40" spans="1:12" x14ac:dyDescent="0.2">
      <c r="A40" s="43" t="s">
        <v>17</v>
      </c>
      <c r="B40" s="43">
        <v>2</v>
      </c>
      <c r="C40" s="43">
        <v>19.46470097560978</v>
      </c>
      <c r="D40" s="43">
        <v>0</v>
      </c>
      <c r="E40" s="43">
        <v>2.41</v>
      </c>
      <c r="F40" s="43">
        <v>2</v>
      </c>
      <c r="G40" s="43"/>
      <c r="H40" s="43">
        <v>0</v>
      </c>
      <c r="I40" s="43">
        <v>0.17612390243902551</v>
      </c>
      <c r="J40" s="43">
        <v>-1.0513170731707462</v>
      </c>
      <c r="K40" s="43">
        <v>101.36343853658548</v>
      </c>
      <c r="L40" s="43">
        <v>0.37307707317073174</v>
      </c>
    </row>
    <row r="41" spans="1:12" x14ac:dyDescent="0.2">
      <c r="A41" s="44" t="s">
        <v>17</v>
      </c>
      <c r="B41" s="44">
        <v>2</v>
      </c>
      <c r="C41" s="44">
        <v>21.037148780487787</v>
      </c>
      <c r="D41" s="44">
        <v>0</v>
      </c>
      <c r="E41" s="44">
        <v>2.4700000000000002</v>
      </c>
      <c r="F41" s="44">
        <v>2</v>
      </c>
      <c r="G41" s="44"/>
      <c r="H41" s="44">
        <v>0</v>
      </c>
      <c r="I41" s="44">
        <v>0.12960487804877976</v>
      </c>
      <c r="J41" s="44">
        <v>-0.39531707317073145</v>
      </c>
      <c r="K41" s="44">
        <v>151.47205121951211</v>
      </c>
      <c r="L41" s="44">
        <v>-5.8935121951219513E-2</v>
      </c>
    </row>
    <row r="42" spans="1:12" x14ac:dyDescent="0.2">
      <c r="A42" s="43" t="s">
        <v>17</v>
      </c>
      <c r="B42" s="43">
        <v>3</v>
      </c>
      <c r="C42" s="43">
        <v>14.615052631578946</v>
      </c>
      <c r="D42" s="43">
        <v>0</v>
      </c>
      <c r="E42" s="43">
        <v>6.9</v>
      </c>
      <c r="F42" s="46">
        <v>4</v>
      </c>
      <c r="G42" s="43"/>
      <c r="H42" s="43">
        <v>0</v>
      </c>
      <c r="I42" s="43">
        <v>0.17005263157894734</v>
      </c>
      <c r="J42" s="43">
        <v>0.24736842105263163</v>
      </c>
      <c r="K42" s="43">
        <v>0</v>
      </c>
      <c r="L42" s="43">
        <v>-0.33555263157894738</v>
      </c>
    </row>
    <row r="43" spans="1:12" x14ac:dyDescent="0.2">
      <c r="A43" s="44" t="s">
        <v>17</v>
      </c>
      <c r="B43" s="44">
        <v>3</v>
      </c>
      <c r="C43" s="44">
        <v>8.8376842105263176</v>
      </c>
      <c r="D43" s="44">
        <v>0</v>
      </c>
      <c r="E43" s="44">
        <v>4.6399999999999997</v>
      </c>
      <c r="F43" s="42">
        <v>3</v>
      </c>
      <c r="G43" s="44"/>
      <c r="H43" s="44">
        <v>3.9736842105263154E-2</v>
      </c>
      <c r="I43" s="44">
        <v>0.10242105263157894</v>
      </c>
      <c r="J43" s="44">
        <v>-17.352631578947367</v>
      </c>
      <c r="K43" s="44">
        <v>57.24994736842104</v>
      </c>
      <c r="L43" s="44">
        <v>-7.4973684210526317E-2</v>
      </c>
    </row>
    <row r="44" spans="1:12" x14ac:dyDescent="0.2">
      <c r="A44" s="43" t="s">
        <v>17</v>
      </c>
      <c r="B44" s="43">
        <v>3</v>
      </c>
      <c r="C44" s="43">
        <v>11.620368421052634</v>
      </c>
      <c r="D44" s="43">
        <v>0</v>
      </c>
      <c r="E44" s="43">
        <v>3.11</v>
      </c>
      <c r="F44" s="41">
        <v>3</v>
      </c>
      <c r="G44" s="43"/>
      <c r="H44" s="43">
        <v>1.4447368421052632E-2</v>
      </c>
      <c r="I44" s="43">
        <v>0.10549999999999998</v>
      </c>
      <c r="J44" s="43">
        <v>-0.29473684210526313</v>
      </c>
      <c r="K44" s="43">
        <v>72.628499999999988</v>
      </c>
      <c r="L44" s="43">
        <v>8.2894736842105313E-2</v>
      </c>
    </row>
    <row r="45" spans="1:12" x14ac:dyDescent="0.2">
      <c r="A45" s="44" t="s">
        <v>17</v>
      </c>
      <c r="B45" s="44">
        <v>3</v>
      </c>
      <c r="C45" s="44">
        <v>13.855210526315791</v>
      </c>
      <c r="D45" s="44">
        <v>0</v>
      </c>
      <c r="E45" s="44">
        <v>1.81</v>
      </c>
      <c r="F45" s="42">
        <v>2</v>
      </c>
      <c r="G45" s="44"/>
      <c r="H45" s="44">
        <v>4.4631578947368418E-2</v>
      </c>
      <c r="I45" s="44">
        <v>0.16576315789473686</v>
      </c>
      <c r="J45" s="44">
        <v>-9.2947368421052623</v>
      </c>
      <c r="K45" s="44">
        <v>58.606894736842101</v>
      </c>
      <c r="L45" s="44">
        <v>-0.42655263157894735</v>
      </c>
    </row>
    <row r="46" spans="1:12" x14ac:dyDescent="0.2">
      <c r="A46" s="43" t="s">
        <v>17</v>
      </c>
      <c r="B46" s="43">
        <v>3</v>
      </c>
      <c r="C46" s="43">
        <v>10.177289473684212</v>
      </c>
      <c r="D46" s="43">
        <v>0</v>
      </c>
      <c r="E46" s="43">
        <v>2.46</v>
      </c>
      <c r="F46" s="41">
        <v>2</v>
      </c>
      <c r="G46" s="43"/>
      <c r="H46" s="43">
        <v>1.2894736842105263E-2</v>
      </c>
      <c r="I46" s="43">
        <v>4.7684210526315787E-2</v>
      </c>
      <c r="J46" s="43">
        <v>-0.58947368421052648</v>
      </c>
      <c r="K46" s="43">
        <v>58.980131578947386</v>
      </c>
      <c r="L46" s="43">
        <v>-0.45036842105263181</v>
      </c>
    </row>
    <row r="47" spans="1:12" x14ac:dyDescent="0.2">
      <c r="A47" s="44" t="s">
        <v>18</v>
      </c>
      <c r="B47" s="44">
        <v>1</v>
      </c>
      <c r="C47" s="44">
        <v>15.696066666666667</v>
      </c>
      <c r="D47" s="44">
        <v>0</v>
      </c>
      <c r="E47" s="44">
        <v>25.24</v>
      </c>
      <c r="F47" s="45">
        <v>4</v>
      </c>
      <c r="G47" s="44"/>
      <c r="H47" s="44">
        <v>1.755E-2</v>
      </c>
      <c r="I47" s="44">
        <v>0.15078333333333335</v>
      </c>
      <c r="J47" s="44">
        <v>0.54166666666666685</v>
      </c>
      <c r="K47" s="44">
        <v>67.103783333333311</v>
      </c>
      <c r="L47" s="44">
        <v>0.39898333333333319</v>
      </c>
    </row>
    <row r="48" spans="1:12" x14ac:dyDescent="0.2">
      <c r="A48" s="43" t="s">
        <v>18</v>
      </c>
      <c r="B48" s="43">
        <v>1</v>
      </c>
      <c r="C48" s="43">
        <v>16.722316666666668</v>
      </c>
      <c r="D48" s="43">
        <v>0</v>
      </c>
      <c r="E48" s="43">
        <v>6.45</v>
      </c>
      <c r="F48" s="43">
        <v>3</v>
      </c>
      <c r="G48" s="43"/>
      <c r="H48" s="43">
        <v>4.8333333333333327E-3</v>
      </c>
      <c r="I48" s="43">
        <v>0.1955166666666667</v>
      </c>
      <c r="J48" s="43">
        <v>-17.408333333333335</v>
      </c>
      <c r="K48" s="43">
        <v>89.997633333333354</v>
      </c>
      <c r="L48" s="43">
        <v>0.17379999999999995</v>
      </c>
    </row>
    <row r="49" spans="1:12" x14ac:dyDescent="0.2">
      <c r="A49" s="43" t="s">
        <v>18</v>
      </c>
      <c r="B49" s="43">
        <v>1</v>
      </c>
      <c r="C49" s="43">
        <v>15.804366666666668</v>
      </c>
      <c r="D49" s="43">
        <v>0</v>
      </c>
      <c r="E49" s="43">
        <v>12.21</v>
      </c>
      <c r="F49" s="43">
        <v>2</v>
      </c>
      <c r="G49" s="43"/>
      <c r="H49" s="43">
        <v>7.4333333333333343E-3</v>
      </c>
      <c r="I49" s="43">
        <v>0.14145000000000002</v>
      </c>
      <c r="J49" s="43">
        <v>-8.3933333333333326</v>
      </c>
      <c r="K49" s="43">
        <v>53.261533333333333</v>
      </c>
      <c r="L49" s="43">
        <v>0.20244999999999999</v>
      </c>
    </row>
    <row r="50" spans="1:12" x14ac:dyDescent="0.2">
      <c r="A50" s="44" t="s">
        <v>18</v>
      </c>
      <c r="B50" s="44">
        <v>1</v>
      </c>
      <c r="C50" s="44">
        <v>16.662966666666662</v>
      </c>
      <c r="D50" s="44">
        <v>0</v>
      </c>
      <c r="E50" s="44">
        <v>3.24</v>
      </c>
      <c r="F50" s="44">
        <v>2</v>
      </c>
      <c r="G50" s="44"/>
      <c r="H50" s="44">
        <v>2.3033333333333329E-2</v>
      </c>
      <c r="I50" s="44">
        <v>0.17655000000000004</v>
      </c>
      <c r="J50" s="44">
        <v>-12.841666666666667</v>
      </c>
      <c r="K50" s="44">
        <v>2.0240499999999999</v>
      </c>
      <c r="L50" s="44">
        <v>0.26708333333333328</v>
      </c>
    </row>
    <row r="51" spans="1:12" x14ac:dyDescent="0.2">
      <c r="A51" s="43" t="s">
        <v>18</v>
      </c>
      <c r="B51" s="43">
        <v>2</v>
      </c>
      <c r="C51" s="43">
        <v>10.127311529026972</v>
      </c>
      <c r="D51" s="43">
        <v>1</v>
      </c>
      <c r="E51" s="43">
        <v>10.28</v>
      </c>
      <c r="F51" s="46">
        <v>4</v>
      </c>
      <c r="G51" s="43"/>
      <c r="H51" s="43">
        <v>0</v>
      </c>
      <c r="I51" s="43">
        <v>0.11878291087489845</v>
      </c>
      <c r="J51" s="43">
        <v>-6.1488143908422312E-2</v>
      </c>
      <c r="K51" s="43">
        <v>13.419363041700738</v>
      </c>
      <c r="L51" s="43">
        <v>0.8023331970564177</v>
      </c>
    </row>
    <row r="52" spans="1:12" x14ac:dyDescent="0.2">
      <c r="A52" s="44" t="s">
        <v>18</v>
      </c>
      <c r="B52" s="44">
        <v>2</v>
      </c>
      <c r="C52" s="44">
        <v>18.672477923139834</v>
      </c>
      <c r="D52" s="44">
        <v>0</v>
      </c>
      <c r="E52" s="44">
        <v>6.09</v>
      </c>
      <c r="F52" s="42">
        <v>3</v>
      </c>
      <c r="G52" s="44"/>
      <c r="H52" s="44">
        <v>0</v>
      </c>
      <c r="I52" s="44">
        <v>0.1538340147179042</v>
      </c>
      <c r="J52" s="44">
        <v>6.475878986099734E-2</v>
      </c>
      <c r="K52" s="44">
        <v>12.050046197874078</v>
      </c>
      <c r="L52" s="44">
        <v>0.56083524121013872</v>
      </c>
    </row>
    <row r="53" spans="1:12" x14ac:dyDescent="0.2">
      <c r="A53" s="43" t="s">
        <v>18</v>
      </c>
      <c r="B53" s="43">
        <v>2</v>
      </c>
      <c r="C53" s="43">
        <v>20.456005314799643</v>
      </c>
      <c r="D53" s="43">
        <v>0</v>
      </c>
      <c r="E53" s="43">
        <v>4.4000000000000004</v>
      </c>
      <c r="F53" s="41">
        <v>3</v>
      </c>
      <c r="G53" s="43"/>
      <c r="H53" s="43">
        <v>0</v>
      </c>
      <c r="I53" s="43">
        <v>0.16616721177432439</v>
      </c>
      <c r="J53" s="43">
        <v>-7.6947260834014726</v>
      </c>
      <c r="K53" s="43">
        <v>5.4047412101390009</v>
      </c>
      <c r="L53" s="43">
        <v>0.63936426819296865</v>
      </c>
    </row>
    <row r="54" spans="1:12" x14ac:dyDescent="0.2">
      <c r="A54" s="44" t="s">
        <v>18</v>
      </c>
      <c r="B54" s="44">
        <v>2</v>
      </c>
      <c r="C54" s="44">
        <v>21.354136958299254</v>
      </c>
      <c r="D54" s="44">
        <v>0</v>
      </c>
      <c r="E54" s="44">
        <v>3.81</v>
      </c>
      <c r="F54" s="42">
        <v>2</v>
      </c>
      <c r="G54" s="44"/>
      <c r="H54" s="44">
        <v>0</v>
      </c>
      <c r="I54" s="44">
        <v>0.17661692559280429</v>
      </c>
      <c r="J54" s="44">
        <v>4.8814390842191767E-2</v>
      </c>
      <c r="K54" s="44">
        <v>0.27500613246116112</v>
      </c>
      <c r="L54" s="44">
        <v>0.52669419460343436</v>
      </c>
    </row>
    <row r="55" spans="1:12" x14ac:dyDescent="0.2">
      <c r="A55" s="43" t="s">
        <v>18</v>
      </c>
      <c r="B55" s="43">
        <v>2</v>
      </c>
      <c r="C55" s="43">
        <v>20.88450367947673</v>
      </c>
      <c r="D55" s="43">
        <v>0</v>
      </c>
      <c r="E55" s="43">
        <v>3.17</v>
      </c>
      <c r="F55" s="41">
        <v>2</v>
      </c>
      <c r="G55" s="43"/>
      <c r="H55" s="43">
        <v>0</v>
      </c>
      <c r="I55" s="43">
        <v>0.16340760425183826</v>
      </c>
      <c r="J55" s="43">
        <v>-8.0376533115290449</v>
      </c>
      <c r="K55" s="43">
        <v>67.047457890433321</v>
      </c>
      <c r="L55" s="43">
        <v>0.55389452166802977</v>
      </c>
    </row>
    <row r="56" spans="1:12" x14ac:dyDescent="0.2">
      <c r="A56" s="44" t="s">
        <v>18</v>
      </c>
      <c r="B56" s="44">
        <v>3</v>
      </c>
      <c r="C56" s="44">
        <v>10.447785714285711</v>
      </c>
      <c r="D56" s="44">
        <v>0</v>
      </c>
      <c r="E56" s="44">
        <v>5.26</v>
      </c>
      <c r="F56" s="45">
        <v>4</v>
      </c>
      <c r="G56" s="44"/>
      <c r="H56" s="44">
        <v>0</v>
      </c>
      <c r="I56" s="44">
        <v>0.11499999999999998</v>
      </c>
      <c r="J56" s="44">
        <v>-3.0952380952380943E-2</v>
      </c>
      <c r="K56" s="44">
        <v>0</v>
      </c>
      <c r="L56" s="44">
        <v>0.43621428571428567</v>
      </c>
    </row>
    <row r="57" spans="1:12" x14ac:dyDescent="0.2">
      <c r="A57" s="43" t="s">
        <v>18</v>
      </c>
      <c r="B57" s="43">
        <v>3</v>
      </c>
      <c r="C57" s="43">
        <v>7.2987857142857155</v>
      </c>
      <c r="D57" s="43">
        <v>0</v>
      </c>
      <c r="E57" s="43">
        <v>5.54</v>
      </c>
      <c r="F57" s="43">
        <v>3</v>
      </c>
      <c r="G57" s="43"/>
      <c r="H57" s="43">
        <v>0.14507142857142855</v>
      </c>
      <c r="I57" s="43">
        <v>4.9142857142857141E-2</v>
      </c>
      <c r="J57" s="43">
        <v>-21.145238095238096</v>
      </c>
      <c r="K57" s="43">
        <v>7.6451428571428561</v>
      </c>
      <c r="L57" s="43">
        <v>0.92033333333333289</v>
      </c>
    </row>
    <row r="58" spans="1:12" x14ac:dyDescent="0.2">
      <c r="A58" s="44" t="s">
        <v>18</v>
      </c>
      <c r="B58" s="44">
        <v>3</v>
      </c>
      <c r="C58" s="44">
        <v>8.2896428571428569</v>
      </c>
      <c r="D58" s="44">
        <v>1</v>
      </c>
      <c r="E58" s="44">
        <v>2.06</v>
      </c>
      <c r="F58" s="44">
        <v>3</v>
      </c>
      <c r="G58" s="44"/>
      <c r="H58" s="44">
        <v>4.9690476190476195E-2</v>
      </c>
      <c r="I58" s="44">
        <v>9.6833333333333341E-2</v>
      </c>
      <c r="J58" s="44">
        <v>-14.133333333333335</v>
      </c>
      <c r="K58" s="44">
        <v>61.982761904761901</v>
      </c>
      <c r="L58" s="44">
        <v>0.74335714285714294</v>
      </c>
    </row>
    <row r="59" spans="1:12" x14ac:dyDescent="0.2">
      <c r="A59" s="41" t="s">
        <v>18</v>
      </c>
      <c r="B59" s="41">
        <v>3</v>
      </c>
      <c r="C59" s="41">
        <v>14.109404761904759</v>
      </c>
      <c r="D59" s="41">
        <v>1</v>
      </c>
      <c r="E59" s="41">
        <v>3.25</v>
      </c>
      <c r="F59" s="43">
        <v>2</v>
      </c>
      <c r="G59" s="41"/>
      <c r="H59" s="41">
        <v>1.2285714285714285E-2</v>
      </c>
      <c r="I59" s="41">
        <v>0.14992857142857144</v>
      </c>
      <c r="J59" s="41">
        <v>-7.5309523809523808</v>
      </c>
      <c r="K59" s="41">
        <v>46.370738095238089</v>
      </c>
      <c r="L59" s="41">
        <v>0.80469047619047607</v>
      </c>
    </row>
    <row r="60" spans="1:12" x14ac:dyDescent="0.2">
      <c r="A60" s="42" t="s">
        <v>18</v>
      </c>
      <c r="B60" s="42">
        <v>3</v>
      </c>
      <c r="C60" s="42">
        <v>7.7511190476190492</v>
      </c>
      <c r="D60" s="42">
        <v>1</v>
      </c>
      <c r="E60" s="42">
        <v>8.19</v>
      </c>
      <c r="F60" s="44">
        <v>2</v>
      </c>
      <c r="G60" s="42"/>
      <c r="H60" s="42">
        <v>0.14683333333333332</v>
      </c>
      <c r="I60" s="42">
        <v>7.509523809523809E-2</v>
      </c>
      <c r="J60" s="42">
        <v>-1.8214285714285714</v>
      </c>
      <c r="K60" s="42">
        <v>66.414285714285711</v>
      </c>
      <c r="L60" s="42">
        <v>0.34669047619047599</v>
      </c>
    </row>
    <row r="61" spans="1:12" x14ac:dyDescent="0.2">
      <c r="A61" s="41" t="s">
        <v>19</v>
      </c>
      <c r="B61" s="41">
        <v>1</v>
      </c>
      <c r="C61" s="41">
        <v>14.146119047619049</v>
      </c>
      <c r="D61" s="43">
        <v>0</v>
      </c>
      <c r="E61" s="41">
        <v>7.74</v>
      </c>
      <c r="F61" s="46">
        <v>4</v>
      </c>
      <c r="G61" s="41"/>
      <c r="H61" s="41">
        <v>5.261904761904761E-3</v>
      </c>
      <c r="I61" s="41">
        <v>0.14852380952380953</v>
      </c>
      <c r="J61" s="41">
        <v>0.43571428571428555</v>
      </c>
      <c r="K61" s="41">
        <v>107.35461904761902</v>
      </c>
      <c r="L61" s="41">
        <v>0.56850000000000001</v>
      </c>
    </row>
    <row r="62" spans="1:12" x14ac:dyDescent="0.2">
      <c r="A62" s="42" t="s">
        <v>19</v>
      </c>
      <c r="B62" s="42">
        <v>1</v>
      </c>
      <c r="C62" s="42">
        <v>13.871285714285714</v>
      </c>
      <c r="D62" s="44">
        <v>0</v>
      </c>
      <c r="E62" s="42">
        <v>4.9800000000000004</v>
      </c>
      <c r="F62" s="42">
        <v>3</v>
      </c>
      <c r="G62" s="42"/>
      <c r="H62" s="42">
        <v>1.8690476190476188E-2</v>
      </c>
      <c r="I62" s="42">
        <v>0.15307142857142855</v>
      </c>
      <c r="J62" s="42">
        <v>-11.87142857142857</v>
      </c>
      <c r="K62" s="42">
        <v>14.365880952380952</v>
      </c>
      <c r="L62" s="42">
        <v>-3.4333333333333362E-2</v>
      </c>
    </row>
    <row r="63" spans="1:12" x14ac:dyDescent="0.2">
      <c r="A63" s="41" t="s">
        <v>19</v>
      </c>
      <c r="B63" s="41">
        <v>1</v>
      </c>
      <c r="C63" s="41">
        <v>16.344047619047622</v>
      </c>
      <c r="D63" s="43">
        <v>0</v>
      </c>
      <c r="E63" s="41">
        <v>5.12</v>
      </c>
      <c r="F63" s="41">
        <v>3</v>
      </c>
      <c r="G63" s="41"/>
      <c r="H63" s="41">
        <v>0</v>
      </c>
      <c r="I63" s="41">
        <v>0.10169047619047619</v>
      </c>
      <c r="J63" s="41">
        <v>-6.9761904761904763</v>
      </c>
      <c r="K63" s="41">
        <v>0</v>
      </c>
      <c r="L63" s="41">
        <v>0.71723809523809523</v>
      </c>
    </row>
    <row r="64" spans="1:12" x14ac:dyDescent="0.2">
      <c r="A64" s="42" t="s">
        <v>19</v>
      </c>
      <c r="B64" s="42">
        <v>1</v>
      </c>
      <c r="C64" s="42">
        <v>14.988261904761909</v>
      </c>
      <c r="D64" s="44">
        <v>0</v>
      </c>
      <c r="E64" s="42">
        <v>4.2</v>
      </c>
      <c r="F64" s="42">
        <v>2</v>
      </c>
      <c r="G64" s="42"/>
      <c r="H64" s="42">
        <v>0</v>
      </c>
      <c r="I64" s="42">
        <v>0.11428571428571432</v>
      </c>
      <c r="J64" s="42">
        <v>-0.79047619047619089</v>
      </c>
      <c r="K64" s="42">
        <v>8.4364285714285732</v>
      </c>
      <c r="L64" s="42">
        <v>0.196047619047619</v>
      </c>
    </row>
    <row r="65" spans="1:12" x14ac:dyDescent="0.2">
      <c r="A65" s="41" t="s">
        <v>19</v>
      </c>
      <c r="B65" s="41">
        <v>1</v>
      </c>
      <c r="C65" s="41">
        <v>12.014238095238097</v>
      </c>
      <c r="D65" s="43">
        <v>0</v>
      </c>
      <c r="E65" s="41">
        <v>2.76</v>
      </c>
      <c r="F65" s="41">
        <v>2</v>
      </c>
      <c r="G65" s="41"/>
      <c r="H65" s="41">
        <v>1.7119047619047617E-2</v>
      </c>
      <c r="I65" s="41">
        <v>0.12566666666666665</v>
      </c>
      <c r="J65" s="41">
        <v>-15.707142857142859</v>
      </c>
      <c r="K65" s="41">
        <v>20.696428571428573</v>
      </c>
      <c r="L65" s="41">
        <v>-7.047619047619047E-2</v>
      </c>
    </row>
    <row r="66" spans="1:12" x14ac:dyDescent="0.2">
      <c r="A66" s="42" t="s">
        <v>19</v>
      </c>
      <c r="B66" s="42">
        <v>2</v>
      </c>
      <c r="C66" s="42">
        <v>14.181570543702652</v>
      </c>
      <c r="D66" s="44">
        <v>1</v>
      </c>
      <c r="E66" s="42">
        <v>12.24</v>
      </c>
      <c r="F66" s="45">
        <v>4</v>
      </c>
      <c r="G66" s="42"/>
      <c r="H66" s="42">
        <v>0</v>
      </c>
      <c r="I66" s="42">
        <v>0.13664624913970999</v>
      </c>
      <c r="J66" s="42">
        <v>-0.27852718513420849</v>
      </c>
      <c r="K66" s="42">
        <v>11.14174294562973</v>
      </c>
      <c r="L66" s="42">
        <v>0.94688953888506278</v>
      </c>
    </row>
    <row r="67" spans="1:12" x14ac:dyDescent="0.2">
      <c r="A67" s="41" t="s">
        <v>19</v>
      </c>
      <c r="B67" s="41">
        <v>2</v>
      </c>
      <c r="C67" s="41">
        <v>18.402519270474858</v>
      </c>
      <c r="D67" s="43">
        <v>2</v>
      </c>
      <c r="E67" s="41">
        <v>14.48</v>
      </c>
      <c r="F67" s="43">
        <v>3</v>
      </c>
      <c r="G67" s="41"/>
      <c r="H67" s="41">
        <v>0</v>
      </c>
      <c r="I67" s="41">
        <v>0.13380144528561524</v>
      </c>
      <c r="J67" s="41">
        <v>-5.7195801789401184</v>
      </c>
      <c r="K67" s="41">
        <v>68.882732622160958</v>
      </c>
      <c r="L67" s="41">
        <v>0.58880213351686272</v>
      </c>
    </row>
    <row r="68" spans="1:12" x14ac:dyDescent="0.2">
      <c r="A68" s="42" t="s">
        <v>19</v>
      </c>
      <c r="B68" s="42">
        <v>2</v>
      </c>
      <c r="C68" s="42">
        <v>18.075516517549826</v>
      </c>
      <c r="D68" s="44">
        <v>0</v>
      </c>
      <c r="E68" s="42">
        <v>8.67</v>
      </c>
      <c r="F68" s="44">
        <v>3</v>
      </c>
      <c r="G68" s="42"/>
      <c r="H68" s="42">
        <v>0</v>
      </c>
      <c r="I68" s="42">
        <v>0.15413833448038528</v>
      </c>
      <c r="J68" s="42">
        <v>-0.87914659325532774</v>
      </c>
      <c r="K68" s="42">
        <v>8.5168799036476237</v>
      </c>
      <c r="L68" s="42">
        <v>0.49590880935994641</v>
      </c>
    </row>
    <row r="69" spans="1:12" x14ac:dyDescent="0.2">
      <c r="A69" s="41" t="s">
        <v>19</v>
      </c>
      <c r="B69" s="41">
        <v>2</v>
      </c>
      <c r="C69" s="41">
        <v>18.117944941500372</v>
      </c>
      <c r="D69" s="43">
        <v>0</v>
      </c>
      <c r="E69" s="41">
        <v>3.65</v>
      </c>
      <c r="F69" s="43">
        <v>2</v>
      </c>
      <c r="G69" s="41"/>
      <c r="H69" s="41">
        <v>2.2670337233310395E-3</v>
      </c>
      <c r="I69" s="41">
        <v>0.13406434962147207</v>
      </c>
      <c r="J69" s="41">
        <v>-7.0411562284927793</v>
      </c>
      <c r="K69" s="41">
        <v>110.22790467997243</v>
      </c>
      <c r="L69" s="41">
        <v>0.40300550584996608</v>
      </c>
    </row>
    <row r="70" spans="1:12" x14ac:dyDescent="0.2">
      <c r="A70" s="42" t="s">
        <v>19</v>
      </c>
      <c r="B70" s="42">
        <v>2</v>
      </c>
      <c r="C70" s="42">
        <v>17.365099793530671</v>
      </c>
      <c r="D70" s="44">
        <v>0</v>
      </c>
      <c r="E70" s="42">
        <v>4.71</v>
      </c>
      <c r="F70" s="44">
        <v>2</v>
      </c>
      <c r="G70" s="42"/>
      <c r="H70" s="42">
        <v>1.4460426703372321E-2</v>
      </c>
      <c r="I70" s="42">
        <v>0.13854507914659314</v>
      </c>
      <c r="J70" s="42">
        <v>-7.0818995182379413E-2</v>
      </c>
      <c r="K70" s="42">
        <v>94.699694425327138</v>
      </c>
      <c r="L70" s="42">
        <v>0.24894115622849325</v>
      </c>
    </row>
    <row r="71" spans="1:12" x14ac:dyDescent="0.2">
      <c r="A71" s="41" t="s">
        <v>19</v>
      </c>
      <c r="B71" s="41">
        <v>3</v>
      </c>
      <c r="C71" s="41">
        <v>16.088153846153848</v>
      </c>
      <c r="D71" s="43">
        <v>0</v>
      </c>
      <c r="E71" s="41">
        <v>7.21</v>
      </c>
      <c r="F71" s="46">
        <v>4</v>
      </c>
      <c r="G71" s="41"/>
      <c r="H71" s="41">
        <v>0</v>
      </c>
      <c r="I71" s="41">
        <v>0.18930769230769232</v>
      </c>
      <c r="J71" s="41">
        <v>0.24102564102564103</v>
      </c>
      <c r="K71" s="41">
        <v>0</v>
      </c>
      <c r="L71" s="41">
        <v>-0.10264102564102565</v>
      </c>
    </row>
    <row r="72" spans="1:12" x14ac:dyDescent="0.2">
      <c r="A72" s="42" t="s">
        <v>19</v>
      </c>
      <c r="B72" s="42">
        <v>3</v>
      </c>
      <c r="C72" s="42">
        <v>12.649230769230771</v>
      </c>
      <c r="D72" s="44">
        <v>0</v>
      </c>
      <c r="E72" s="42">
        <v>5.38</v>
      </c>
      <c r="F72" s="42">
        <v>3</v>
      </c>
      <c r="G72" s="42"/>
      <c r="H72" s="42">
        <v>4.1461538461538459E-2</v>
      </c>
      <c r="I72" s="42">
        <v>0.13130769230769229</v>
      </c>
      <c r="J72" s="42">
        <v>-17.517948717948709</v>
      </c>
      <c r="K72" s="42">
        <v>30.479435897435906</v>
      </c>
      <c r="L72" s="42">
        <v>0.26469230769230773</v>
      </c>
    </row>
    <row r="73" spans="1:12" x14ac:dyDescent="0.2">
      <c r="A73" s="41" t="s">
        <v>19</v>
      </c>
      <c r="B73" s="41">
        <v>3</v>
      </c>
      <c r="C73" s="41">
        <v>15.210307692307687</v>
      </c>
      <c r="D73" s="43">
        <v>0</v>
      </c>
      <c r="E73" s="41">
        <v>5.52</v>
      </c>
      <c r="F73" s="41">
        <v>3</v>
      </c>
      <c r="G73" s="41"/>
      <c r="H73" s="41">
        <v>0</v>
      </c>
      <c r="I73" s="41">
        <v>0.10694871794871794</v>
      </c>
      <c r="J73" s="41">
        <v>-9.2358974358974368</v>
      </c>
      <c r="K73" s="41">
        <v>6.5324871794871795</v>
      </c>
      <c r="L73" s="41">
        <v>-2.5641025641025664E-2</v>
      </c>
    </row>
    <row r="74" spans="1:12" x14ac:dyDescent="0.2">
      <c r="A74" s="42" t="s">
        <v>19</v>
      </c>
      <c r="B74" s="42">
        <v>3</v>
      </c>
      <c r="C74" s="42">
        <v>15.038051282051283</v>
      </c>
      <c r="D74" s="44">
        <v>0</v>
      </c>
      <c r="E74" s="42">
        <v>3.94</v>
      </c>
      <c r="F74" s="42">
        <v>2</v>
      </c>
      <c r="G74" s="42"/>
      <c r="H74" s="42">
        <v>1.9E-2</v>
      </c>
      <c r="I74" s="42">
        <v>0.11046153846153849</v>
      </c>
      <c r="J74" s="42">
        <v>-16.043589743589745</v>
      </c>
      <c r="K74" s="42">
        <v>4.6249487179487181</v>
      </c>
      <c r="L74" s="42">
        <v>4.9999999999999906E-3</v>
      </c>
    </row>
    <row r="75" spans="1:12" x14ac:dyDescent="0.2">
      <c r="A75" s="41" t="s">
        <v>19</v>
      </c>
      <c r="B75" s="41">
        <v>3</v>
      </c>
      <c r="C75" s="41">
        <v>9.1251282051282043</v>
      </c>
      <c r="D75" s="43">
        <v>0</v>
      </c>
      <c r="E75" s="41">
        <v>4.51</v>
      </c>
      <c r="F75" s="41">
        <v>2</v>
      </c>
      <c r="G75" s="41"/>
      <c r="H75" s="41">
        <v>7.9846153846153844E-2</v>
      </c>
      <c r="I75" s="41">
        <v>9.274358974358976E-2</v>
      </c>
      <c r="J75" s="41">
        <v>1.0717948717948718</v>
      </c>
      <c r="K75" s="41">
        <v>82.758153846153846</v>
      </c>
      <c r="L75" s="41">
        <v>-0.34866666666666662</v>
      </c>
    </row>
    <row r="76" spans="1:12" x14ac:dyDescent="0.2">
      <c r="A76" s="42" t="s">
        <v>21</v>
      </c>
      <c r="B76" s="42">
        <v>1</v>
      </c>
      <c r="C76" s="42">
        <v>19.56165789473685</v>
      </c>
      <c r="D76" s="42">
        <v>0</v>
      </c>
      <c r="E76" s="42">
        <v>9.2899999999999991</v>
      </c>
      <c r="F76" s="45">
        <v>4</v>
      </c>
      <c r="G76" s="42"/>
      <c r="H76" s="42">
        <v>0</v>
      </c>
      <c r="I76" s="42">
        <v>0.23423684210526316</v>
      </c>
      <c r="J76" s="42">
        <v>0.23421052631578942</v>
      </c>
      <c r="K76" s="42">
        <v>145.22147368421048</v>
      </c>
      <c r="L76" s="42">
        <v>0.48413157894736847</v>
      </c>
    </row>
    <row r="77" spans="1:12" x14ac:dyDescent="0.2">
      <c r="A77" s="41" t="s">
        <v>21</v>
      </c>
      <c r="B77" s="41">
        <v>1</v>
      </c>
      <c r="C77" s="41">
        <v>16.486368421052632</v>
      </c>
      <c r="D77" s="41">
        <v>0</v>
      </c>
      <c r="E77" s="41">
        <v>8.6300000000000008</v>
      </c>
      <c r="F77" s="43">
        <v>4</v>
      </c>
      <c r="G77" s="41"/>
      <c r="H77" s="41">
        <v>4.3631578947368417E-2</v>
      </c>
      <c r="I77" s="41">
        <v>0.16842105263157894</v>
      </c>
      <c r="J77" s="41">
        <v>-13.286842105263156</v>
      </c>
      <c r="K77" s="41">
        <v>45.274973684210529</v>
      </c>
      <c r="L77" s="41">
        <v>0.1746842105263158</v>
      </c>
    </row>
    <row r="78" spans="1:12" x14ac:dyDescent="0.2">
      <c r="A78" s="42" t="s">
        <v>21</v>
      </c>
      <c r="B78" s="42">
        <v>1</v>
      </c>
      <c r="C78" s="42">
        <v>19.956342105263154</v>
      </c>
      <c r="D78" s="42">
        <v>1</v>
      </c>
      <c r="E78" s="42">
        <v>8.98</v>
      </c>
      <c r="F78" s="44">
        <v>3</v>
      </c>
      <c r="G78" s="42"/>
      <c r="H78" s="42">
        <v>1.5E-3</v>
      </c>
      <c r="I78" s="42">
        <v>0.22784210526315787</v>
      </c>
      <c r="J78" s="42">
        <v>-8.3947368421052655</v>
      </c>
      <c r="K78" s="42">
        <v>28.153868421052632</v>
      </c>
      <c r="L78" s="42">
        <v>0.14549999999999996</v>
      </c>
    </row>
    <row r="79" spans="1:12" x14ac:dyDescent="0.2">
      <c r="A79" s="41" t="s">
        <v>21</v>
      </c>
      <c r="B79" s="41">
        <v>1</v>
      </c>
      <c r="C79" s="41">
        <v>11.710263157894737</v>
      </c>
      <c r="D79" s="41">
        <v>0</v>
      </c>
      <c r="E79" s="41">
        <v>3.74</v>
      </c>
      <c r="F79" s="43">
        <v>3</v>
      </c>
      <c r="G79" s="41"/>
      <c r="H79" s="41">
        <v>1.1157894736842104E-2</v>
      </c>
      <c r="I79" s="41">
        <v>5.105263157894737E-2</v>
      </c>
      <c r="J79" s="41">
        <v>-0.47105263157894733</v>
      </c>
      <c r="K79" s="41">
        <v>33.61771052631579</v>
      </c>
      <c r="L79" s="41">
        <v>1.9763157894736847E-2</v>
      </c>
    </row>
    <row r="80" spans="1:12" x14ac:dyDescent="0.2">
      <c r="A80" s="42" t="s">
        <v>21</v>
      </c>
      <c r="B80" s="42">
        <v>1</v>
      </c>
      <c r="C80" s="42">
        <v>7.7703947368421034</v>
      </c>
      <c r="D80" s="42">
        <v>0</v>
      </c>
      <c r="E80" s="42">
        <v>2.29</v>
      </c>
      <c r="F80" s="44">
        <v>2</v>
      </c>
      <c r="G80" s="42"/>
      <c r="H80" s="42">
        <v>1.973684210526316E-2</v>
      </c>
      <c r="I80" s="42">
        <v>8.0552631578947362E-2</v>
      </c>
      <c r="J80" s="42">
        <v>-16.149999999999999</v>
      </c>
      <c r="K80" s="42">
        <v>17.494263157894739</v>
      </c>
      <c r="L80" s="42">
        <v>0.24539473684210525</v>
      </c>
    </row>
    <row r="81" spans="1:12" x14ac:dyDescent="0.2">
      <c r="A81" s="41" t="s">
        <v>21</v>
      </c>
      <c r="B81" s="41">
        <v>1</v>
      </c>
      <c r="C81" s="41">
        <v>16.478026315789474</v>
      </c>
      <c r="D81" s="41">
        <v>0</v>
      </c>
      <c r="E81" s="41">
        <v>4.29</v>
      </c>
      <c r="F81" s="41">
        <v>2</v>
      </c>
      <c r="G81" s="41"/>
      <c r="H81" s="41">
        <v>4.6315789473684206E-3</v>
      </c>
      <c r="I81" s="41">
        <v>0.4836052631578947</v>
      </c>
      <c r="J81" s="41">
        <v>-1.5078947368421052</v>
      </c>
      <c r="K81" s="41">
        <v>15.010526315789477</v>
      </c>
      <c r="L81" s="41">
        <v>2.5710526315789458E-2</v>
      </c>
    </row>
    <row r="82" spans="1:12" x14ac:dyDescent="0.2">
      <c r="A82" s="42" t="s">
        <v>21</v>
      </c>
      <c r="B82" s="42">
        <v>2</v>
      </c>
      <c r="C82" s="42">
        <v>23.362260319207493</v>
      </c>
      <c r="D82" s="42">
        <v>0</v>
      </c>
      <c r="E82" s="42">
        <v>4.41</v>
      </c>
      <c r="F82" s="45">
        <v>4</v>
      </c>
      <c r="G82" s="42"/>
      <c r="H82" s="42">
        <v>0</v>
      </c>
      <c r="I82" s="42">
        <v>0.49077875619152395</v>
      </c>
      <c r="J82" s="42">
        <v>0.51034672537148917</v>
      </c>
      <c r="K82" s="42">
        <v>0</v>
      </c>
      <c r="L82" s="42">
        <v>-0.29121794166208037</v>
      </c>
    </row>
    <row r="83" spans="1:12" x14ac:dyDescent="0.2">
      <c r="A83" s="41" t="s">
        <v>21</v>
      </c>
      <c r="B83" s="41">
        <v>2</v>
      </c>
      <c r="C83" s="41">
        <v>34.939642267473857</v>
      </c>
      <c r="D83" s="41">
        <v>0</v>
      </c>
      <c r="E83" s="41">
        <v>5.17</v>
      </c>
      <c r="F83" s="43">
        <v>4</v>
      </c>
      <c r="G83" s="41"/>
      <c r="H83" s="41">
        <v>6.3973582828838757E-3</v>
      </c>
      <c r="I83" s="41">
        <v>0.50325151348376607</v>
      </c>
      <c r="J83" s="41">
        <v>-12.193615850302708</v>
      </c>
      <c r="K83" s="41">
        <v>102.15478315905345</v>
      </c>
      <c r="L83" s="41">
        <v>-0.22411887727022564</v>
      </c>
    </row>
    <row r="84" spans="1:12" x14ac:dyDescent="0.2">
      <c r="A84" s="42" t="s">
        <v>21</v>
      </c>
      <c r="B84" s="42">
        <v>2</v>
      </c>
      <c r="C84" s="42">
        <v>38.007719867914105</v>
      </c>
      <c r="D84" s="42">
        <v>0</v>
      </c>
      <c r="E84" s="42">
        <v>5.4</v>
      </c>
      <c r="F84" s="44">
        <v>3</v>
      </c>
      <c r="G84" s="42"/>
      <c r="H84" s="42">
        <v>2.4986241056686844E-3</v>
      </c>
      <c r="I84" s="42">
        <v>0.66399174463401156</v>
      </c>
      <c r="J84" s="42">
        <v>-6.9895432030819798E-2</v>
      </c>
      <c r="K84" s="42">
        <v>79.319921849201805</v>
      </c>
      <c r="L84" s="42">
        <v>0.21485470555861277</v>
      </c>
    </row>
    <row r="85" spans="1:12" x14ac:dyDescent="0.2">
      <c r="A85" s="41" t="s">
        <v>21</v>
      </c>
      <c r="B85" s="41">
        <v>2</v>
      </c>
      <c r="C85" s="41">
        <v>36.883058888277397</v>
      </c>
      <c r="D85" s="41">
        <v>0</v>
      </c>
      <c r="E85" s="41">
        <v>3.01</v>
      </c>
      <c r="F85" s="43">
        <v>3</v>
      </c>
      <c r="G85" s="41"/>
      <c r="H85" s="41">
        <v>1.8161805173362687E-5</v>
      </c>
      <c r="I85" s="41">
        <v>0.60353824986240812</v>
      </c>
      <c r="J85" s="41">
        <v>-13.309631260319202</v>
      </c>
      <c r="K85" s="41">
        <v>21.35891634562465</v>
      </c>
      <c r="L85" s="41">
        <v>0.29873087506879464</v>
      </c>
    </row>
    <row r="86" spans="1:12" x14ac:dyDescent="0.2">
      <c r="A86" s="42" t="s">
        <v>21</v>
      </c>
      <c r="B86" s="42">
        <v>2</v>
      </c>
      <c r="C86" s="42">
        <v>36.267837094111101</v>
      </c>
      <c r="D86" s="42">
        <v>0</v>
      </c>
      <c r="E86" s="42">
        <v>1.75</v>
      </c>
      <c r="F86" s="44">
        <v>2</v>
      </c>
      <c r="G86" s="42"/>
      <c r="H86" s="42">
        <v>0</v>
      </c>
      <c r="I86" s="42">
        <v>0.53570555861309677</v>
      </c>
      <c r="J86" s="42">
        <v>-12.990203632361041</v>
      </c>
      <c r="K86" s="42">
        <v>31.74100605393507</v>
      </c>
      <c r="L86" s="42">
        <v>0.12026692350027525</v>
      </c>
    </row>
    <row r="87" spans="1:12" x14ac:dyDescent="0.2">
      <c r="A87" s="41" t="s">
        <v>21</v>
      </c>
      <c r="B87" s="41">
        <v>2</v>
      </c>
      <c r="C87" s="41">
        <v>34.750372592184931</v>
      </c>
      <c r="D87" s="41">
        <v>1</v>
      </c>
      <c r="E87" s="41">
        <v>9.8699999999999992</v>
      </c>
      <c r="F87" s="41">
        <v>2</v>
      </c>
      <c r="G87" s="41"/>
      <c r="H87" s="41">
        <v>0</v>
      </c>
      <c r="I87" s="41">
        <v>0.54745514584480304</v>
      </c>
      <c r="J87" s="41">
        <v>-6.0594386351128335E-2</v>
      </c>
      <c r="K87" s="41">
        <v>0</v>
      </c>
      <c r="L87" s="41">
        <v>0.13704127682993941</v>
      </c>
    </row>
    <row r="88" spans="1:12" x14ac:dyDescent="0.2">
      <c r="A88" s="42" t="s">
        <v>21</v>
      </c>
      <c r="B88" s="42">
        <v>3</v>
      </c>
      <c r="C88" s="42">
        <v>18.905793103448271</v>
      </c>
      <c r="D88" s="42">
        <v>0</v>
      </c>
      <c r="E88" s="42">
        <v>4.16</v>
      </c>
      <c r="F88" s="45">
        <v>4</v>
      </c>
      <c r="G88" s="42"/>
      <c r="H88" s="42">
        <v>6.1034482758620685E-3</v>
      </c>
      <c r="I88" s="42">
        <v>0.31000000000000011</v>
      </c>
      <c r="J88" s="42">
        <v>0.11034482758620692</v>
      </c>
      <c r="K88" s="42">
        <v>0</v>
      </c>
      <c r="L88" s="42">
        <v>0.31168965517241376</v>
      </c>
    </row>
    <row r="89" spans="1:12" x14ac:dyDescent="0.2">
      <c r="A89" s="41" t="s">
        <v>21</v>
      </c>
      <c r="B89" s="41">
        <v>3</v>
      </c>
      <c r="C89" s="41">
        <v>9.1640344827586215</v>
      </c>
      <c r="D89" s="41">
        <v>0</v>
      </c>
      <c r="E89" s="41">
        <v>3.42</v>
      </c>
      <c r="F89" s="43">
        <v>4</v>
      </c>
      <c r="G89" s="41"/>
      <c r="H89" s="41">
        <v>4.1482758620689661E-2</v>
      </c>
      <c r="I89" s="41">
        <v>6.9620689655172402E-2</v>
      </c>
      <c r="J89" s="41">
        <v>-17.882758620689657</v>
      </c>
      <c r="K89" s="41">
        <v>9.2116206896551738</v>
      </c>
      <c r="L89" s="41">
        <v>-8.3862068965517234E-2</v>
      </c>
    </row>
    <row r="90" spans="1:12" x14ac:dyDescent="0.2">
      <c r="A90" s="42" t="s">
        <v>21</v>
      </c>
      <c r="B90" s="42">
        <v>3</v>
      </c>
      <c r="C90" s="42">
        <v>15.101551724137931</v>
      </c>
      <c r="D90" s="42">
        <v>0</v>
      </c>
      <c r="E90" s="42">
        <v>2.54</v>
      </c>
      <c r="F90" s="44">
        <v>3</v>
      </c>
      <c r="G90" s="42"/>
      <c r="H90" s="42">
        <v>2.4862068965517244E-2</v>
      </c>
      <c r="I90" s="42">
        <v>0.14048275862068968</v>
      </c>
      <c r="J90" s="42">
        <v>0.39999999999999986</v>
      </c>
      <c r="K90" s="42">
        <v>0</v>
      </c>
      <c r="L90" s="42">
        <v>-0.17306896551724135</v>
      </c>
    </row>
    <row r="91" spans="1:12" x14ac:dyDescent="0.2">
      <c r="A91" s="41" t="s">
        <v>21</v>
      </c>
      <c r="B91" s="41">
        <v>3</v>
      </c>
      <c r="C91" s="41">
        <v>16.546482758620691</v>
      </c>
      <c r="D91" s="41">
        <v>0</v>
      </c>
      <c r="E91" s="41">
        <v>4.34</v>
      </c>
      <c r="F91" s="43">
        <v>3</v>
      </c>
      <c r="G91" s="41"/>
      <c r="H91" s="41">
        <v>2.379310344827586E-2</v>
      </c>
      <c r="I91" s="41">
        <v>0.18075862068965518</v>
      </c>
      <c r="J91" s="41">
        <v>-12.075862068965519</v>
      </c>
      <c r="K91" s="41">
        <v>22.481655172413795</v>
      </c>
      <c r="L91" s="41">
        <v>-3.4827586206896658E-3</v>
      </c>
    </row>
    <row r="92" spans="1:12" x14ac:dyDescent="0.2">
      <c r="A92" s="42" t="s">
        <v>21</v>
      </c>
      <c r="B92" s="42">
        <v>3</v>
      </c>
      <c r="C92" s="42">
        <v>14.982931034482759</v>
      </c>
      <c r="D92" s="42">
        <v>0</v>
      </c>
      <c r="E92" s="42">
        <v>1.57</v>
      </c>
      <c r="F92" s="44">
        <v>2</v>
      </c>
      <c r="G92" s="42"/>
      <c r="H92" s="42">
        <v>7.9310344827586213E-3</v>
      </c>
      <c r="I92" s="42">
        <v>0.18637931034482763</v>
      </c>
      <c r="J92" s="42">
        <v>-3.4482758620689523E-2</v>
      </c>
      <c r="K92" s="42">
        <v>28.824206896551726</v>
      </c>
      <c r="L92" s="42">
        <v>-1.1206896551724127E-2</v>
      </c>
    </row>
    <row r="93" spans="1:12" x14ac:dyDescent="0.2">
      <c r="A93" s="41" t="s">
        <v>21</v>
      </c>
      <c r="B93" s="41">
        <v>3</v>
      </c>
      <c r="C93" s="41">
        <v>13.144793103448272</v>
      </c>
      <c r="D93" s="41">
        <v>0</v>
      </c>
      <c r="E93" s="41">
        <v>2.6</v>
      </c>
      <c r="F93" s="41">
        <v>2</v>
      </c>
      <c r="G93" s="41"/>
      <c r="H93" s="41">
        <v>2.7413793103448277E-2</v>
      </c>
      <c r="I93" s="41">
        <v>9.8896551724137943E-2</v>
      </c>
      <c r="J93" s="41">
        <v>-18.310344827586217</v>
      </c>
      <c r="K93" s="41">
        <v>34.72706896551724</v>
      </c>
      <c r="L93" s="41">
        <v>0.30144827586206885</v>
      </c>
    </row>
    <row r="94" spans="1:12" x14ac:dyDescent="0.2">
      <c r="A94" s="42" t="s">
        <v>11</v>
      </c>
      <c r="B94" s="42">
        <v>1</v>
      </c>
      <c r="C94" s="42">
        <v>13.200259259259258</v>
      </c>
      <c r="D94" s="42">
        <v>0</v>
      </c>
      <c r="E94" s="42">
        <v>5.09</v>
      </c>
      <c r="F94" s="45">
        <v>4</v>
      </c>
      <c r="G94" s="42"/>
      <c r="H94" s="42">
        <v>0</v>
      </c>
      <c r="I94" s="42">
        <v>0.17603703703703696</v>
      </c>
      <c r="J94" s="42">
        <v>-5.7814814814814799</v>
      </c>
      <c r="K94" s="42">
        <v>0</v>
      </c>
      <c r="L94" s="42">
        <v>5.2555555555555557E-2</v>
      </c>
    </row>
    <row r="95" spans="1:12" x14ac:dyDescent="0.2">
      <c r="A95" s="41" t="s">
        <v>11</v>
      </c>
      <c r="B95" s="41">
        <v>1</v>
      </c>
      <c r="C95" s="41">
        <v>19.608296296296299</v>
      </c>
      <c r="D95" s="41">
        <v>0</v>
      </c>
      <c r="E95" s="41">
        <v>4.58</v>
      </c>
      <c r="F95" s="43">
        <v>4</v>
      </c>
      <c r="G95" s="41"/>
      <c r="H95" s="41">
        <v>8.518518518518519E-3</v>
      </c>
      <c r="I95" s="41">
        <v>0.14888888888888888</v>
      </c>
      <c r="J95" s="41">
        <v>0.11111111111111115</v>
      </c>
      <c r="K95" s="41">
        <v>0</v>
      </c>
      <c r="L95" s="41">
        <v>0.18211111111111108</v>
      </c>
    </row>
    <row r="96" spans="1:12" x14ac:dyDescent="0.2">
      <c r="A96" s="42" t="s">
        <v>11</v>
      </c>
      <c r="B96" s="42">
        <v>1</v>
      </c>
      <c r="C96" s="42">
        <v>11.583111111111112</v>
      </c>
      <c r="D96" s="42">
        <v>0</v>
      </c>
      <c r="E96" s="42">
        <v>2.58</v>
      </c>
      <c r="F96" s="44">
        <v>3</v>
      </c>
      <c r="G96" s="42"/>
      <c r="H96" s="42">
        <v>1.988888888888889E-2</v>
      </c>
      <c r="I96" s="42">
        <v>0.1411111111111111</v>
      </c>
      <c r="J96" s="42">
        <v>-21.225925925925921</v>
      </c>
      <c r="K96" s="42">
        <v>35.946296296296296</v>
      </c>
      <c r="L96" s="42">
        <v>9.6888888888888899E-2</v>
      </c>
    </row>
    <row r="97" spans="1:12" x14ac:dyDescent="0.2">
      <c r="A97" s="41" t="s">
        <v>11</v>
      </c>
      <c r="B97" s="41">
        <v>1</v>
      </c>
      <c r="C97" s="41">
        <v>19.694518518518517</v>
      </c>
      <c r="D97" s="41">
        <v>0</v>
      </c>
      <c r="E97" s="41">
        <v>5.33</v>
      </c>
      <c r="F97" s="43">
        <v>3</v>
      </c>
      <c r="G97" s="41"/>
      <c r="H97" s="41">
        <v>0</v>
      </c>
      <c r="I97" s="41">
        <v>0.16366666666666665</v>
      </c>
      <c r="J97" s="41">
        <v>-5.9888888888888898</v>
      </c>
      <c r="K97" s="41">
        <v>0</v>
      </c>
      <c r="L97" s="41">
        <v>5.9185185185185188E-2</v>
      </c>
    </row>
    <row r="98" spans="1:12" x14ac:dyDescent="0.2">
      <c r="A98" s="42" t="s">
        <v>11</v>
      </c>
      <c r="B98" s="42">
        <v>1</v>
      </c>
      <c r="C98" s="42">
        <v>16.37233333333333</v>
      </c>
      <c r="D98" s="42">
        <v>0</v>
      </c>
      <c r="E98" s="42">
        <v>1.36</v>
      </c>
      <c r="F98" s="44">
        <v>2</v>
      </c>
      <c r="G98" s="42"/>
      <c r="H98" s="42">
        <v>1.4592592592592593E-2</v>
      </c>
      <c r="I98" s="42">
        <v>7.5444444444444439E-2</v>
      </c>
      <c r="J98" s="42">
        <v>-5.7814814814814799</v>
      </c>
      <c r="K98" s="42">
        <v>27.994703703703703</v>
      </c>
      <c r="L98" s="42">
        <v>-0.102925925925926</v>
      </c>
    </row>
    <row r="99" spans="1:12" x14ac:dyDescent="0.2">
      <c r="A99" s="41" t="s">
        <v>11</v>
      </c>
      <c r="B99" s="41">
        <v>1</v>
      </c>
      <c r="C99" s="41">
        <v>9.4452962962962967</v>
      </c>
      <c r="D99" s="41">
        <v>0</v>
      </c>
      <c r="E99" s="41">
        <v>3.72</v>
      </c>
      <c r="F99" s="41">
        <v>2</v>
      </c>
      <c r="G99" s="41"/>
      <c r="H99" s="41">
        <v>0</v>
      </c>
      <c r="I99" s="41">
        <v>7.4333333333333335E-2</v>
      </c>
      <c r="J99" s="41">
        <v>0.11111111111111108</v>
      </c>
      <c r="K99" s="41">
        <v>18.113333333333326</v>
      </c>
      <c r="L99" s="41">
        <v>2.3962962962962967E-2</v>
      </c>
    </row>
    <row r="100" spans="1:12" x14ac:dyDescent="0.2">
      <c r="A100" s="42" t="s">
        <v>11</v>
      </c>
      <c r="B100" s="42">
        <v>3</v>
      </c>
      <c r="C100" s="42">
        <v>12.314965517241381</v>
      </c>
      <c r="D100" s="42">
        <v>0</v>
      </c>
      <c r="E100" s="42">
        <v>6.2</v>
      </c>
      <c r="F100" s="45">
        <v>4</v>
      </c>
      <c r="G100" s="42"/>
      <c r="H100" s="42">
        <v>0</v>
      </c>
      <c r="I100" s="42">
        <v>0.16782758620689661</v>
      </c>
      <c r="J100" s="42">
        <v>-0.59999999999999987</v>
      </c>
      <c r="K100" s="42">
        <v>20.736586206896551</v>
      </c>
      <c r="L100" s="42">
        <v>9.2862068965517214E-2</v>
      </c>
    </row>
    <row r="101" spans="1:12" x14ac:dyDescent="0.2">
      <c r="A101" s="41" t="s">
        <v>11</v>
      </c>
      <c r="B101" s="41">
        <v>3</v>
      </c>
      <c r="C101" s="41">
        <v>13.487275862068964</v>
      </c>
      <c r="D101" s="41">
        <v>0</v>
      </c>
      <c r="E101" s="41">
        <v>7.73</v>
      </c>
      <c r="F101" s="43">
        <v>4</v>
      </c>
      <c r="G101" s="41"/>
      <c r="H101" s="41">
        <v>3.7068965517241384E-2</v>
      </c>
      <c r="I101" s="41">
        <v>7.5241379310344844E-2</v>
      </c>
      <c r="J101" s="41">
        <v>-0.18965517241379309</v>
      </c>
      <c r="K101" s="41">
        <v>5.1388275862068955</v>
      </c>
      <c r="L101" s="41">
        <v>-0.19982758620689656</v>
      </c>
    </row>
    <row r="102" spans="1:12" x14ac:dyDescent="0.2">
      <c r="A102" s="42" t="s">
        <v>11</v>
      </c>
      <c r="B102" s="42">
        <v>3</v>
      </c>
      <c r="C102" s="42">
        <v>13.731</v>
      </c>
      <c r="D102" s="42">
        <v>0</v>
      </c>
      <c r="E102" s="42">
        <v>8.31</v>
      </c>
      <c r="F102" s="44">
        <v>3</v>
      </c>
      <c r="G102" s="42"/>
      <c r="H102" s="42">
        <v>0</v>
      </c>
      <c r="I102" s="42">
        <v>0.16679310344827589</v>
      </c>
      <c r="J102" s="42">
        <v>-19.572413793103436</v>
      </c>
      <c r="K102" s="42">
        <v>60.851137931034479</v>
      </c>
      <c r="L102" s="42">
        <v>-3.9379310344827577E-2</v>
      </c>
    </row>
    <row r="103" spans="1:12" x14ac:dyDescent="0.2">
      <c r="A103" s="41" t="s">
        <v>11</v>
      </c>
      <c r="B103" s="41">
        <v>3</v>
      </c>
      <c r="C103" s="41">
        <v>14.823758620689659</v>
      </c>
      <c r="D103" s="41">
        <v>0</v>
      </c>
      <c r="E103" s="41">
        <v>4.29</v>
      </c>
      <c r="F103" s="43">
        <v>3</v>
      </c>
      <c r="G103" s="41"/>
      <c r="H103" s="41">
        <v>1.0586206896551724E-2</v>
      </c>
      <c r="I103" s="41">
        <v>0.13344827586206898</v>
      </c>
      <c r="J103" s="41">
        <v>-8.586206896551726</v>
      </c>
      <c r="K103" s="41">
        <v>6.8657241379310356</v>
      </c>
      <c r="L103" s="41">
        <v>-0.12975862068965516</v>
      </c>
    </row>
    <row r="104" spans="1:12" x14ac:dyDescent="0.2">
      <c r="A104" s="42" t="s">
        <v>11</v>
      </c>
      <c r="B104" s="42">
        <v>3</v>
      </c>
      <c r="C104" s="42">
        <v>14.458517241379313</v>
      </c>
      <c r="D104" s="42">
        <v>0</v>
      </c>
      <c r="E104" s="42">
        <v>3.14</v>
      </c>
      <c r="F104" s="44">
        <v>2</v>
      </c>
      <c r="G104" s="42"/>
      <c r="H104" s="42">
        <v>3.1310344827586205E-2</v>
      </c>
      <c r="I104" s="42">
        <v>0.16034482758620691</v>
      </c>
      <c r="J104" s="42">
        <v>-4.4241379310344815</v>
      </c>
      <c r="K104" s="42">
        <v>26.659137931034479</v>
      </c>
      <c r="L104" s="42">
        <v>-0.26824137931034486</v>
      </c>
    </row>
    <row r="105" spans="1:12" x14ac:dyDescent="0.2">
      <c r="A105" s="41" t="s">
        <v>11</v>
      </c>
      <c r="B105" s="41">
        <v>3</v>
      </c>
      <c r="C105" s="41">
        <v>11.11913793103448</v>
      </c>
      <c r="D105" s="41">
        <v>0</v>
      </c>
      <c r="E105" s="41">
        <v>3.18</v>
      </c>
      <c r="F105" s="41">
        <v>2</v>
      </c>
      <c r="G105" s="41"/>
      <c r="H105" s="41">
        <v>3.5793103448275861E-2</v>
      </c>
      <c r="I105" s="41">
        <v>9.5068965517241352E-2</v>
      </c>
      <c r="J105" s="41">
        <v>-20.286206896551725</v>
      </c>
      <c r="K105" s="41">
        <v>35.898482758620688</v>
      </c>
      <c r="L105" s="41">
        <v>5.5344827586206909E-2</v>
      </c>
    </row>
    <row r="106" spans="1:12" x14ac:dyDescent="0.2">
      <c r="A106" s="42" t="s">
        <v>11</v>
      </c>
      <c r="B106" s="42">
        <v>2</v>
      </c>
      <c r="C106" s="42">
        <v>10.870646070192784</v>
      </c>
      <c r="D106" s="42">
        <v>0</v>
      </c>
      <c r="E106" s="42">
        <v>5</v>
      </c>
      <c r="F106" s="45">
        <v>4</v>
      </c>
      <c r="G106" s="42"/>
      <c r="H106" s="42">
        <v>0</v>
      </c>
      <c r="I106" s="42">
        <v>0.14947899159663813</v>
      </c>
      <c r="J106" s="42">
        <v>1.0389026198714768</v>
      </c>
      <c r="K106" s="42">
        <v>16.970426099851707</v>
      </c>
      <c r="L106" s="42">
        <v>0.6852718734552623</v>
      </c>
    </row>
    <row r="107" spans="1:12" x14ac:dyDescent="0.2">
      <c r="A107" s="41" t="s">
        <v>11</v>
      </c>
      <c r="B107" s="41">
        <v>2</v>
      </c>
      <c r="C107" s="41">
        <v>22.533027681660908</v>
      </c>
      <c r="D107" s="41">
        <v>0</v>
      </c>
      <c r="E107" s="41">
        <v>5.73</v>
      </c>
      <c r="F107" s="43">
        <v>4</v>
      </c>
      <c r="G107" s="41"/>
      <c r="H107" s="41">
        <v>0</v>
      </c>
      <c r="I107" s="41">
        <v>0.22943598615916871</v>
      </c>
      <c r="J107" s="41">
        <v>5.8131487889273699E-2</v>
      </c>
      <c r="K107" s="41">
        <v>4.8088981710331202</v>
      </c>
      <c r="L107" s="41">
        <v>0.29544340088976773</v>
      </c>
    </row>
    <row r="108" spans="1:12" x14ac:dyDescent="0.2">
      <c r="A108" s="42" t="s">
        <v>11</v>
      </c>
      <c r="B108" s="42">
        <v>2</v>
      </c>
      <c r="C108" s="42">
        <v>26.264284725654896</v>
      </c>
      <c r="D108" s="42">
        <v>0</v>
      </c>
      <c r="E108" s="42">
        <v>3.18</v>
      </c>
      <c r="F108" s="44">
        <v>3</v>
      </c>
      <c r="G108" s="42"/>
      <c r="H108" s="42">
        <v>0</v>
      </c>
      <c r="I108" s="42">
        <v>0.25592387543252226</v>
      </c>
      <c r="J108" s="42">
        <v>-9.3825012357884763</v>
      </c>
      <c r="K108" s="42">
        <v>0</v>
      </c>
      <c r="L108" s="42">
        <v>-9.2438952051408771E-2</v>
      </c>
    </row>
    <row r="109" spans="1:12" x14ac:dyDescent="0.2">
      <c r="A109" s="41" t="s">
        <v>11</v>
      </c>
      <c r="B109" s="41">
        <v>2</v>
      </c>
      <c r="C109" s="41">
        <v>28.042085022244201</v>
      </c>
      <c r="D109" s="41">
        <v>0</v>
      </c>
      <c r="E109" s="41">
        <v>3.05</v>
      </c>
      <c r="F109" s="43">
        <v>3</v>
      </c>
      <c r="G109" s="41"/>
      <c r="H109" s="41">
        <v>0</v>
      </c>
      <c r="I109" s="41">
        <v>0.2592199703410793</v>
      </c>
      <c r="J109" s="41">
        <v>-0.54819574888779043</v>
      </c>
      <c r="K109" s="41">
        <v>0</v>
      </c>
      <c r="L109" s="41">
        <v>0.12799555116164135</v>
      </c>
    </row>
    <row r="110" spans="1:12" x14ac:dyDescent="0.2">
      <c r="A110" s="42" t="s">
        <v>11</v>
      </c>
      <c r="B110" s="42">
        <v>2</v>
      </c>
      <c r="C110" s="42">
        <v>28.067464656450838</v>
      </c>
      <c r="D110" s="42">
        <v>0</v>
      </c>
      <c r="E110" s="42">
        <v>14.71</v>
      </c>
      <c r="F110" s="44">
        <v>2</v>
      </c>
      <c r="G110" s="42"/>
      <c r="H110" s="42">
        <v>0</v>
      </c>
      <c r="I110" s="42">
        <v>0.25700939199208922</v>
      </c>
      <c r="J110" s="42">
        <v>-9.7542758279782618</v>
      </c>
      <c r="K110" s="42">
        <v>0</v>
      </c>
      <c r="L110" s="42">
        <v>0.2185931784478499</v>
      </c>
    </row>
    <row r="111" spans="1:12" x14ac:dyDescent="0.2">
      <c r="A111" s="41" t="s">
        <v>11</v>
      </c>
      <c r="B111" s="41">
        <v>2</v>
      </c>
      <c r="C111" s="41">
        <v>28.263288680178125</v>
      </c>
      <c r="D111" s="41">
        <v>2</v>
      </c>
      <c r="E111" s="41">
        <v>3.17</v>
      </c>
      <c r="F111" s="41">
        <v>2</v>
      </c>
      <c r="G111" s="41"/>
      <c r="H111" s="41">
        <v>0</v>
      </c>
      <c r="I111" s="41">
        <v>0.24471379139891491</v>
      </c>
      <c r="J111" s="41">
        <v>-5.3765200197726122</v>
      </c>
      <c r="K111" s="41">
        <v>0</v>
      </c>
      <c r="L111" s="41">
        <v>0.49337320810677271</v>
      </c>
    </row>
    <row r="112" spans="1:12" x14ac:dyDescent="0.2">
      <c r="A112" s="42" t="s">
        <v>12</v>
      </c>
      <c r="B112" s="42">
        <v>1</v>
      </c>
      <c r="C112" s="42">
        <v>13.771275862068968</v>
      </c>
      <c r="D112" s="42">
        <v>0</v>
      </c>
      <c r="E112" s="42">
        <v>4.54</v>
      </c>
      <c r="F112" s="45">
        <v>4</v>
      </c>
      <c r="G112" s="42"/>
      <c r="H112" s="42">
        <v>0</v>
      </c>
      <c r="I112" s="42">
        <v>0.18720689655172409</v>
      </c>
      <c r="J112" s="42">
        <v>1.7275862068965513</v>
      </c>
      <c r="K112" s="42">
        <v>41.897551724137934</v>
      </c>
      <c r="L112" s="42">
        <v>-8.5586206896551748E-2</v>
      </c>
    </row>
    <row r="113" spans="1:12" x14ac:dyDescent="0.2">
      <c r="A113" s="41" t="s">
        <v>12</v>
      </c>
      <c r="B113" s="41">
        <v>1</v>
      </c>
      <c r="C113" s="41">
        <v>16.93241379310345</v>
      </c>
      <c r="D113" s="41">
        <v>0</v>
      </c>
      <c r="E113" s="41">
        <v>5.24</v>
      </c>
      <c r="F113" s="43">
        <v>4</v>
      </c>
      <c r="G113" s="41"/>
      <c r="H113" s="41">
        <v>0</v>
      </c>
      <c r="I113" s="41">
        <v>0.11086206896551723</v>
      </c>
      <c r="J113" s="41">
        <v>-0.57586206896551717</v>
      </c>
      <c r="K113" s="41">
        <v>127.64662068965517</v>
      </c>
      <c r="L113" s="41">
        <v>-0.30134482758620684</v>
      </c>
    </row>
    <row r="114" spans="1:12" x14ac:dyDescent="0.2">
      <c r="A114" s="42" t="s">
        <v>12</v>
      </c>
      <c r="B114" s="42">
        <v>1</v>
      </c>
      <c r="C114" s="42">
        <v>10.145241379310345</v>
      </c>
      <c r="D114" s="42">
        <v>0</v>
      </c>
      <c r="E114" s="42">
        <v>2.84</v>
      </c>
      <c r="F114" s="44">
        <v>3</v>
      </c>
      <c r="G114" s="42"/>
      <c r="H114" s="42">
        <v>3.9E-2</v>
      </c>
      <c r="I114" s="42">
        <v>0.13448275862068967</v>
      </c>
      <c r="J114" s="42">
        <v>-23.627586206896549</v>
      </c>
      <c r="K114" s="42">
        <v>12.403241379310346</v>
      </c>
      <c r="L114" s="42">
        <v>0.20548275862068968</v>
      </c>
    </row>
    <row r="115" spans="1:12" x14ac:dyDescent="0.2">
      <c r="A115" s="41" t="s">
        <v>12</v>
      </c>
      <c r="B115" s="41">
        <v>1</v>
      </c>
      <c r="C115" s="41">
        <v>16.774551724137929</v>
      </c>
      <c r="D115" s="41">
        <v>0</v>
      </c>
      <c r="E115" s="41">
        <v>3.36</v>
      </c>
      <c r="F115" s="43">
        <v>3</v>
      </c>
      <c r="G115" s="41"/>
      <c r="H115" s="41">
        <v>0</v>
      </c>
      <c r="I115" s="41">
        <v>0.10624137931034484</v>
      </c>
      <c r="J115" s="41">
        <v>-4.113793103448276</v>
      </c>
      <c r="K115" s="41">
        <v>0</v>
      </c>
      <c r="L115" s="41">
        <v>-0.23262068965517246</v>
      </c>
    </row>
    <row r="116" spans="1:12" x14ac:dyDescent="0.2">
      <c r="A116" s="42" t="s">
        <v>12</v>
      </c>
      <c r="B116" s="42">
        <v>1</v>
      </c>
      <c r="C116" s="42">
        <v>15.705103448275862</v>
      </c>
      <c r="D116" s="42">
        <v>0</v>
      </c>
      <c r="E116" s="42">
        <v>2.27</v>
      </c>
      <c r="F116" s="44">
        <v>2</v>
      </c>
      <c r="G116" s="42"/>
      <c r="H116" s="42">
        <v>0</v>
      </c>
      <c r="I116" s="42">
        <v>0.10324137931034481</v>
      </c>
      <c r="J116" s="42">
        <v>-7.6620689655172409</v>
      </c>
      <c r="K116" s="42">
        <v>13.090931034482759</v>
      </c>
      <c r="L116" s="42">
        <v>-0.34462068965517245</v>
      </c>
    </row>
    <row r="117" spans="1:12" x14ac:dyDescent="0.2">
      <c r="A117" s="41" t="s">
        <v>12</v>
      </c>
      <c r="B117" s="41">
        <v>1</v>
      </c>
      <c r="C117" s="41">
        <v>10.412517241379309</v>
      </c>
      <c r="D117" s="41">
        <v>0</v>
      </c>
      <c r="E117" s="41">
        <v>1.8</v>
      </c>
      <c r="F117" s="41">
        <v>2</v>
      </c>
      <c r="G117" s="41"/>
      <c r="H117" s="41">
        <v>0</v>
      </c>
      <c r="I117" s="41">
        <v>6.5931034482758624E-2</v>
      </c>
      <c r="J117" s="41">
        <v>9.6551724137931047E-2</v>
      </c>
      <c r="K117" s="41">
        <v>22.173137931034482</v>
      </c>
      <c r="L117" s="41">
        <v>-0.23810344827586205</v>
      </c>
    </row>
    <row r="118" spans="1:12" x14ac:dyDescent="0.2">
      <c r="A118" s="42" t="s">
        <v>12</v>
      </c>
      <c r="B118" s="42">
        <v>1</v>
      </c>
      <c r="C118" s="42">
        <v>13.771275862068968</v>
      </c>
      <c r="D118" s="42">
        <v>0</v>
      </c>
      <c r="E118" s="42">
        <v>4.54</v>
      </c>
      <c r="F118" s="45">
        <v>4</v>
      </c>
      <c r="G118" s="42"/>
      <c r="H118" s="42">
        <v>0</v>
      </c>
      <c r="I118" s="42">
        <v>0.18720689655172409</v>
      </c>
      <c r="J118" s="42">
        <v>1.7275862068965513</v>
      </c>
      <c r="K118" s="42">
        <v>41.897551724137934</v>
      </c>
      <c r="L118" s="42">
        <v>-8.5586206896551748E-2</v>
      </c>
    </row>
    <row r="119" spans="1:12" x14ac:dyDescent="0.2">
      <c r="A119" s="41" t="s">
        <v>12</v>
      </c>
      <c r="B119" s="41">
        <v>1</v>
      </c>
      <c r="C119" s="41">
        <v>16.93241379310345</v>
      </c>
      <c r="D119" s="41">
        <v>0</v>
      </c>
      <c r="E119" s="41">
        <v>5.24</v>
      </c>
      <c r="F119" s="43">
        <v>4</v>
      </c>
      <c r="G119" s="41"/>
      <c r="H119" s="41">
        <v>0</v>
      </c>
      <c r="I119" s="41">
        <v>0.11086206896551723</v>
      </c>
      <c r="J119" s="41">
        <v>-0.57586206896551717</v>
      </c>
      <c r="K119" s="41">
        <v>127.64662068965517</v>
      </c>
      <c r="L119" s="41">
        <v>-0.30134482758620684</v>
      </c>
    </row>
    <row r="120" spans="1:12" x14ac:dyDescent="0.2">
      <c r="A120" s="42" t="s">
        <v>12</v>
      </c>
      <c r="B120" s="42">
        <v>1</v>
      </c>
      <c r="C120" s="42">
        <v>10.145241379310345</v>
      </c>
      <c r="D120" s="42">
        <v>0</v>
      </c>
      <c r="E120" s="42">
        <v>2.84</v>
      </c>
      <c r="F120" s="44">
        <v>3</v>
      </c>
      <c r="G120" s="42"/>
      <c r="H120" s="42">
        <v>3.9E-2</v>
      </c>
      <c r="I120" s="42">
        <v>0.13448275862068967</v>
      </c>
      <c r="J120" s="42">
        <v>-23.627586206896549</v>
      </c>
      <c r="K120" s="42">
        <v>12.403241379310346</v>
      </c>
      <c r="L120" s="42">
        <v>0.20548275862068968</v>
      </c>
    </row>
    <row r="121" spans="1:12" x14ac:dyDescent="0.2">
      <c r="A121" s="41" t="s">
        <v>12</v>
      </c>
      <c r="B121" s="41">
        <v>1</v>
      </c>
      <c r="C121" s="41">
        <v>16.774551724137929</v>
      </c>
      <c r="D121" s="41">
        <v>0</v>
      </c>
      <c r="E121" s="41">
        <v>3.36</v>
      </c>
      <c r="F121" s="43">
        <v>3</v>
      </c>
      <c r="G121" s="41"/>
      <c r="H121" s="41">
        <v>0</v>
      </c>
      <c r="I121" s="41">
        <v>0.10624137931034484</v>
      </c>
      <c r="J121" s="41">
        <v>-4.113793103448276</v>
      </c>
      <c r="K121" s="41">
        <v>0</v>
      </c>
      <c r="L121" s="41">
        <v>-0.23262068965517246</v>
      </c>
    </row>
    <row r="122" spans="1:12" x14ac:dyDescent="0.2">
      <c r="A122" s="42" t="s">
        <v>12</v>
      </c>
      <c r="B122" s="42">
        <v>1</v>
      </c>
      <c r="C122" s="42">
        <v>15.705103448275862</v>
      </c>
      <c r="D122" s="42">
        <v>0</v>
      </c>
      <c r="E122" s="42">
        <v>2.27</v>
      </c>
      <c r="F122" s="44">
        <v>2</v>
      </c>
      <c r="G122" s="42"/>
      <c r="H122" s="42">
        <v>0</v>
      </c>
      <c r="I122" s="42">
        <v>0.10324137931034481</v>
      </c>
      <c r="J122" s="42">
        <v>-7.6620689655172409</v>
      </c>
      <c r="K122" s="42">
        <v>13.090931034482759</v>
      </c>
      <c r="L122" s="42">
        <v>-0.34462068965517245</v>
      </c>
    </row>
    <row r="123" spans="1:12" x14ac:dyDescent="0.2">
      <c r="A123" s="41" t="s">
        <v>12</v>
      </c>
      <c r="B123" s="41">
        <v>1</v>
      </c>
      <c r="C123" s="41">
        <v>10.412517241379309</v>
      </c>
      <c r="D123" s="41">
        <v>0</v>
      </c>
      <c r="E123" s="41">
        <v>1.8</v>
      </c>
      <c r="F123" s="41">
        <v>2</v>
      </c>
      <c r="G123" s="41"/>
      <c r="H123" s="41">
        <v>0</v>
      </c>
      <c r="I123" s="41">
        <v>6.5931034482758624E-2</v>
      </c>
      <c r="J123" s="41">
        <v>9.6551724137931047E-2</v>
      </c>
      <c r="K123" s="41">
        <v>22.173137931034482</v>
      </c>
      <c r="L123" s="41">
        <v>-0.23810344827586205</v>
      </c>
    </row>
    <row r="124" spans="1:12" x14ac:dyDescent="0.2">
      <c r="A124" s="42" t="s">
        <v>13</v>
      </c>
      <c r="B124" s="42">
        <v>1</v>
      </c>
      <c r="C124" s="42">
        <v>9.7285128205128206</v>
      </c>
      <c r="D124" s="42">
        <v>1</v>
      </c>
      <c r="E124" s="42">
        <v>10.38</v>
      </c>
      <c r="F124" s="45">
        <v>4</v>
      </c>
      <c r="G124" s="42"/>
      <c r="H124" s="42">
        <v>0</v>
      </c>
      <c r="I124" s="42">
        <v>0.15133333333333335</v>
      </c>
      <c r="J124" s="42">
        <v>0.59487179487179487</v>
      </c>
      <c r="K124" s="42">
        <v>0</v>
      </c>
      <c r="L124" s="42">
        <v>-4.0512820512820527E-2</v>
      </c>
    </row>
    <row r="125" spans="1:12" x14ac:dyDescent="0.2">
      <c r="A125" s="41" t="s">
        <v>13</v>
      </c>
      <c r="B125" s="41">
        <v>1</v>
      </c>
      <c r="C125" s="41">
        <v>14.612179487179487</v>
      </c>
      <c r="D125" s="41">
        <v>1</v>
      </c>
      <c r="E125" s="41">
        <v>14.59</v>
      </c>
      <c r="F125" s="43">
        <v>4</v>
      </c>
      <c r="G125" s="41"/>
      <c r="H125" s="41">
        <v>9.948717948717949E-3</v>
      </c>
      <c r="I125" s="41">
        <v>4.5435897435897425E-2</v>
      </c>
      <c r="J125" s="41">
        <v>5.1282051282051336E-2</v>
      </c>
      <c r="K125" s="41">
        <v>0</v>
      </c>
      <c r="L125" s="41">
        <v>-0.44289743589743596</v>
      </c>
    </row>
    <row r="126" spans="1:12" x14ac:dyDescent="0.2">
      <c r="A126" s="42" t="s">
        <v>13</v>
      </c>
      <c r="B126" s="42">
        <v>1</v>
      </c>
      <c r="C126" s="42">
        <v>11.87553846153846</v>
      </c>
      <c r="D126" s="42">
        <v>0</v>
      </c>
      <c r="E126" s="42">
        <v>5.69</v>
      </c>
      <c r="F126" s="44">
        <v>3</v>
      </c>
      <c r="G126" s="42"/>
      <c r="H126" s="42">
        <v>3.5128205128205129E-3</v>
      </c>
      <c r="I126" s="42">
        <v>0.11787179487179482</v>
      </c>
      <c r="J126" s="42">
        <v>-16.117948717948728</v>
      </c>
      <c r="K126" s="42">
        <v>23.671846153846158</v>
      </c>
      <c r="L126" s="42">
        <v>-0.18515384615384611</v>
      </c>
    </row>
    <row r="127" spans="1:12" x14ac:dyDescent="0.2">
      <c r="A127" s="41" t="s">
        <v>13</v>
      </c>
      <c r="B127" s="41">
        <v>1</v>
      </c>
      <c r="C127" s="41">
        <v>17.539615384615388</v>
      </c>
      <c r="D127" s="41">
        <v>0</v>
      </c>
      <c r="E127" s="41">
        <v>4.16</v>
      </c>
      <c r="F127" s="43">
        <v>3</v>
      </c>
      <c r="G127" s="41"/>
      <c r="H127" s="41">
        <v>0</v>
      </c>
      <c r="I127" s="41">
        <v>0.14133333333333331</v>
      </c>
      <c r="J127" s="41">
        <v>-8.4871794871794872</v>
      </c>
      <c r="K127" s="41">
        <v>13.903692307692305</v>
      </c>
      <c r="L127" s="41">
        <v>-0.27425641025641029</v>
      </c>
    </row>
    <row r="128" spans="1:12" x14ac:dyDescent="0.2">
      <c r="A128" s="42" t="s">
        <v>13</v>
      </c>
      <c r="B128" s="42">
        <v>1</v>
      </c>
      <c r="C128" s="42">
        <v>11.774333333333333</v>
      </c>
      <c r="D128" s="42">
        <v>0</v>
      </c>
      <c r="E128" s="42">
        <v>4.37</v>
      </c>
      <c r="F128" s="44">
        <v>2</v>
      </c>
      <c r="G128" s="42"/>
      <c r="H128" s="42">
        <v>0</v>
      </c>
      <c r="I128" s="42">
        <v>8.1435897435897422E-2</v>
      </c>
      <c r="J128" s="42">
        <v>-0.26410256410256405</v>
      </c>
      <c r="K128" s="42">
        <v>74.536589743589744</v>
      </c>
      <c r="L128" s="42">
        <v>-0.93546153846153834</v>
      </c>
    </row>
    <row r="129" spans="1:12" x14ac:dyDescent="0.2">
      <c r="A129" s="41" t="s">
        <v>13</v>
      </c>
      <c r="B129" s="41">
        <v>1</v>
      </c>
      <c r="C129" s="41">
        <v>6.7756923076923083</v>
      </c>
      <c r="D129" s="41">
        <v>1</v>
      </c>
      <c r="E129" s="41">
        <v>3.56</v>
      </c>
      <c r="F129" s="41">
        <v>2</v>
      </c>
      <c r="G129" s="41"/>
      <c r="H129" s="41">
        <v>1.8974358974358976E-2</v>
      </c>
      <c r="I129" s="41">
        <v>5.3410256410256415E-2</v>
      </c>
      <c r="J129" s="41">
        <v>-24.04871794871795</v>
      </c>
      <c r="K129" s="41">
        <v>66.453564102564101</v>
      </c>
      <c r="L129" s="41">
        <v>-0.20115384615384613</v>
      </c>
    </row>
    <row r="130" spans="1:12" x14ac:dyDescent="0.2">
      <c r="A130" s="42" t="s">
        <v>14</v>
      </c>
      <c r="B130" s="42">
        <v>1</v>
      </c>
      <c r="C130" s="42">
        <v>12.783705882352942</v>
      </c>
      <c r="D130" s="42">
        <v>0</v>
      </c>
      <c r="E130" s="42">
        <v>10.56</v>
      </c>
      <c r="F130" s="45">
        <v>4</v>
      </c>
      <c r="G130" s="42"/>
      <c r="H130" s="42">
        <v>0</v>
      </c>
      <c r="I130" s="42">
        <v>0.14649999999999996</v>
      </c>
      <c r="J130" s="42">
        <v>-3.2352941176470598E-2</v>
      </c>
      <c r="K130" s="42">
        <v>20.633529411764705</v>
      </c>
      <c r="L130" s="42">
        <v>-0.13523529411764704</v>
      </c>
    </row>
    <row r="131" spans="1:12" x14ac:dyDescent="0.2">
      <c r="A131" s="41" t="s">
        <v>14</v>
      </c>
      <c r="B131" s="41">
        <v>1</v>
      </c>
      <c r="C131" s="41">
        <v>15.205794117647057</v>
      </c>
      <c r="D131" s="41">
        <v>0</v>
      </c>
      <c r="E131" s="41">
        <v>8.01</v>
      </c>
      <c r="F131" s="43">
        <v>4</v>
      </c>
      <c r="G131" s="41"/>
      <c r="H131" s="41">
        <v>2.5294117647058828E-2</v>
      </c>
      <c r="I131" s="41">
        <v>8.6147058823529368E-2</v>
      </c>
      <c r="J131" s="41">
        <v>-5.2941176470588228E-2</v>
      </c>
      <c r="K131" s="41">
        <v>13.178529411764705</v>
      </c>
      <c r="L131" s="41">
        <v>-0.18847058823529411</v>
      </c>
    </row>
    <row r="132" spans="1:12" x14ac:dyDescent="0.2">
      <c r="A132" s="42" t="s">
        <v>14</v>
      </c>
      <c r="B132" s="42">
        <v>1</v>
      </c>
      <c r="C132" s="42">
        <v>0.49811764705882355</v>
      </c>
      <c r="D132" s="42">
        <v>0</v>
      </c>
      <c r="E132" s="42">
        <v>3.77</v>
      </c>
      <c r="F132" s="44">
        <v>3</v>
      </c>
      <c r="G132" s="42"/>
      <c r="H132" s="42">
        <v>9.9794117647058825E-2</v>
      </c>
      <c r="I132" s="42">
        <v>6.6764705882352941E-3</v>
      </c>
      <c r="J132" s="42">
        <v>-1.7</v>
      </c>
      <c r="K132" s="42">
        <v>53.402323529411753</v>
      </c>
      <c r="L132" s="42">
        <v>0.10302941176470583</v>
      </c>
    </row>
    <row r="133" spans="1:12" x14ac:dyDescent="0.2">
      <c r="A133" s="41" t="s">
        <v>14</v>
      </c>
      <c r="B133" s="41">
        <v>1</v>
      </c>
      <c r="C133" s="41">
        <v>11.662823529411767</v>
      </c>
      <c r="D133" s="41">
        <v>0</v>
      </c>
      <c r="E133" s="41">
        <v>4.2</v>
      </c>
      <c r="F133" s="43">
        <v>3</v>
      </c>
      <c r="G133" s="41"/>
      <c r="H133" s="41">
        <v>4.2352941176470593E-3</v>
      </c>
      <c r="I133" s="41">
        <v>0.13614705882352943</v>
      </c>
      <c r="J133" s="41">
        <v>-33.120588235294115</v>
      </c>
      <c r="K133" s="41">
        <v>8.663117647058824</v>
      </c>
      <c r="L133" s="41">
        <v>-0.2412352941176471</v>
      </c>
    </row>
    <row r="134" spans="1:12" x14ac:dyDescent="0.2">
      <c r="A134" s="42" t="s">
        <v>14</v>
      </c>
      <c r="B134" s="42">
        <v>1</v>
      </c>
      <c r="C134" s="42">
        <v>16.680235294117647</v>
      </c>
      <c r="D134" s="42">
        <v>1</v>
      </c>
      <c r="E134" s="42">
        <v>5.23</v>
      </c>
      <c r="F134" s="44">
        <v>2</v>
      </c>
      <c r="G134" s="42"/>
      <c r="H134" s="42">
        <v>0</v>
      </c>
      <c r="I134" s="42">
        <v>0.1178529411764706</v>
      </c>
      <c r="J134" s="42">
        <v>-9.5558823529411754</v>
      </c>
      <c r="K134" s="42">
        <v>0</v>
      </c>
      <c r="L134" s="42">
        <v>-0.2662647058823529</v>
      </c>
    </row>
    <row r="135" spans="1:12" x14ac:dyDescent="0.2">
      <c r="A135" s="41" t="s">
        <v>14</v>
      </c>
      <c r="B135" s="41">
        <v>1</v>
      </c>
      <c r="C135" s="41">
        <v>12.710382352941178</v>
      </c>
      <c r="D135" s="41">
        <v>0</v>
      </c>
      <c r="E135" s="41">
        <v>2.19</v>
      </c>
      <c r="F135" s="41">
        <v>2</v>
      </c>
      <c r="G135" s="41"/>
      <c r="H135" s="41">
        <v>0</v>
      </c>
      <c r="I135" s="41">
        <v>6.8941176470588214E-2</v>
      </c>
      <c r="J135" s="41">
        <v>-0.12058823529411761</v>
      </c>
      <c r="K135" s="41">
        <v>43.935470588235283</v>
      </c>
      <c r="L135" s="41">
        <v>-0.47744117647058837</v>
      </c>
    </row>
    <row r="136" spans="1:12" x14ac:dyDescent="0.2">
      <c r="A136" s="42" t="s">
        <v>20</v>
      </c>
      <c r="B136" s="42">
        <v>1</v>
      </c>
      <c r="C136" s="42">
        <v>15.298696969696969</v>
      </c>
      <c r="D136" s="42">
        <v>1</v>
      </c>
      <c r="E136" s="42">
        <v>16.53</v>
      </c>
      <c r="F136" s="45">
        <v>4</v>
      </c>
      <c r="G136" s="42"/>
      <c r="H136" s="42">
        <v>0</v>
      </c>
      <c r="I136" s="42">
        <v>0.15578787878787881</v>
      </c>
      <c r="J136" s="42">
        <v>0.36666666666666675</v>
      </c>
      <c r="K136" s="42">
        <v>121.78563636363634</v>
      </c>
      <c r="L136" s="42">
        <v>0.17924242424242409</v>
      </c>
    </row>
    <row r="137" spans="1:12" x14ac:dyDescent="0.2">
      <c r="A137" s="41" t="s">
        <v>20</v>
      </c>
      <c r="B137" s="41">
        <v>1</v>
      </c>
      <c r="C137" s="41">
        <v>14.899303030303024</v>
      </c>
      <c r="D137" s="41">
        <v>0</v>
      </c>
      <c r="E137" s="41">
        <v>12.93</v>
      </c>
      <c r="F137" s="43">
        <v>4</v>
      </c>
      <c r="G137" s="41"/>
      <c r="H137" s="41">
        <v>5.787878787878788E-3</v>
      </c>
      <c r="I137" s="41">
        <v>9.0727272727272726E-2</v>
      </c>
      <c r="J137" s="41">
        <v>-15.060606060606061</v>
      </c>
      <c r="K137" s="41">
        <v>93.411757575757562</v>
      </c>
      <c r="L137" s="41">
        <v>4.7818181818181829E-2</v>
      </c>
    </row>
    <row r="138" spans="1:12" x14ac:dyDescent="0.2">
      <c r="A138" s="42" t="s">
        <v>20</v>
      </c>
      <c r="B138" s="42">
        <v>1</v>
      </c>
      <c r="C138" s="42">
        <v>17.628999999999994</v>
      </c>
      <c r="D138" s="42">
        <v>1</v>
      </c>
      <c r="E138" s="42">
        <v>5.13</v>
      </c>
      <c r="F138" s="44">
        <v>3</v>
      </c>
      <c r="G138" s="42"/>
      <c r="H138" s="42">
        <v>0</v>
      </c>
      <c r="I138" s="42">
        <v>0.1863030303030303</v>
      </c>
      <c r="J138" s="42">
        <v>-1.9848484848484849</v>
      </c>
      <c r="K138" s="42">
        <v>71.914272727272717</v>
      </c>
      <c r="L138" s="42">
        <v>0.1745454545454545</v>
      </c>
    </row>
    <row r="139" spans="1:12" x14ac:dyDescent="0.2">
      <c r="A139" s="41" t="s">
        <v>20</v>
      </c>
      <c r="B139" s="41">
        <v>1</v>
      </c>
      <c r="C139" s="41">
        <v>19.570121212121219</v>
      </c>
      <c r="D139" s="41">
        <v>0</v>
      </c>
      <c r="E139" s="41">
        <v>6.18</v>
      </c>
      <c r="F139" s="43">
        <v>3</v>
      </c>
      <c r="G139" s="41"/>
      <c r="H139" s="41">
        <v>9.3939393939393937E-3</v>
      </c>
      <c r="I139" s="41">
        <v>0.14690909090909093</v>
      </c>
      <c r="J139" s="41">
        <v>-8.1696969696969681</v>
      </c>
      <c r="K139" s="41">
        <v>16.189454545454542</v>
      </c>
      <c r="L139" s="41">
        <v>-7.4424242424242434E-2</v>
      </c>
    </row>
    <row r="140" spans="1:12" x14ac:dyDescent="0.2">
      <c r="A140" s="42" t="s">
        <v>20</v>
      </c>
      <c r="B140" s="42">
        <v>1</v>
      </c>
      <c r="C140" s="42">
        <v>12.046272727272727</v>
      </c>
      <c r="D140" s="42">
        <v>2</v>
      </c>
      <c r="E140" s="42">
        <v>8.6199999999999992</v>
      </c>
      <c r="F140" s="44">
        <v>2</v>
      </c>
      <c r="G140" s="42"/>
      <c r="H140" s="42">
        <v>2.290909090909091E-2</v>
      </c>
      <c r="I140" s="42">
        <v>9.9151515151515157E-2</v>
      </c>
      <c r="J140" s="42">
        <v>-1.5060606060606061</v>
      </c>
      <c r="K140" s="42">
        <v>20.941939393939393</v>
      </c>
      <c r="L140" s="42">
        <v>0.41118181818181809</v>
      </c>
    </row>
    <row r="141" spans="1:12" x14ac:dyDescent="0.2">
      <c r="A141" s="41" t="s">
        <v>20</v>
      </c>
      <c r="B141" s="41">
        <v>1</v>
      </c>
      <c r="C141" s="41">
        <v>4.1048181818181817</v>
      </c>
      <c r="D141" s="41">
        <v>0</v>
      </c>
      <c r="E141" s="41">
        <v>3.24</v>
      </c>
      <c r="F141" s="41">
        <v>2</v>
      </c>
      <c r="G141" s="41"/>
      <c r="H141" s="41">
        <v>5.2575757575757567E-2</v>
      </c>
      <c r="I141" s="41">
        <v>5.4696969696969695E-2</v>
      </c>
      <c r="J141" s="41">
        <v>-7.542424242424242</v>
      </c>
      <c r="K141" s="41">
        <v>31.866454545454548</v>
      </c>
      <c r="L141" s="41">
        <v>0.29263636363636375</v>
      </c>
    </row>
    <row r="142" spans="1:12" x14ac:dyDescent="0.2">
      <c r="A142" s="42" t="s">
        <v>22</v>
      </c>
      <c r="B142" s="42">
        <v>1</v>
      </c>
      <c r="C142" s="42">
        <v>18.459147058823532</v>
      </c>
      <c r="D142" s="42">
        <v>0</v>
      </c>
      <c r="E142" s="42">
        <v>6.93</v>
      </c>
      <c r="F142" s="45">
        <v>4</v>
      </c>
      <c r="G142" s="42"/>
      <c r="H142" s="42">
        <v>0</v>
      </c>
      <c r="I142" s="42">
        <v>0.28541176470588231</v>
      </c>
      <c r="J142" s="42">
        <v>8.8235294117647078E-2</v>
      </c>
      <c r="K142" s="42">
        <v>47.453705882352949</v>
      </c>
      <c r="L142" s="42">
        <v>-0.16194117647058826</v>
      </c>
    </row>
    <row r="143" spans="1:12" x14ac:dyDescent="0.2">
      <c r="A143" s="41" t="s">
        <v>22</v>
      </c>
      <c r="B143" s="41">
        <v>1</v>
      </c>
      <c r="C143" s="41">
        <v>10.228294117647058</v>
      </c>
      <c r="D143" s="41">
        <v>0</v>
      </c>
      <c r="E143" s="41">
        <v>11.15</v>
      </c>
      <c r="F143" s="43">
        <v>4</v>
      </c>
      <c r="G143" s="41"/>
      <c r="H143" s="41">
        <v>5.864705882352942E-2</v>
      </c>
      <c r="I143" s="41">
        <v>6.9999999999999979E-2</v>
      </c>
      <c r="J143" s="41">
        <v>-4.7705882352941176</v>
      </c>
      <c r="K143" s="41">
        <v>34.217470588235294</v>
      </c>
      <c r="L143" s="41">
        <v>0.14767647058823524</v>
      </c>
    </row>
    <row r="144" spans="1:12" x14ac:dyDescent="0.2">
      <c r="A144" s="42" t="s">
        <v>22</v>
      </c>
      <c r="B144" s="42">
        <v>1</v>
      </c>
      <c r="C144" s="42">
        <v>19.553441176470585</v>
      </c>
      <c r="D144" s="42">
        <v>0</v>
      </c>
      <c r="E144" s="42">
        <v>6.3</v>
      </c>
      <c r="F144" s="44">
        <v>3</v>
      </c>
      <c r="G144" s="42"/>
      <c r="H144" s="42">
        <v>0</v>
      </c>
      <c r="I144" s="42">
        <v>0.28429411764705881</v>
      </c>
      <c r="J144" s="42">
        <v>-14.067647058823528</v>
      </c>
      <c r="K144" s="42">
        <v>0.74820588235294117</v>
      </c>
      <c r="L144" s="42">
        <v>-0.72435294117647064</v>
      </c>
    </row>
    <row r="145" spans="1:12" x14ac:dyDescent="0.2">
      <c r="A145" s="41" t="s">
        <v>22</v>
      </c>
      <c r="B145" s="41">
        <v>1</v>
      </c>
      <c r="C145" s="41">
        <v>21.292941176470585</v>
      </c>
      <c r="D145" s="41">
        <v>0</v>
      </c>
      <c r="E145" s="41">
        <v>3.73</v>
      </c>
      <c r="F145" s="43">
        <v>3</v>
      </c>
      <c r="G145" s="41"/>
      <c r="H145" s="41">
        <v>5.4411764705882349E-3</v>
      </c>
      <c r="I145" s="41">
        <v>0.13976470588235296</v>
      </c>
      <c r="J145" s="41">
        <v>-6.4558823529411757</v>
      </c>
      <c r="K145" s="41">
        <v>39.667676470588241</v>
      </c>
      <c r="L145" s="41">
        <v>-0.37852941176470584</v>
      </c>
    </row>
    <row r="146" spans="1:12" x14ac:dyDescent="0.2">
      <c r="A146" s="42" t="s">
        <v>22</v>
      </c>
      <c r="B146" s="42">
        <v>1</v>
      </c>
      <c r="C146" s="42">
        <v>9.2062941176470598</v>
      </c>
      <c r="D146" s="42">
        <v>1</v>
      </c>
      <c r="E146" s="42">
        <v>4.68</v>
      </c>
      <c r="F146" s="44">
        <v>2</v>
      </c>
      <c r="G146" s="42"/>
      <c r="H146" s="42">
        <v>3.2088235294117647E-2</v>
      </c>
      <c r="I146" s="42">
        <v>5.1911764705882352E-2</v>
      </c>
      <c r="J146" s="42">
        <v>-2.1411764705882357</v>
      </c>
      <c r="K146" s="42">
        <v>13.302294117647056</v>
      </c>
      <c r="L146" s="42">
        <v>2.5823529411764721E-2</v>
      </c>
    </row>
    <row r="147" spans="1:12" x14ac:dyDescent="0.2">
      <c r="A147" s="41" t="s">
        <v>22</v>
      </c>
      <c r="B147" s="41">
        <v>1</v>
      </c>
      <c r="C147" s="41">
        <v>10.612264705882357</v>
      </c>
      <c r="D147" s="41">
        <v>0</v>
      </c>
      <c r="E147" s="41">
        <v>2.98</v>
      </c>
      <c r="F147" s="41">
        <v>2</v>
      </c>
      <c r="G147" s="41"/>
      <c r="H147" s="41">
        <v>1.1941176470588235E-2</v>
      </c>
      <c r="I147" s="41">
        <v>0.13685294117647057</v>
      </c>
      <c r="J147" s="41">
        <v>-27.347058823529412</v>
      </c>
      <c r="K147" s="41">
        <v>28.522058823529413</v>
      </c>
      <c r="L147" s="41">
        <v>-2.2470588235294117E-2</v>
      </c>
    </row>
    <row r="148" spans="1:12" x14ac:dyDescent="0.2">
      <c r="A148" s="42" t="s">
        <v>23</v>
      </c>
      <c r="B148" s="42">
        <v>1</v>
      </c>
      <c r="C148" s="42">
        <v>18.273315789473688</v>
      </c>
      <c r="D148" s="42">
        <v>1</v>
      </c>
      <c r="E148" s="42">
        <v>23.44</v>
      </c>
      <c r="F148" s="45">
        <v>4</v>
      </c>
      <c r="G148" s="42"/>
      <c r="H148" s="42">
        <v>1.5552631578947368E-2</v>
      </c>
      <c r="I148" s="42">
        <v>0.28568421052631582</v>
      </c>
      <c r="J148" s="42">
        <v>-0.21052631578947362</v>
      </c>
      <c r="K148" s="42">
        <v>20.577578947368419</v>
      </c>
      <c r="L148" s="42">
        <v>-0.24634210526315781</v>
      </c>
    </row>
    <row r="149" spans="1:12" x14ac:dyDescent="0.2">
      <c r="A149" s="41" t="s">
        <v>23</v>
      </c>
      <c r="B149" s="41">
        <v>1</v>
      </c>
      <c r="C149" s="41">
        <v>9.6676578947368412</v>
      </c>
      <c r="D149" s="41">
        <v>0</v>
      </c>
      <c r="E149" s="41">
        <v>8.4</v>
      </c>
      <c r="F149" s="43">
        <v>4</v>
      </c>
      <c r="G149" s="41"/>
      <c r="H149" s="41">
        <v>0.10068421052631578</v>
      </c>
      <c r="I149" s="41">
        <v>0.10828947368421053</v>
      </c>
      <c r="J149" s="41">
        <v>-13.397368421052631</v>
      </c>
      <c r="K149" s="41">
        <v>30.919921052631576</v>
      </c>
      <c r="L149" s="41">
        <v>6.2684210526315787E-2</v>
      </c>
    </row>
    <row r="150" spans="1:12" x14ac:dyDescent="0.2">
      <c r="A150" s="42" t="s">
        <v>23</v>
      </c>
      <c r="B150" s="42">
        <v>1</v>
      </c>
      <c r="C150" s="42">
        <v>25.787736842105264</v>
      </c>
      <c r="D150" s="42">
        <v>0</v>
      </c>
      <c r="E150" s="42">
        <v>3.4</v>
      </c>
      <c r="F150" s="44">
        <v>3</v>
      </c>
      <c r="G150" s="42"/>
      <c r="H150" s="42">
        <v>2.3684210526315788E-4</v>
      </c>
      <c r="I150" s="42">
        <v>0.56984210526315759</v>
      </c>
      <c r="J150" s="42">
        <v>-10.168421052631579</v>
      </c>
      <c r="K150" s="42">
        <v>35.480710526315782</v>
      </c>
      <c r="L150" s="42">
        <v>-0.1658421052631579</v>
      </c>
    </row>
    <row r="151" spans="1:12" x14ac:dyDescent="0.2">
      <c r="A151" s="41" t="s">
        <v>23</v>
      </c>
      <c r="B151" s="41">
        <v>1</v>
      </c>
      <c r="C151" s="41">
        <v>13.587026315789471</v>
      </c>
      <c r="D151" s="41">
        <v>0</v>
      </c>
      <c r="E151" s="41">
        <v>3.32</v>
      </c>
      <c r="F151" s="43">
        <v>3</v>
      </c>
      <c r="G151" s="41"/>
      <c r="H151" s="41">
        <v>2.8131578947368421E-2</v>
      </c>
      <c r="I151" s="41">
        <v>4.4947368421052639E-2</v>
      </c>
      <c r="J151" s="41">
        <v>-4.210526315789475E-2</v>
      </c>
      <c r="K151" s="41">
        <v>28.544289473684206</v>
      </c>
      <c r="L151" s="41">
        <v>-0.35678947368421049</v>
      </c>
    </row>
    <row r="152" spans="1:12" x14ac:dyDescent="0.2">
      <c r="A152" s="42" t="s">
        <v>23</v>
      </c>
      <c r="B152" s="42">
        <v>1</v>
      </c>
      <c r="C152" s="42">
        <v>9.1019736842105257</v>
      </c>
      <c r="D152" s="42">
        <v>0</v>
      </c>
      <c r="E152" s="42">
        <v>3.29</v>
      </c>
      <c r="F152" s="44">
        <v>2</v>
      </c>
      <c r="G152" s="42"/>
      <c r="H152" s="42">
        <v>2.5052631578947368E-2</v>
      </c>
      <c r="I152" s="42">
        <v>8.8710526315789476E-2</v>
      </c>
      <c r="J152" s="42">
        <v>-19.38684210526316</v>
      </c>
      <c r="K152" s="42">
        <v>23.890421052631574</v>
      </c>
      <c r="L152" s="42">
        <v>-4.9210526315788374E-3</v>
      </c>
    </row>
    <row r="153" spans="1:12" x14ac:dyDescent="0.2">
      <c r="A153" s="41" t="s">
        <v>23</v>
      </c>
      <c r="B153" s="41">
        <v>1</v>
      </c>
      <c r="C153" s="41">
        <v>8.6891052631578933</v>
      </c>
      <c r="D153" s="41">
        <v>0</v>
      </c>
      <c r="E153" s="41">
        <v>1.78</v>
      </c>
      <c r="F153" s="41">
        <v>2</v>
      </c>
      <c r="G153" s="41"/>
      <c r="H153" s="41">
        <v>0</v>
      </c>
      <c r="I153" s="41">
        <v>5.4210526315789466E-2</v>
      </c>
      <c r="J153" s="41">
        <v>7.8947368421052613E-2</v>
      </c>
      <c r="K153" s="41">
        <v>24.728000000000002</v>
      </c>
      <c r="L153" s="41">
        <v>-0.3738157894736841</v>
      </c>
    </row>
    <row r="154" spans="1:12" x14ac:dyDescent="0.2">
      <c r="A154" s="42" t="s">
        <v>24</v>
      </c>
      <c r="B154" s="42">
        <v>1</v>
      </c>
      <c r="C154" s="42">
        <v>14.786185185185181</v>
      </c>
      <c r="D154" s="42">
        <v>1</v>
      </c>
      <c r="E154" s="42">
        <v>11.7</v>
      </c>
      <c r="F154" s="45">
        <v>4</v>
      </c>
      <c r="G154" s="42"/>
      <c r="H154" s="42">
        <v>0</v>
      </c>
      <c r="I154" s="42">
        <v>0.14379629629629631</v>
      </c>
      <c r="J154" s="42">
        <v>-0.20740740740740743</v>
      </c>
      <c r="K154" s="42">
        <v>8.8787777777777777</v>
      </c>
      <c r="L154" s="42">
        <v>-0.30853703703703705</v>
      </c>
    </row>
    <row r="155" spans="1:12" x14ac:dyDescent="0.2">
      <c r="A155" s="41" t="s">
        <v>24</v>
      </c>
      <c r="B155" s="41">
        <v>1</v>
      </c>
      <c r="C155" s="41">
        <v>5.1504074074074069</v>
      </c>
      <c r="D155" s="41">
        <v>0</v>
      </c>
      <c r="E155" s="41">
        <v>5.2</v>
      </c>
      <c r="F155" s="43">
        <v>4</v>
      </c>
      <c r="G155" s="41"/>
      <c r="H155" s="41">
        <v>0.16351851851851856</v>
      </c>
      <c r="I155" s="41">
        <v>6.1388888888888889E-2</v>
      </c>
      <c r="J155" s="41">
        <v>-11.642592592592594</v>
      </c>
      <c r="K155" s="41">
        <v>13.54511111111111</v>
      </c>
      <c r="L155" s="41">
        <v>0.32700000000000007</v>
      </c>
    </row>
    <row r="156" spans="1:12" x14ac:dyDescent="0.2">
      <c r="A156" s="42" t="s">
        <v>24</v>
      </c>
      <c r="B156" s="42">
        <v>1</v>
      </c>
      <c r="C156" s="42">
        <v>17.469888888888892</v>
      </c>
      <c r="D156" s="42">
        <v>0</v>
      </c>
      <c r="E156" s="42">
        <v>6.79</v>
      </c>
      <c r="F156" s="44">
        <v>3</v>
      </c>
      <c r="G156" s="42"/>
      <c r="H156" s="42">
        <v>0</v>
      </c>
      <c r="I156" s="42">
        <v>0.15640740740740741</v>
      </c>
      <c r="J156" s="42">
        <v>-5.840740740740741</v>
      </c>
      <c r="K156" s="42">
        <v>8.5067037037037032</v>
      </c>
      <c r="L156" s="42">
        <v>-0.10716666666666665</v>
      </c>
    </row>
    <row r="157" spans="1:12" x14ac:dyDescent="0.2">
      <c r="A157" s="41" t="s">
        <v>24</v>
      </c>
      <c r="B157" s="41">
        <v>1</v>
      </c>
      <c r="C157" s="41">
        <v>11.793388888888886</v>
      </c>
      <c r="D157" s="41">
        <v>0</v>
      </c>
      <c r="E157" s="41">
        <v>3.79</v>
      </c>
      <c r="F157" s="43">
        <v>3</v>
      </c>
      <c r="G157" s="41"/>
      <c r="H157" s="41">
        <v>3.861111111111111E-2</v>
      </c>
      <c r="I157" s="41">
        <v>9.1259259259259262E-2</v>
      </c>
      <c r="J157" s="41">
        <v>-0.48518518518518522</v>
      </c>
      <c r="K157" s="41">
        <v>42.866814814814816</v>
      </c>
      <c r="L157" s="41">
        <v>-0.28051851851851856</v>
      </c>
    </row>
    <row r="158" spans="1:12" x14ac:dyDescent="0.2">
      <c r="A158" s="42" t="s">
        <v>24</v>
      </c>
      <c r="B158" s="42">
        <v>1</v>
      </c>
      <c r="C158" s="42">
        <v>12.173185185185186</v>
      </c>
      <c r="D158" s="42">
        <v>1</v>
      </c>
      <c r="E158" s="42">
        <v>2.86</v>
      </c>
      <c r="F158" s="44">
        <v>2</v>
      </c>
      <c r="G158" s="42"/>
      <c r="H158" s="42">
        <v>0</v>
      </c>
      <c r="I158" s="42">
        <v>0.10733333333333332</v>
      </c>
      <c r="J158" s="42">
        <v>-11.659259259259251</v>
      </c>
      <c r="K158" s="42">
        <v>43.04646296296297</v>
      </c>
      <c r="L158" s="42">
        <v>-0.47096296296296292</v>
      </c>
    </row>
    <row r="159" spans="1:12" x14ac:dyDescent="0.2">
      <c r="A159" s="41" t="s">
        <v>24</v>
      </c>
      <c r="B159" s="41">
        <v>1</v>
      </c>
      <c r="C159" s="41">
        <v>13.990851851851849</v>
      </c>
      <c r="D159" s="41">
        <v>2</v>
      </c>
      <c r="E159" s="41">
        <v>6.02</v>
      </c>
      <c r="F159" s="41">
        <v>2</v>
      </c>
      <c r="G159" s="41"/>
      <c r="H159" s="41">
        <v>2.0555555555555553E-3</v>
      </c>
      <c r="I159" s="41">
        <v>0.15066666666666664</v>
      </c>
      <c r="J159" s="41">
        <v>-10.318518518518518</v>
      </c>
      <c r="K159" s="41">
        <v>2.1810740740740737</v>
      </c>
      <c r="L159" s="41">
        <v>-0.25155555555555553</v>
      </c>
    </row>
    <row r="160" spans="1:12" x14ac:dyDescent="0.2">
      <c r="A160" s="42" t="s">
        <v>25</v>
      </c>
      <c r="B160" s="42">
        <v>1</v>
      </c>
      <c r="C160" s="42">
        <v>19.774093023255812</v>
      </c>
      <c r="D160" s="42">
        <v>0</v>
      </c>
      <c r="E160" s="42">
        <v>5.37</v>
      </c>
      <c r="F160" s="45">
        <v>4</v>
      </c>
      <c r="G160" s="42"/>
      <c r="H160" s="42">
        <v>5.0697674418604651E-3</v>
      </c>
      <c r="I160" s="42">
        <v>0.23599999999999996</v>
      </c>
      <c r="J160" s="42">
        <v>-6.976744186046528E-3</v>
      </c>
      <c r="K160" s="42">
        <v>122.51660465116279</v>
      </c>
      <c r="L160" s="42">
        <v>0.24697674418604657</v>
      </c>
    </row>
    <row r="161" spans="1:12" x14ac:dyDescent="0.2">
      <c r="A161" s="41" t="s">
        <v>25</v>
      </c>
      <c r="B161" s="41">
        <v>1</v>
      </c>
      <c r="C161" s="41">
        <v>18.423674418604651</v>
      </c>
      <c r="D161" s="41">
        <v>0</v>
      </c>
      <c r="E161" s="41">
        <v>4.05</v>
      </c>
      <c r="F161" s="43">
        <v>4</v>
      </c>
      <c r="G161" s="41"/>
      <c r="H161" s="41">
        <v>2.4627906976744184E-2</v>
      </c>
      <c r="I161" s="41">
        <v>0.22200000000000003</v>
      </c>
      <c r="J161" s="41">
        <v>-16.513953488372085</v>
      </c>
      <c r="K161" s="41">
        <v>1.3378604651162791</v>
      </c>
      <c r="L161" s="41">
        <v>0.2752325581395349</v>
      </c>
    </row>
    <row r="162" spans="1:12" x14ac:dyDescent="0.2">
      <c r="A162" s="42" t="s">
        <v>25</v>
      </c>
      <c r="B162" s="42">
        <v>1</v>
      </c>
      <c r="C162" s="42">
        <v>17.850837209302327</v>
      </c>
      <c r="D162" s="42">
        <v>0</v>
      </c>
      <c r="E162" s="42">
        <v>5.43</v>
      </c>
      <c r="F162" s="44">
        <v>3</v>
      </c>
      <c r="G162" s="42"/>
      <c r="H162" s="42">
        <v>1.5534883720930232E-2</v>
      </c>
      <c r="I162" s="42">
        <v>0.11695348837209302</v>
      </c>
      <c r="J162" s="42">
        <v>-5.1348837209302323</v>
      </c>
      <c r="K162" s="42">
        <v>15.708953488372094</v>
      </c>
      <c r="L162" s="42">
        <v>-0.1797674418604652</v>
      </c>
    </row>
    <row r="163" spans="1:12" x14ac:dyDescent="0.2">
      <c r="A163" s="41" t="s">
        <v>25</v>
      </c>
      <c r="B163" s="41">
        <v>1</v>
      </c>
      <c r="C163" s="41">
        <v>7.5917674418604655</v>
      </c>
      <c r="D163" s="41">
        <v>0</v>
      </c>
      <c r="E163" s="41">
        <v>3.21</v>
      </c>
      <c r="F163" s="43">
        <v>3</v>
      </c>
      <c r="G163" s="41"/>
      <c r="H163" s="41">
        <v>1.4325581395348837E-2</v>
      </c>
      <c r="I163" s="41">
        <v>7.244186046511629E-2</v>
      </c>
      <c r="J163" s="41">
        <v>-18.304651162790698</v>
      </c>
      <c r="K163" s="41">
        <v>55.528465116279072</v>
      </c>
      <c r="L163" s="41">
        <v>0.13060465116279071</v>
      </c>
    </row>
    <row r="164" spans="1:12" x14ac:dyDescent="0.2">
      <c r="A164" s="42" t="s">
        <v>25</v>
      </c>
      <c r="B164" s="42">
        <v>1</v>
      </c>
      <c r="C164" s="42">
        <v>16.257348837209303</v>
      </c>
      <c r="D164" s="42">
        <v>1</v>
      </c>
      <c r="E164" s="42">
        <v>13.4</v>
      </c>
      <c r="F164" s="44">
        <v>2</v>
      </c>
      <c r="G164" s="42"/>
      <c r="H164" s="42">
        <v>2.8604651162790696E-2</v>
      </c>
      <c r="I164" s="42">
        <v>0.12348837209302323</v>
      </c>
      <c r="J164" s="42">
        <v>0.16976744186046508</v>
      </c>
      <c r="K164" s="42">
        <v>140.78190697674415</v>
      </c>
      <c r="L164" s="42">
        <v>0.13806976744186042</v>
      </c>
    </row>
    <row r="165" spans="1:12" x14ac:dyDescent="0.2">
      <c r="A165" s="41" t="s">
        <v>25</v>
      </c>
      <c r="B165" s="41">
        <v>1</v>
      </c>
      <c r="C165" s="41">
        <v>8.3150232558139514</v>
      </c>
      <c r="D165" s="41">
        <v>0</v>
      </c>
      <c r="E165" s="41">
        <v>2.69</v>
      </c>
      <c r="F165" s="41">
        <v>2</v>
      </c>
      <c r="G165" s="41"/>
      <c r="H165" s="41">
        <v>2.0883720930232556E-2</v>
      </c>
      <c r="I165" s="41">
        <v>0.11067441860465117</v>
      </c>
      <c r="J165" s="41">
        <v>-8.804651162790698</v>
      </c>
      <c r="K165" s="41">
        <v>52.994465116279073</v>
      </c>
      <c r="L165" s="41">
        <v>0.35765116279069775</v>
      </c>
    </row>
    <row r="166" spans="1:12" x14ac:dyDescent="0.2">
      <c r="A166" s="42" t="s">
        <v>26</v>
      </c>
      <c r="B166" s="42">
        <v>1</v>
      </c>
      <c r="C166" s="42">
        <v>16.922615384615384</v>
      </c>
      <c r="D166" s="42">
        <v>1</v>
      </c>
      <c r="E166" s="42">
        <v>12.75</v>
      </c>
      <c r="F166" s="45">
        <v>4</v>
      </c>
      <c r="G166" s="42"/>
      <c r="H166" s="42">
        <v>8.9230769230769225E-3</v>
      </c>
      <c r="I166" s="42">
        <v>0.19366666666666665</v>
      </c>
      <c r="J166" s="42">
        <v>0.62820512820512853</v>
      </c>
      <c r="K166" s="42">
        <v>34.274794871794867</v>
      </c>
      <c r="L166" s="42">
        <v>0.910205128205128</v>
      </c>
    </row>
    <row r="167" spans="1:12" x14ac:dyDescent="0.2">
      <c r="A167" s="41" t="s">
        <v>26</v>
      </c>
      <c r="B167" s="41">
        <v>1</v>
      </c>
      <c r="C167" s="41">
        <v>12.551435897435896</v>
      </c>
      <c r="D167" s="41">
        <v>0</v>
      </c>
      <c r="E167" s="41">
        <v>7.37</v>
      </c>
      <c r="F167" s="43">
        <v>4</v>
      </c>
      <c r="G167" s="41"/>
      <c r="H167" s="41">
        <v>2.4512820512820516E-2</v>
      </c>
      <c r="I167" s="41">
        <v>0.17974358974358975</v>
      </c>
      <c r="J167" s="41">
        <v>-11.682051282051283</v>
      </c>
      <c r="K167" s="41">
        <v>53.215666666666657</v>
      </c>
      <c r="L167" s="41">
        <v>0.41066666666666662</v>
      </c>
    </row>
    <row r="168" spans="1:12" x14ac:dyDescent="0.2">
      <c r="A168" s="42" t="s">
        <v>26</v>
      </c>
      <c r="B168" s="42">
        <v>1</v>
      </c>
      <c r="C168" s="42">
        <v>17.409410256410254</v>
      </c>
      <c r="D168" s="42">
        <v>0</v>
      </c>
      <c r="E168" s="42">
        <v>5.54</v>
      </c>
      <c r="F168" s="44">
        <v>3</v>
      </c>
      <c r="G168" s="42"/>
      <c r="H168" s="42">
        <v>4.4615384615384619E-2</v>
      </c>
      <c r="I168" s="42">
        <v>0.22528205128205123</v>
      </c>
      <c r="J168" s="42">
        <v>2.5282051282051294</v>
      </c>
      <c r="K168" s="42">
        <v>17.328512820512824</v>
      </c>
      <c r="L168" s="42">
        <v>0.6886923076923076</v>
      </c>
    </row>
    <row r="169" spans="1:12" x14ac:dyDescent="0.2">
      <c r="A169" s="41" t="s">
        <v>26</v>
      </c>
      <c r="B169" s="41">
        <v>1</v>
      </c>
      <c r="C169" s="41">
        <v>13.412589743589741</v>
      </c>
      <c r="D169" s="41">
        <v>0</v>
      </c>
      <c r="E169" s="41">
        <v>4.74</v>
      </c>
      <c r="F169" s="43">
        <v>3</v>
      </c>
      <c r="G169" s="41"/>
      <c r="H169" s="41">
        <v>2.3076923076923079E-3</v>
      </c>
      <c r="I169" s="41">
        <v>5.5948717948717967E-2</v>
      </c>
      <c r="J169" s="41">
        <v>-1.5974358974358978</v>
      </c>
      <c r="K169" s="41">
        <v>21.072051282051277</v>
      </c>
      <c r="L169" s="41">
        <v>0.39997435897435901</v>
      </c>
    </row>
    <row r="170" spans="1:12" x14ac:dyDescent="0.2">
      <c r="A170" s="42" t="s">
        <v>26</v>
      </c>
      <c r="B170" s="42">
        <v>1</v>
      </c>
      <c r="C170" s="42">
        <v>9.382820512820512</v>
      </c>
      <c r="D170" s="42">
        <v>1</v>
      </c>
      <c r="E170" s="42">
        <v>7.23</v>
      </c>
      <c r="F170" s="44">
        <v>2</v>
      </c>
      <c r="G170" s="42"/>
      <c r="H170" s="42">
        <v>1.9820512820512819E-2</v>
      </c>
      <c r="I170" s="42">
        <v>9.166666666666666E-2</v>
      </c>
      <c r="J170" s="42">
        <v>-12.566666666666666</v>
      </c>
      <c r="K170" s="42">
        <v>19.152025641025642</v>
      </c>
      <c r="L170" s="42">
        <v>0.34676923076923072</v>
      </c>
    </row>
    <row r="171" spans="1:12" x14ac:dyDescent="0.2">
      <c r="A171" s="41" t="s">
        <v>26</v>
      </c>
      <c r="B171" s="41">
        <v>1</v>
      </c>
      <c r="C171" s="41">
        <v>15.403794871794871</v>
      </c>
      <c r="D171" s="41">
        <v>0</v>
      </c>
      <c r="E171" s="41">
        <v>1.96</v>
      </c>
      <c r="F171" s="41">
        <v>2</v>
      </c>
      <c r="G171" s="41"/>
      <c r="H171" s="41">
        <v>1.3461538461538459E-2</v>
      </c>
      <c r="I171" s="41">
        <v>0.12912820512820511</v>
      </c>
      <c r="J171" s="41">
        <v>0.33076923076923082</v>
      </c>
      <c r="K171" s="41">
        <v>28.564717948717945</v>
      </c>
      <c r="L171" s="41">
        <v>0.50902564102564107</v>
      </c>
    </row>
    <row r="172" spans="1:12" x14ac:dyDescent="0.2">
      <c r="A172" s="42" t="s">
        <v>27</v>
      </c>
      <c r="B172" s="42">
        <v>1</v>
      </c>
      <c r="C172" s="42">
        <v>17.595763636363639</v>
      </c>
      <c r="D172" s="42">
        <v>0</v>
      </c>
      <c r="E172" s="42">
        <v>13.94</v>
      </c>
      <c r="F172" s="45">
        <v>4</v>
      </c>
      <c r="G172" s="42"/>
      <c r="H172" s="42">
        <v>2.758181818181818E-2</v>
      </c>
      <c r="I172" s="42">
        <v>0.17300000000000004</v>
      </c>
      <c r="J172" s="42">
        <v>4.181818181818181E-2</v>
      </c>
      <c r="K172" s="42">
        <v>88.96074545454546</v>
      </c>
      <c r="L172" s="42">
        <v>-0.15489090909090911</v>
      </c>
    </row>
    <row r="173" spans="1:12" x14ac:dyDescent="0.2">
      <c r="A173" s="41" t="s">
        <v>27</v>
      </c>
      <c r="B173" s="41">
        <v>1</v>
      </c>
      <c r="C173" s="41">
        <v>18.218381818181822</v>
      </c>
      <c r="D173" s="41">
        <v>1</v>
      </c>
      <c r="E173" s="41">
        <v>10.67</v>
      </c>
      <c r="F173" s="43">
        <v>4</v>
      </c>
      <c r="G173" s="41"/>
      <c r="H173" s="41">
        <v>3.9090909090909089E-3</v>
      </c>
      <c r="I173" s="41">
        <v>0.20570909090909095</v>
      </c>
      <c r="J173" s="41">
        <v>-20.945454545454549</v>
      </c>
      <c r="K173" s="41">
        <v>3.4247272727272731</v>
      </c>
      <c r="L173" s="41">
        <v>-0.15054545454545454</v>
      </c>
    </row>
    <row r="174" spans="1:12" x14ac:dyDescent="0.2">
      <c r="A174" s="42" t="s">
        <v>27</v>
      </c>
      <c r="B174" s="42">
        <v>1</v>
      </c>
      <c r="C174" s="42">
        <v>12.506727272727275</v>
      </c>
      <c r="D174" s="42">
        <v>1</v>
      </c>
      <c r="E174" s="42">
        <v>19.57</v>
      </c>
      <c r="F174" s="44">
        <v>3</v>
      </c>
      <c r="G174" s="42"/>
      <c r="H174" s="42">
        <v>2.1054545454545458E-2</v>
      </c>
      <c r="I174" s="42">
        <v>7.0490909090909076E-2</v>
      </c>
      <c r="J174" s="42">
        <v>-0.48000000000000009</v>
      </c>
      <c r="K174" s="42">
        <v>30.608163636363635</v>
      </c>
      <c r="L174" s="42">
        <v>-0.64150909090909114</v>
      </c>
    </row>
    <row r="175" spans="1:12" x14ac:dyDescent="0.2">
      <c r="A175" s="41" t="s">
        <v>27</v>
      </c>
      <c r="B175" s="41">
        <v>1</v>
      </c>
      <c r="C175" s="41">
        <v>10.979781818181815</v>
      </c>
      <c r="D175" s="41">
        <v>0</v>
      </c>
      <c r="E175" s="41">
        <v>2.64</v>
      </c>
      <c r="F175" s="43">
        <v>3</v>
      </c>
      <c r="G175" s="41"/>
      <c r="H175" s="41">
        <v>0</v>
      </c>
      <c r="I175" s="41">
        <v>9.1763636363636381E-2</v>
      </c>
      <c r="J175" s="41">
        <v>-10.879999999999997</v>
      </c>
      <c r="K175" s="41">
        <v>31.75223636363636</v>
      </c>
      <c r="L175" s="41">
        <v>-0.52698181818181822</v>
      </c>
    </row>
    <row r="176" spans="1:12" x14ac:dyDescent="0.2">
      <c r="A176" s="42" t="s">
        <v>27</v>
      </c>
      <c r="B176" s="42">
        <v>1</v>
      </c>
      <c r="C176" s="42">
        <v>13.053672727272728</v>
      </c>
      <c r="D176" s="42">
        <v>0</v>
      </c>
      <c r="E176" s="42">
        <v>5.77</v>
      </c>
      <c r="F176" s="44">
        <v>2</v>
      </c>
      <c r="G176" s="42"/>
      <c r="H176" s="42">
        <v>7.1636363636363642E-3</v>
      </c>
      <c r="I176" s="42">
        <v>0.13185454545454547</v>
      </c>
      <c r="J176" s="42">
        <v>-9.18</v>
      </c>
      <c r="K176" s="42">
        <v>12.149800000000001</v>
      </c>
      <c r="L176" s="42">
        <v>-0.64427272727272755</v>
      </c>
    </row>
    <row r="177" spans="1:12" x14ac:dyDescent="0.2">
      <c r="A177" s="41" t="s">
        <v>27</v>
      </c>
      <c r="B177" s="41">
        <v>1</v>
      </c>
      <c r="C177" s="41">
        <v>15.957763636363639</v>
      </c>
      <c r="D177" s="41">
        <v>0</v>
      </c>
      <c r="E177" s="41">
        <v>4.1399999999999997</v>
      </c>
      <c r="F177" s="41">
        <v>2</v>
      </c>
      <c r="G177" s="41"/>
      <c r="H177" s="41">
        <v>2.7818181818181817E-3</v>
      </c>
      <c r="I177" s="41">
        <v>0.1309818181818182</v>
      </c>
      <c r="J177" s="41">
        <v>-9.3181818181818201</v>
      </c>
      <c r="K177" s="41">
        <v>0</v>
      </c>
      <c r="L177" s="41">
        <v>-0.4078181818181818</v>
      </c>
    </row>
    <row r="178" spans="1:12" x14ac:dyDescent="0.2">
      <c r="A178" s="42" t="s">
        <v>12</v>
      </c>
      <c r="B178" s="42">
        <v>2</v>
      </c>
      <c r="C178" s="42">
        <v>18.257292513368988</v>
      </c>
      <c r="D178" s="42">
        <v>0</v>
      </c>
      <c r="E178" s="42">
        <v>4.4400000000000004</v>
      </c>
      <c r="F178" s="45">
        <v>4</v>
      </c>
      <c r="G178" s="42"/>
      <c r="H178" s="42">
        <v>4.400160427807482E-2</v>
      </c>
      <c r="I178" s="42">
        <v>0.31717914438502431</v>
      </c>
      <c r="J178" s="42">
        <v>-22.282192513369061</v>
      </c>
      <c r="K178" s="42">
        <v>18.35875989304812</v>
      </c>
      <c r="L178" s="42">
        <v>-4.3016042780745769E-3</v>
      </c>
    </row>
    <row r="179" spans="1:12" x14ac:dyDescent="0.2">
      <c r="A179" s="41" t="s">
        <v>12</v>
      </c>
      <c r="B179" s="41">
        <v>2</v>
      </c>
      <c r="C179" s="41">
        <v>28.022241176470608</v>
      </c>
      <c r="D179" s="41">
        <v>0</v>
      </c>
      <c r="E179" s="41">
        <v>4.97</v>
      </c>
      <c r="F179" s="43">
        <v>4</v>
      </c>
      <c r="G179" s="41"/>
      <c r="H179" s="41">
        <v>0</v>
      </c>
      <c r="I179" s="41">
        <v>0.30066042780748337</v>
      </c>
      <c r="J179" s="41">
        <v>-5.1888770053476083</v>
      </c>
      <c r="K179" s="41">
        <v>0</v>
      </c>
      <c r="L179" s="41">
        <v>-0.34459946524064172</v>
      </c>
    </row>
    <row r="180" spans="1:12" x14ac:dyDescent="0.2">
      <c r="A180" s="42" t="s">
        <v>12</v>
      </c>
      <c r="B180" s="42">
        <v>2</v>
      </c>
      <c r="C180" s="42">
        <v>29.335921925133636</v>
      </c>
      <c r="D180" s="42">
        <v>0</v>
      </c>
      <c r="E180" s="42">
        <v>3.85</v>
      </c>
      <c r="F180" s="44">
        <v>3</v>
      </c>
      <c r="G180" s="42"/>
      <c r="H180" s="42">
        <v>0</v>
      </c>
      <c r="I180" s="42">
        <v>0.29833155080213886</v>
      </c>
      <c r="J180" s="42">
        <v>-5.2859358288769842</v>
      </c>
      <c r="K180" s="42">
        <v>0</v>
      </c>
      <c r="L180" s="42">
        <v>-0.42908663101604377</v>
      </c>
    </row>
    <row r="181" spans="1:12" x14ac:dyDescent="0.2">
      <c r="A181" s="41" t="s">
        <v>12</v>
      </c>
      <c r="B181" s="41">
        <v>2</v>
      </c>
      <c r="C181" s="41">
        <v>28.40787540106955</v>
      </c>
      <c r="D181" s="41">
        <v>0</v>
      </c>
      <c r="E181" s="41">
        <v>3.18</v>
      </c>
      <c r="F181" s="43">
        <v>3</v>
      </c>
      <c r="G181" s="41"/>
      <c r="H181" s="41">
        <v>0</v>
      </c>
      <c r="I181" s="41">
        <v>0.26922780748662989</v>
      </c>
      <c r="J181" s="41">
        <v>-8.3367914438502613</v>
      </c>
      <c r="K181" s="41">
        <v>0</v>
      </c>
      <c r="L181" s="41">
        <v>-0.37290374331550769</v>
      </c>
    </row>
    <row r="182" spans="1:12" x14ac:dyDescent="0.2">
      <c r="A182" s="42" t="s">
        <v>12</v>
      </c>
      <c r="B182" s="42">
        <v>2</v>
      </c>
      <c r="C182" s="42">
        <v>29.220411764705936</v>
      </c>
      <c r="D182" s="42">
        <v>0</v>
      </c>
      <c r="E182" s="42">
        <v>2</v>
      </c>
      <c r="F182" s="44">
        <v>2</v>
      </c>
      <c r="G182" s="42"/>
      <c r="H182" s="42">
        <v>0</v>
      </c>
      <c r="I182" s="42">
        <v>0.31382780748663108</v>
      </c>
      <c r="J182" s="42">
        <v>-2.6320855614973113</v>
      </c>
      <c r="K182" s="42">
        <v>0</v>
      </c>
      <c r="L182" s="42">
        <v>-0.28201176470588174</v>
      </c>
    </row>
    <row r="183" spans="1:12" x14ac:dyDescent="0.2">
      <c r="A183" s="41" t="s">
        <v>12</v>
      </c>
      <c r="B183" s="41">
        <v>2</v>
      </c>
      <c r="C183" s="41">
        <v>28.862486631016093</v>
      </c>
      <c r="D183" s="41">
        <v>0</v>
      </c>
      <c r="E183" s="41">
        <v>3.15</v>
      </c>
      <c r="F183" s="41">
        <v>2</v>
      </c>
      <c r="G183" s="41"/>
      <c r="H183" s="41">
        <v>0</v>
      </c>
      <c r="I183" s="41">
        <v>0.25886256684491976</v>
      </c>
      <c r="J183" s="41">
        <v>-10.745775401069519</v>
      </c>
      <c r="K183" s="41">
        <v>30.787400534759374</v>
      </c>
      <c r="L183" s="41">
        <v>-0.16486898395721925</v>
      </c>
    </row>
    <row r="184" spans="1:12" x14ac:dyDescent="0.2">
      <c r="A184" s="42" t="s">
        <v>13</v>
      </c>
      <c r="B184" s="42">
        <v>2</v>
      </c>
      <c r="C184" s="42">
        <v>12.374140748550328</v>
      </c>
      <c r="D184" s="42">
        <v>0</v>
      </c>
      <c r="E184" s="42">
        <v>13.33</v>
      </c>
      <c r="F184" s="45">
        <v>4</v>
      </c>
      <c r="G184" s="42"/>
      <c r="H184" s="42">
        <v>0</v>
      </c>
      <c r="I184" s="42">
        <v>0.13758091723774338</v>
      </c>
      <c r="J184" s="42">
        <v>0.6370585134422776</v>
      </c>
      <c r="K184" s="42">
        <v>23.391360569319971</v>
      </c>
      <c r="L184" s="42">
        <v>-0.32471375856615764</v>
      </c>
    </row>
    <row r="185" spans="1:12" x14ac:dyDescent="0.2">
      <c r="A185" s="41" t="s">
        <v>13</v>
      </c>
      <c r="B185" s="41">
        <v>2</v>
      </c>
      <c r="C185" s="41">
        <v>16.603574591460205</v>
      </c>
      <c r="D185" s="41">
        <v>1</v>
      </c>
      <c r="E185" s="41">
        <v>7.3</v>
      </c>
      <c r="F185" s="43">
        <v>4</v>
      </c>
      <c r="G185" s="41"/>
      <c r="H185" s="41">
        <v>0</v>
      </c>
      <c r="I185" s="41">
        <v>0.13095308381655196</v>
      </c>
      <c r="J185" s="41">
        <v>-6.2994201370584493E-2</v>
      </c>
      <c r="K185" s="41">
        <v>0</v>
      </c>
      <c r="L185" s="41">
        <v>-0.61168371112282405</v>
      </c>
    </row>
    <row r="186" spans="1:12" x14ac:dyDescent="0.2">
      <c r="A186" s="42" t="s">
        <v>13</v>
      </c>
      <c r="B186" s="42">
        <v>2</v>
      </c>
      <c r="C186" s="42">
        <v>18.003654717975738</v>
      </c>
      <c r="D186" s="42">
        <v>1</v>
      </c>
      <c r="E186" s="42">
        <v>12.66</v>
      </c>
      <c r="F186" s="44">
        <v>3</v>
      </c>
      <c r="G186" s="42"/>
      <c r="H186" s="42">
        <v>0</v>
      </c>
      <c r="I186" s="42">
        <v>0.14163468634686302</v>
      </c>
      <c r="J186" s="42">
        <v>-6.3799683711122697</v>
      </c>
      <c r="K186" s="42">
        <v>1.308897206114918</v>
      </c>
      <c r="L186" s="42">
        <v>-0.50049077490775007</v>
      </c>
    </row>
    <row r="187" spans="1:12" x14ac:dyDescent="0.2">
      <c r="A187" s="41" t="s">
        <v>13</v>
      </c>
      <c r="B187" s="41">
        <v>2</v>
      </c>
      <c r="C187" s="41">
        <v>19.167594095940974</v>
      </c>
      <c r="D187" s="41">
        <v>0</v>
      </c>
      <c r="E187" s="41">
        <v>3.47</v>
      </c>
      <c r="F187" s="43">
        <v>3</v>
      </c>
      <c r="G187" s="41"/>
      <c r="H187" s="41">
        <v>0</v>
      </c>
      <c r="I187" s="41">
        <v>0.19594464944649384</v>
      </c>
      <c r="J187" s="41">
        <v>-3.7573010015814576</v>
      </c>
      <c r="K187" s="41">
        <v>80.99920453347373</v>
      </c>
      <c r="L187" s="41">
        <v>0.34793726937269359</v>
      </c>
    </row>
    <row r="188" spans="1:12" x14ac:dyDescent="0.2">
      <c r="A188" s="42" t="s">
        <v>13</v>
      </c>
      <c r="B188" s="42">
        <v>2</v>
      </c>
      <c r="C188" s="42">
        <v>27.020068002108591</v>
      </c>
      <c r="D188" s="42">
        <v>0</v>
      </c>
      <c r="E188" s="42">
        <v>5.35</v>
      </c>
      <c r="F188" s="44">
        <v>2</v>
      </c>
      <c r="G188" s="42"/>
      <c r="H188" s="42">
        <v>1.7146020031628875E-2</v>
      </c>
      <c r="I188" s="42">
        <v>0.44466736953083685</v>
      </c>
      <c r="J188" s="42">
        <v>-0.39868212967843941</v>
      </c>
      <c r="K188" s="42">
        <v>21.7831544544017</v>
      </c>
      <c r="L188" s="42">
        <v>4.8124934106483885E-2</v>
      </c>
    </row>
    <row r="189" spans="1:12" x14ac:dyDescent="0.2">
      <c r="A189" s="41" t="s">
        <v>13</v>
      </c>
      <c r="B189" s="41">
        <v>2</v>
      </c>
      <c r="C189" s="41">
        <v>21.452677912493463</v>
      </c>
      <c r="D189" s="41">
        <v>0</v>
      </c>
      <c r="E189" s="41">
        <v>4.32</v>
      </c>
      <c r="F189" s="41">
        <v>2</v>
      </c>
      <c r="G189" s="41"/>
      <c r="H189" s="41">
        <v>0</v>
      </c>
      <c r="I189" s="41">
        <v>0.22751871375856444</v>
      </c>
      <c r="J189" s="41">
        <v>-10.82076963626781</v>
      </c>
      <c r="K189" s="41">
        <v>36.737424354243565</v>
      </c>
      <c r="L189" s="41">
        <v>-0.80065313653136561</v>
      </c>
    </row>
    <row r="190" spans="1:12" x14ac:dyDescent="0.2">
      <c r="A190" s="42" t="s">
        <v>20</v>
      </c>
      <c r="B190" s="42">
        <v>2</v>
      </c>
      <c r="C190" s="42">
        <v>15.430051566265048</v>
      </c>
      <c r="D190" s="42">
        <v>0</v>
      </c>
      <c r="E190" s="42">
        <v>18.3</v>
      </c>
      <c r="F190" s="45">
        <v>4</v>
      </c>
      <c r="G190" s="42"/>
      <c r="H190" s="42">
        <v>0</v>
      </c>
      <c r="I190" s="42">
        <v>0.20920626506023976</v>
      </c>
      <c r="J190" s="42">
        <v>-0.68183132530120416</v>
      </c>
      <c r="K190" s="42">
        <v>17.440591325301202</v>
      </c>
      <c r="L190" s="42">
        <v>0.66771132530120503</v>
      </c>
    </row>
    <row r="191" spans="1:12" x14ac:dyDescent="0.2">
      <c r="A191" s="41" t="s">
        <v>20</v>
      </c>
      <c r="B191" s="41">
        <v>2</v>
      </c>
      <c r="C191" s="41">
        <v>18.067065542168621</v>
      </c>
      <c r="D191" s="41">
        <v>3</v>
      </c>
      <c r="E191" s="41">
        <v>18.53</v>
      </c>
      <c r="F191" s="43">
        <v>4</v>
      </c>
      <c r="G191" s="41"/>
      <c r="H191" s="41">
        <v>7.5286746987951831E-3</v>
      </c>
      <c r="I191" s="41">
        <v>0.14606698795180775</v>
      </c>
      <c r="J191" s="41">
        <v>9.7831325301205488E-2</v>
      </c>
      <c r="K191" s="41">
        <v>0</v>
      </c>
      <c r="L191" s="41">
        <v>0.32410746987951833</v>
      </c>
    </row>
    <row r="192" spans="1:12" x14ac:dyDescent="0.2">
      <c r="A192" s="42" t="s">
        <v>20</v>
      </c>
      <c r="B192" s="42">
        <v>2</v>
      </c>
      <c r="C192" s="42">
        <v>23.639258313252959</v>
      </c>
      <c r="D192" s="42">
        <v>0</v>
      </c>
      <c r="E192" s="42">
        <v>5.35</v>
      </c>
      <c r="F192" s="44">
        <v>3</v>
      </c>
      <c r="G192" s="42"/>
      <c r="H192" s="42">
        <v>0</v>
      </c>
      <c r="I192" s="42">
        <v>0.20390650602409602</v>
      </c>
      <c r="J192" s="42">
        <v>-9.2773975903613941</v>
      </c>
      <c r="K192" s="42">
        <v>2.975797108433734</v>
      </c>
      <c r="L192" s="42">
        <v>-0.27295084337349368</v>
      </c>
    </row>
    <row r="193" spans="1:12" x14ac:dyDescent="0.2">
      <c r="A193" s="41" t="s">
        <v>20</v>
      </c>
      <c r="B193" s="41">
        <v>2</v>
      </c>
      <c r="C193" s="41">
        <v>24.686160963855436</v>
      </c>
      <c r="D193" s="41">
        <v>2</v>
      </c>
      <c r="E193" s="41">
        <v>15.63</v>
      </c>
      <c r="F193" s="43">
        <v>3</v>
      </c>
      <c r="G193" s="41"/>
      <c r="H193" s="41">
        <v>0</v>
      </c>
      <c r="I193" s="41">
        <v>0.21801156626505869</v>
      </c>
      <c r="J193" s="41">
        <v>8.3421686746987994E-2</v>
      </c>
      <c r="K193" s="41">
        <v>26.476152289156623</v>
      </c>
      <c r="L193" s="41">
        <v>0.13070891566265072</v>
      </c>
    </row>
    <row r="194" spans="1:12" x14ac:dyDescent="0.2">
      <c r="A194" s="42" t="s">
        <v>20</v>
      </c>
      <c r="B194" s="42">
        <v>2</v>
      </c>
      <c r="C194" s="42">
        <v>18.604495903614431</v>
      </c>
      <c r="D194" s="42">
        <v>0</v>
      </c>
      <c r="E194" s="42">
        <v>4.1399999999999997</v>
      </c>
      <c r="F194" s="44">
        <v>2</v>
      </c>
      <c r="G194" s="42"/>
      <c r="H194" s="42">
        <v>6.2891566265060254E-4</v>
      </c>
      <c r="I194" s="42">
        <v>9.0780240963854342E-2</v>
      </c>
      <c r="J194" s="42">
        <v>-9.6091566265060262</v>
      </c>
      <c r="K194" s="42">
        <v>107.04873927710847</v>
      </c>
      <c r="L194" s="42">
        <v>-0.31998361445783119</v>
      </c>
    </row>
    <row r="195" spans="1:12" x14ac:dyDescent="0.2">
      <c r="A195" s="41" t="s">
        <v>20</v>
      </c>
      <c r="B195" s="41">
        <v>2</v>
      </c>
      <c r="C195" s="41">
        <v>20.167737831325283</v>
      </c>
      <c r="D195" s="41">
        <v>0</v>
      </c>
      <c r="E195" s="41">
        <v>3.09</v>
      </c>
      <c r="F195" s="41">
        <v>2</v>
      </c>
      <c r="G195" s="41"/>
      <c r="H195" s="41">
        <v>0</v>
      </c>
      <c r="I195" s="41">
        <v>0.13133542168674697</v>
      </c>
      <c r="J195" s="41">
        <v>5.2722891566265195E-2</v>
      </c>
      <c r="K195" s="41">
        <v>0</v>
      </c>
      <c r="L195" s="41">
        <v>0.10198216867469882</v>
      </c>
    </row>
    <row r="196" spans="1:12" x14ac:dyDescent="0.2">
      <c r="A196" s="42" t="s">
        <v>22</v>
      </c>
      <c r="B196" s="42">
        <v>2</v>
      </c>
      <c r="C196" s="42">
        <v>15.994008849557513</v>
      </c>
      <c r="D196" s="42">
        <v>0</v>
      </c>
      <c r="E196" s="42">
        <v>3.04</v>
      </c>
      <c r="F196" s="45">
        <v>4</v>
      </c>
      <c r="G196" s="42"/>
      <c r="H196" s="42">
        <v>0</v>
      </c>
      <c r="I196" s="42">
        <v>0.22343805309734466</v>
      </c>
      <c r="J196" s="42">
        <v>-0.43279867256637111</v>
      </c>
      <c r="K196" s="42">
        <v>25.735555309734508</v>
      </c>
      <c r="L196" s="42">
        <v>0.34684292035398123</v>
      </c>
    </row>
    <row r="197" spans="1:12" x14ac:dyDescent="0.2">
      <c r="A197" s="41" t="s">
        <v>22</v>
      </c>
      <c r="B197" s="41">
        <v>2</v>
      </c>
      <c r="C197" s="41">
        <v>21.409877765486705</v>
      </c>
      <c r="D197" s="41">
        <v>1</v>
      </c>
      <c r="E197" s="41">
        <v>9.09</v>
      </c>
      <c r="F197" s="43">
        <v>4</v>
      </c>
      <c r="G197" s="41"/>
      <c r="H197" s="41">
        <v>0</v>
      </c>
      <c r="I197" s="41">
        <v>0.17061504424778515</v>
      </c>
      <c r="J197" s="41">
        <v>-4.2311946902654794E-2</v>
      </c>
      <c r="K197" s="41">
        <v>0</v>
      </c>
      <c r="L197" s="41">
        <v>-5.9587942477875716E-2</v>
      </c>
    </row>
    <row r="198" spans="1:12" x14ac:dyDescent="0.2">
      <c r="A198" s="42" t="s">
        <v>22</v>
      </c>
      <c r="B198" s="42">
        <v>2</v>
      </c>
      <c r="C198" s="42">
        <v>19.523138827433623</v>
      </c>
      <c r="D198" s="42">
        <v>0</v>
      </c>
      <c r="E198" s="42">
        <v>3.55</v>
      </c>
      <c r="F198" s="44">
        <v>3</v>
      </c>
      <c r="G198" s="42"/>
      <c r="H198" s="42">
        <v>0</v>
      </c>
      <c r="I198" s="42">
        <v>0.14620298672566293</v>
      </c>
      <c r="J198" s="42">
        <v>-10.500000000000039</v>
      </c>
      <c r="K198" s="42">
        <v>0</v>
      </c>
      <c r="L198" s="42">
        <v>-0.26937665929203569</v>
      </c>
    </row>
    <row r="199" spans="1:12" x14ac:dyDescent="0.2">
      <c r="A199" s="41" t="s">
        <v>22</v>
      </c>
      <c r="B199" s="41">
        <v>2</v>
      </c>
      <c r="C199" s="41">
        <v>23.688831305309741</v>
      </c>
      <c r="D199" s="41">
        <v>0</v>
      </c>
      <c r="E199" s="41">
        <v>4.1399999999999997</v>
      </c>
      <c r="F199" s="43">
        <v>3</v>
      </c>
      <c r="G199" s="41"/>
      <c r="H199" s="41">
        <v>0</v>
      </c>
      <c r="I199" s="41">
        <v>0.24657356194690422</v>
      </c>
      <c r="J199" s="41">
        <v>-8.2300884955752884E-2</v>
      </c>
      <c r="K199" s="41">
        <v>0</v>
      </c>
      <c r="L199" s="41">
        <v>-0.27158241150442475</v>
      </c>
    </row>
    <row r="200" spans="1:12" x14ac:dyDescent="0.2">
      <c r="A200" s="42" t="s">
        <v>22</v>
      </c>
      <c r="B200" s="42">
        <v>2</v>
      </c>
      <c r="C200" s="42">
        <v>25.565670907079664</v>
      </c>
      <c r="D200" s="42">
        <v>0</v>
      </c>
      <c r="E200" s="42">
        <v>3.6</v>
      </c>
      <c r="F200" s="44">
        <v>2</v>
      </c>
      <c r="G200" s="42"/>
      <c r="H200" s="42">
        <v>0</v>
      </c>
      <c r="I200" s="42">
        <v>0.22928097345132642</v>
      </c>
      <c r="J200" s="42">
        <v>-6.9200774336282995</v>
      </c>
      <c r="K200" s="42">
        <v>0</v>
      </c>
      <c r="L200" s="42">
        <v>-5.1699115044247602E-2</v>
      </c>
    </row>
    <row r="201" spans="1:12" x14ac:dyDescent="0.2">
      <c r="A201" s="41" t="s">
        <v>22</v>
      </c>
      <c r="B201" s="41">
        <v>2</v>
      </c>
      <c r="C201" s="41">
        <v>27.82659845132736</v>
      </c>
      <c r="D201" s="41">
        <v>0</v>
      </c>
      <c r="E201" s="41">
        <v>1.78</v>
      </c>
      <c r="F201" s="41">
        <v>2</v>
      </c>
      <c r="G201" s="41"/>
      <c r="H201" s="41">
        <v>0</v>
      </c>
      <c r="I201" s="41">
        <v>0.29848506637168254</v>
      </c>
      <c r="J201" s="41">
        <v>-3.8657632743362811</v>
      </c>
      <c r="K201" s="41">
        <v>25.087951327433622</v>
      </c>
      <c r="L201" s="41">
        <v>-0.34136559734513289</v>
      </c>
    </row>
    <row r="202" spans="1:12" x14ac:dyDescent="0.2">
      <c r="A202" s="42" t="s">
        <v>23</v>
      </c>
      <c r="B202" s="42">
        <v>2</v>
      </c>
      <c r="C202" s="42">
        <v>19.933105840846732</v>
      </c>
      <c r="D202" s="42">
        <v>0</v>
      </c>
      <c r="E202" s="42">
        <v>8.0500000000000007</v>
      </c>
      <c r="F202" s="45">
        <v>4</v>
      </c>
      <c r="G202" s="42"/>
      <c r="H202" s="42">
        <v>0</v>
      </c>
      <c r="I202" s="42">
        <v>0.26322148177185128</v>
      </c>
      <c r="J202" s="42">
        <v>0.34982359858878953</v>
      </c>
      <c r="K202" s="42">
        <v>26.721153273226189</v>
      </c>
      <c r="L202" s="42">
        <v>0.23525362602900701</v>
      </c>
    </row>
    <row r="203" spans="1:12" x14ac:dyDescent="0.2">
      <c r="A203" s="41" t="s">
        <v>23</v>
      </c>
      <c r="B203" s="41">
        <v>2</v>
      </c>
      <c r="C203" s="41">
        <v>27.225206193649527</v>
      </c>
      <c r="D203" s="41">
        <v>0</v>
      </c>
      <c r="E203" s="41">
        <v>3.79</v>
      </c>
      <c r="F203" s="43">
        <v>4</v>
      </c>
      <c r="G203" s="41"/>
      <c r="H203" s="41">
        <v>0</v>
      </c>
      <c r="I203" s="41">
        <v>0.27621364170913382</v>
      </c>
      <c r="J203" s="41">
        <v>-7.702626421011403</v>
      </c>
      <c r="K203" s="41">
        <v>0</v>
      </c>
      <c r="L203" s="41">
        <v>-4.984868678949423E-2</v>
      </c>
    </row>
    <row r="204" spans="1:12" x14ac:dyDescent="0.2">
      <c r="A204" s="42" t="s">
        <v>23</v>
      </c>
      <c r="B204" s="42">
        <v>2</v>
      </c>
      <c r="C204" s="42">
        <v>29.883654645237183</v>
      </c>
      <c r="D204" s="42">
        <v>0</v>
      </c>
      <c r="E204" s="42">
        <v>3.85</v>
      </c>
      <c r="F204" s="44">
        <v>3</v>
      </c>
      <c r="G204" s="42"/>
      <c r="H204" s="42">
        <v>0</v>
      </c>
      <c r="I204" s="42">
        <v>0.30622971383771092</v>
      </c>
      <c r="J204" s="42">
        <v>-6.8502156017248099</v>
      </c>
      <c r="K204" s="42">
        <v>36.791608780870227</v>
      </c>
      <c r="L204" s="42">
        <v>0.20424068992551983</v>
      </c>
    </row>
    <row r="205" spans="1:12" x14ac:dyDescent="0.2">
      <c r="A205" s="41" t="s">
        <v>23</v>
      </c>
      <c r="B205" s="41">
        <v>2</v>
      </c>
      <c r="C205" s="41">
        <v>30.349644845158814</v>
      </c>
      <c r="D205" s="41">
        <v>1</v>
      </c>
      <c r="E205" s="41">
        <v>4.7</v>
      </c>
      <c r="F205" s="43">
        <v>3</v>
      </c>
      <c r="G205" s="41"/>
      <c r="H205" s="41">
        <v>0</v>
      </c>
      <c r="I205" s="41">
        <v>0.29343551548412183</v>
      </c>
      <c r="J205" s="41">
        <v>-1.5155233241865953</v>
      </c>
      <c r="K205" s="41">
        <v>98.428974519796213</v>
      </c>
      <c r="L205" s="41">
        <v>-3.5732653861230868E-2</v>
      </c>
    </row>
    <row r="206" spans="1:12" x14ac:dyDescent="0.2">
      <c r="A206" s="42" t="s">
        <v>23</v>
      </c>
      <c r="B206" s="42">
        <v>2</v>
      </c>
      <c r="C206" s="42">
        <v>30.212862406899525</v>
      </c>
      <c r="D206" s="42">
        <v>0</v>
      </c>
      <c r="E206" s="42">
        <v>3.03</v>
      </c>
      <c r="F206" s="44">
        <v>2</v>
      </c>
      <c r="G206" s="42"/>
      <c r="H206" s="42">
        <v>0</v>
      </c>
      <c r="I206" s="42">
        <v>0.29945433163465618</v>
      </c>
      <c r="J206" s="42">
        <v>-8.3555076440612268</v>
      </c>
      <c r="K206" s="42">
        <v>39.535020384163055</v>
      </c>
      <c r="L206" s="42">
        <v>-3.064994119952957E-2</v>
      </c>
    </row>
    <row r="207" spans="1:12" x14ac:dyDescent="0.2">
      <c r="A207" s="41" t="s">
        <v>23</v>
      </c>
      <c r="B207" s="41">
        <v>2</v>
      </c>
      <c r="C207" s="41">
        <v>27.665030576244611</v>
      </c>
      <c r="D207" s="41">
        <v>2</v>
      </c>
      <c r="E207" s="41">
        <v>6.34</v>
      </c>
      <c r="F207" s="41">
        <v>2</v>
      </c>
      <c r="G207" s="41"/>
      <c r="H207" s="41">
        <v>6.3354370834966561E-2</v>
      </c>
      <c r="I207" s="41">
        <v>0.31743159545276239</v>
      </c>
      <c r="J207" s="41">
        <v>-8.392042336338692</v>
      </c>
      <c r="K207" s="41">
        <v>0</v>
      </c>
      <c r="L207" s="41">
        <v>-8.5713053704429651E-2</v>
      </c>
    </row>
    <row r="208" spans="1:12" x14ac:dyDescent="0.2">
      <c r="A208" s="42" t="s">
        <v>24</v>
      </c>
      <c r="B208" s="42">
        <v>2</v>
      </c>
      <c r="C208" s="42">
        <v>15.992269357495891</v>
      </c>
      <c r="D208" s="42">
        <v>0</v>
      </c>
      <c r="E208" s="42">
        <v>4.43</v>
      </c>
      <c r="F208" s="45">
        <v>4</v>
      </c>
      <c r="G208" s="42"/>
      <c r="H208" s="42">
        <v>4.6945222405271728E-2</v>
      </c>
      <c r="I208" s="42">
        <v>0.170506589785833</v>
      </c>
      <c r="J208" s="42">
        <v>-1.4360790774299863</v>
      </c>
      <c r="K208" s="42">
        <v>14.139497940691921</v>
      </c>
      <c r="L208" s="42">
        <v>0.4063381383855027</v>
      </c>
    </row>
    <row r="209" spans="1:12" x14ac:dyDescent="0.2">
      <c r="A209" s="41" t="s">
        <v>24</v>
      </c>
      <c r="B209" s="41">
        <v>2</v>
      </c>
      <c r="C209" s="41">
        <v>19.168800658978519</v>
      </c>
      <c r="D209" s="41">
        <v>0</v>
      </c>
      <c r="E209" s="41">
        <v>5.33</v>
      </c>
      <c r="F209" s="43">
        <v>4</v>
      </c>
      <c r="G209" s="41"/>
      <c r="H209" s="41">
        <v>0</v>
      </c>
      <c r="I209" s="41">
        <v>0.15994810543657198</v>
      </c>
      <c r="J209" s="41">
        <v>-3.3569604612850106</v>
      </c>
      <c r="K209" s="41">
        <v>3.3291227347611203</v>
      </c>
      <c r="L209" s="41">
        <v>-5.7153212520592918E-2</v>
      </c>
    </row>
    <row r="210" spans="1:12" x14ac:dyDescent="0.2">
      <c r="A210" s="42" t="s">
        <v>24</v>
      </c>
      <c r="B210" s="42">
        <v>2</v>
      </c>
      <c r="C210" s="42">
        <v>21.825616556836916</v>
      </c>
      <c r="D210" s="42">
        <v>0</v>
      </c>
      <c r="E210" s="42">
        <v>3.01</v>
      </c>
      <c r="F210" s="44">
        <v>3</v>
      </c>
      <c r="G210" s="42"/>
      <c r="H210" s="42">
        <v>0</v>
      </c>
      <c r="I210" s="42">
        <v>0.20019398682042899</v>
      </c>
      <c r="J210" s="42">
        <v>-4.4156507413509098</v>
      </c>
      <c r="K210" s="42">
        <v>0</v>
      </c>
      <c r="L210" s="42">
        <v>-0.16583813838550274</v>
      </c>
    </row>
    <row r="211" spans="1:12" x14ac:dyDescent="0.2">
      <c r="A211" s="41" t="s">
        <v>24</v>
      </c>
      <c r="B211" s="41">
        <v>2</v>
      </c>
      <c r="C211" s="41">
        <v>22.301613673805658</v>
      </c>
      <c r="D211" s="41">
        <v>0</v>
      </c>
      <c r="E211" s="41">
        <v>4.8499999999999996</v>
      </c>
      <c r="F211" s="43">
        <v>3</v>
      </c>
      <c r="G211" s="41"/>
      <c r="H211" s="41">
        <v>0</v>
      </c>
      <c r="I211" s="41">
        <v>0.18955766062602972</v>
      </c>
      <c r="J211" s="41">
        <v>-5.6340609555189376</v>
      </c>
      <c r="K211" s="41">
        <v>32.521109555189433</v>
      </c>
      <c r="L211" s="41">
        <v>-4.5200576606260374E-2</v>
      </c>
    </row>
    <row r="212" spans="1:12" x14ac:dyDescent="0.2">
      <c r="A212" s="42" t="s">
        <v>24</v>
      </c>
      <c r="B212" s="42">
        <v>2</v>
      </c>
      <c r="C212" s="42">
        <v>21.699088550247147</v>
      </c>
      <c r="D212" s="42">
        <v>1</v>
      </c>
      <c r="E212" s="42">
        <v>8.02</v>
      </c>
      <c r="F212" s="44">
        <v>2</v>
      </c>
      <c r="G212" s="42"/>
      <c r="H212" s="42">
        <v>0</v>
      </c>
      <c r="I212" s="42">
        <v>0.1678200164744641</v>
      </c>
      <c r="J212" s="42">
        <v>-2.5752471169686935</v>
      </c>
      <c r="K212" s="42">
        <v>121.37443739703437</v>
      </c>
      <c r="L212" s="42">
        <v>-0.20670716639209244</v>
      </c>
    </row>
    <row r="213" spans="1:12" x14ac:dyDescent="0.2">
      <c r="A213" s="41" t="s">
        <v>24</v>
      </c>
      <c r="B213" s="41">
        <v>2</v>
      </c>
      <c r="C213" s="41">
        <v>22.166595963756148</v>
      </c>
      <c r="D213" s="41">
        <v>0</v>
      </c>
      <c r="E213" s="41">
        <v>2.92</v>
      </c>
      <c r="F213" s="41">
        <v>2</v>
      </c>
      <c r="G213" s="41"/>
      <c r="H213" s="41">
        <v>0</v>
      </c>
      <c r="I213" s="41">
        <v>0.18076235584843589</v>
      </c>
      <c r="J213" s="41">
        <v>-4.8994233937397107</v>
      </c>
      <c r="K213" s="41">
        <v>0.9717557660626025</v>
      </c>
      <c r="L213" s="41">
        <v>3.2667215815486018E-2</v>
      </c>
    </row>
    <row r="214" spans="1:12" x14ac:dyDescent="0.2">
      <c r="A214" s="42" t="s">
        <v>25</v>
      </c>
      <c r="B214" s="42">
        <v>2</v>
      </c>
      <c r="C214" s="42">
        <v>11.397116673084321</v>
      </c>
      <c r="D214" s="42">
        <v>0</v>
      </c>
      <c r="E214" s="42">
        <v>4.46</v>
      </c>
      <c r="F214" s="45">
        <v>4</v>
      </c>
      <c r="G214" s="42"/>
      <c r="H214" s="42">
        <v>1.1551790527531768E-6</v>
      </c>
      <c r="I214" s="42">
        <v>0.13852791682710788</v>
      </c>
      <c r="J214" s="42">
        <v>-0.53296110897189042</v>
      </c>
      <c r="K214" s="42">
        <v>13.219548710050057</v>
      </c>
      <c r="L214" s="42">
        <v>0.68178090103966349</v>
      </c>
    </row>
    <row r="215" spans="1:12" x14ac:dyDescent="0.2">
      <c r="A215" s="41" t="s">
        <v>25</v>
      </c>
      <c r="B215" s="41">
        <v>2</v>
      </c>
      <c r="C215" s="41">
        <v>23.394082787832112</v>
      </c>
      <c r="D215" s="41">
        <v>0</v>
      </c>
      <c r="E215" s="41">
        <v>6.31</v>
      </c>
      <c r="F215" s="43">
        <v>4</v>
      </c>
      <c r="G215" s="41"/>
      <c r="H215" s="41">
        <v>0</v>
      </c>
      <c r="I215" s="41">
        <v>0.23117096649980629</v>
      </c>
      <c r="J215" s="41">
        <v>-4.8642664613015008</v>
      </c>
      <c r="K215" s="41">
        <v>0</v>
      </c>
      <c r="L215" s="41">
        <v>0.28345128994994173</v>
      </c>
    </row>
    <row r="216" spans="1:12" x14ac:dyDescent="0.2">
      <c r="A216" s="42" t="s">
        <v>25</v>
      </c>
      <c r="B216" s="42">
        <v>2</v>
      </c>
      <c r="C216" s="42">
        <v>26.535988448209494</v>
      </c>
      <c r="D216" s="42">
        <v>0</v>
      </c>
      <c r="E216" s="42">
        <v>3.6</v>
      </c>
      <c r="F216" s="44">
        <v>3</v>
      </c>
      <c r="G216" s="42"/>
      <c r="H216" s="42">
        <v>0</v>
      </c>
      <c r="I216" s="42">
        <v>0.25641932999614758</v>
      </c>
      <c r="J216" s="42">
        <v>-2.4956488255679536</v>
      </c>
      <c r="K216" s="42">
        <v>0</v>
      </c>
      <c r="L216" s="42">
        <v>-1.9850211782826154E-2</v>
      </c>
    </row>
    <row r="217" spans="1:12" x14ac:dyDescent="0.2">
      <c r="A217" s="41" t="s">
        <v>25</v>
      </c>
      <c r="B217" s="41">
        <v>2</v>
      </c>
      <c r="C217" s="41">
        <v>25.051827878321159</v>
      </c>
      <c r="D217" s="41">
        <v>1</v>
      </c>
      <c r="E217" s="41">
        <v>8.1300000000000008</v>
      </c>
      <c r="F217" s="43">
        <v>3</v>
      </c>
      <c r="G217" s="41"/>
      <c r="H217" s="41">
        <v>0</v>
      </c>
      <c r="I217" s="41">
        <v>0.21901193685021336</v>
      </c>
      <c r="J217" s="41">
        <v>-7.4490180978051814</v>
      </c>
      <c r="K217" s="41">
        <v>75.462857142857118</v>
      </c>
      <c r="L217" s="41">
        <v>-5.1649980747015607E-2</v>
      </c>
    </row>
    <row r="218" spans="1:12" x14ac:dyDescent="0.2">
      <c r="A218" s="42" t="s">
        <v>25</v>
      </c>
      <c r="B218" s="42">
        <v>2</v>
      </c>
      <c r="C218" s="42">
        <v>27.485547169811259</v>
      </c>
      <c r="D218" s="42">
        <v>1</v>
      </c>
      <c r="E218" s="42">
        <v>6.08</v>
      </c>
      <c r="F218" s="44">
        <v>2</v>
      </c>
      <c r="G218" s="42"/>
      <c r="H218" s="42">
        <v>0</v>
      </c>
      <c r="I218" s="42">
        <v>0.20461301501732729</v>
      </c>
      <c r="J218" s="42">
        <v>-5.1814786291875174</v>
      </c>
      <c r="K218" s="42">
        <v>19.991112437427809</v>
      </c>
      <c r="L218" s="42">
        <v>2.58144012321916E-2</v>
      </c>
    </row>
    <row r="219" spans="1:12" x14ac:dyDescent="0.2">
      <c r="A219" s="41" t="s">
        <v>25</v>
      </c>
      <c r="B219" s="41">
        <v>2</v>
      </c>
      <c r="C219" s="41">
        <v>27.045571813631167</v>
      </c>
      <c r="D219" s="41">
        <v>0</v>
      </c>
      <c r="E219" s="41">
        <v>5.17</v>
      </c>
      <c r="F219" s="41">
        <v>2</v>
      </c>
      <c r="G219" s="41"/>
      <c r="H219" s="41">
        <v>3.2033885252214102E-2</v>
      </c>
      <c r="I219" s="41">
        <v>0.29301694262610595</v>
      </c>
      <c r="J219" s="41">
        <v>-1.3725067385444714</v>
      </c>
      <c r="K219" s="41">
        <v>10.350082402772427</v>
      </c>
      <c r="L219" s="41">
        <v>-0.14599576434347331</v>
      </c>
    </row>
    <row r="220" spans="1:12" x14ac:dyDescent="0.2">
      <c r="A220" s="42" t="s">
        <v>26</v>
      </c>
      <c r="B220" s="42">
        <v>2</v>
      </c>
      <c r="C220" s="42">
        <v>21.317959030837006</v>
      </c>
      <c r="D220" s="42">
        <v>0</v>
      </c>
      <c r="E220" s="42">
        <v>3.28</v>
      </c>
      <c r="F220" s="45">
        <v>4</v>
      </c>
      <c r="G220" s="42"/>
      <c r="H220" s="42">
        <v>0</v>
      </c>
      <c r="I220" s="42">
        <v>0.37450704845815164</v>
      </c>
      <c r="J220" s="42">
        <v>-1.5373127753303937</v>
      </c>
      <c r="K220" s="42">
        <v>15.740704845814975</v>
      </c>
      <c r="L220" s="42">
        <v>0.93881233480176418</v>
      </c>
    </row>
    <row r="221" spans="1:12" x14ac:dyDescent="0.2">
      <c r="A221" s="41" t="s">
        <v>26</v>
      </c>
      <c r="B221" s="41">
        <v>2</v>
      </c>
      <c r="C221" s="41">
        <v>27.027283259911879</v>
      </c>
      <c r="D221" s="41">
        <v>1</v>
      </c>
      <c r="E221" s="41">
        <v>10.46</v>
      </c>
      <c r="F221" s="43">
        <v>4</v>
      </c>
      <c r="G221" s="41"/>
      <c r="H221" s="41">
        <v>6.7427312775330461E-3</v>
      </c>
      <c r="I221" s="41">
        <v>0.18702555066079177</v>
      </c>
      <c r="J221" s="41">
        <v>-7.8757709251101158</v>
      </c>
      <c r="K221" s="41">
        <v>0</v>
      </c>
      <c r="L221" s="41">
        <v>0.83082951541850203</v>
      </c>
    </row>
    <row r="222" spans="1:12" x14ac:dyDescent="0.2">
      <c r="A222" s="42" t="s">
        <v>26</v>
      </c>
      <c r="B222" s="42">
        <v>2</v>
      </c>
      <c r="C222" s="42">
        <v>22.604150220264327</v>
      </c>
      <c r="D222" s="42">
        <v>0</v>
      </c>
      <c r="E222" s="42">
        <v>3.8</v>
      </c>
      <c r="F222" s="44">
        <v>3</v>
      </c>
      <c r="G222" s="42"/>
      <c r="H222" s="42">
        <v>0</v>
      </c>
      <c r="I222" s="42">
        <v>0.23164008810572737</v>
      </c>
      <c r="J222" s="42">
        <v>-0.45246696035242134</v>
      </c>
      <c r="K222" s="42">
        <v>0</v>
      </c>
      <c r="L222" s="42">
        <v>0.64873480176211362</v>
      </c>
    </row>
    <row r="223" spans="1:12" x14ac:dyDescent="0.2">
      <c r="A223" s="41" t="s">
        <v>26</v>
      </c>
      <c r="B223" s="41">
        <v>2</v>
      </c>
      <c r="C223" s="41">
        <v>21.866848017621127</v>
      </c>
      <c r="D223" s="41">
        <v>1</v>
      </c>
      <c r="E223" s="41">
        <v>6.43</v>
      </c>
      <c r="F223" s="43">
        <v>3</v>
      </c>
      <c r="G223" s="41"/>
      <c r="H223" s="41">
        <v>0</v>
      </c>
      <c r="I223" s="41">
        <v>0.20689691629955986</v>
      </c>
      <c r="J223" s="41">
        <v>-8.5306167400881066</v>
      </c>
      <c r="K223" s="41">
        <v>22.425866079295162</v>
      </c>
      <c r="L223" s="41">
        <v>0.92045110132158747</v>
      </c>
    </row>
    <row r="224" spans="1:12" x14ac:dyDescent="0.2">
      <c r="A224" s="42" t="s">
        <v>26</v>
      </c>
      <c r="B224" s="42">
        <v>2</v>
      </c>
      <c r="C224" s="42">
        <v>23.848130837004394</v>
      </c>
      <c r="D224" s="42">
        <v>2</v>
      </c>
      <c r="E224" s="42">
        <v>9.5</v>
      </c>
      <c r="F224" s="44">
        <v>2</v>
      </c>
      <c r="G224" s="42"/>
      <c r="H224" s="42">
        <v>0</v>
      </c>
      <c r="I224" s="42">
        <v>0.22036519823788586</v>
      </c>
      <c r="J224" s="42">
        <v>-0.21453744493392127</v>
      </c>
      <c r="K224" s="42">
        <v>0</v>
      </c>
      <c r="L224" s="42">
        <v>0.54748502202643134</v>
      </c>
    </row>
    <row r="225" spans="1:12" x14ac:dyDescent="0.2">
      <c r="A225" s="41" t="s">
        <v>26</v>
      </c>
      <c r="B225" s="41">
        <v>2</v>
      </c>
      <c r="C225" s="41">
        <v>20.090640088105708</v>
      </c>
      <c r="D225" s="41">
        <v>2</v>
      </c>
      <c r="E225" s="41">
        <v>13.58</v>
      </c>
      <c r="F225" s="41">
        <v>2</v>
      </c>
      <c r="G225" s="41"/>
      <c r="H225" s="41">
        <v>0</v>
      </c>
      <c r="I225" s="41">
        <v>0.13711674008810604</v>
      </c>
      <c r="J225" s="41">
        <v>-8.7307048458149623</v>
      </c>
      <c r="K225" s="41">
        <v>22.698274008810589</v>
      </c>
      <c r="L225" s="41">
        <v>0.26754096916299525</v>
      </c>
    </row>
    <row r="226" spans="1:12" x14ac:dyDescent="0.2">
      <c r="A226" s="42" t="s">
        <v>27</v>
      </c>
      <c r="B226" s="42">
        <v>2</v>
      </c>
      <c r="C226" s="42">
        <v>17.236979999999988</v>
      </c>
      <c r="D226" s="42">
        <v>0</v>
      </c>
      <c r="E226" s="42">
        <v>6.78</v>
      </c>
      <c r="F226" s="45">
        <v>4</v>
      </c>
      <c r="G226" s="42"/>
      <c r="H226" s="42">
        <v>0</v>
      </c>
      <c r="I226" s="42">
        <v>0.22278238095238084</v>
      </c>
      <c r="J226" s="42">
        <v>-0.49076190476190751</v>
      </c>
      <c r="K226" s="42">
        <v>22.6847038095238</v>
      </c>
      <c r="L226" s="42">
        <v>0.16036666666666671</v>
      </c>
    </row>
    <row r="227" spans="1:12" x14ac:dyDescent="0.2">
      <c r="A227" s="41" t="s">
        <v>27</v>
      </c>
      <c r="B227" s="41">
        <v>2</v>
      </c>
      <c r="C227" s="41">
        <v>23.091540476190588</v>
      </c>
      <c r="D227" s="41">
        <v>0</v>
      </c>
      <c r="E227" s="41">
        <v>5.36</v>
      </c>
      <c r="F227" s="43">
        <v>4</v>
      </c>
      <c r="G227" s="41"/>
      <c r="H227" s="41">
        <v>0</v>
      </c>
      <c r="I227" s="41">
        <v>0.18504047619047526</v>
      </c>
      <c r="J227" s="41">
        <v>-3.7037619047619046</v>
      </c>
      <c r="K227" s="41">
        <v>0</v>
      </c>
      <c r="L227" s="41">
        <v>-0.61723999999999979</v>
      </c>
    </row>
    <row r="228" spans="1:12" x14ac:dyDescent="0.2">
      <c r="A228" s="42" t="s">
        <v>27</v>
      </c>
      <c r="B228" s="42">
        <v>2</v>
      </c>
      <c r="C228" s="42">
        <v>22.146053809523782</v>
      </c>
      <c r="D228" s="42">
        <v>1</v>
      </c>
      <c r="E228" s="42">
        <v>10.98</v>
      </c>
      <c r="F228" s="44">
        <v>3</v>
      </c>
      <c r="G228" s="42"/>
      <c r="H228" s="42">
        <v>0</v>
      </c>
      <c r="I228" s="42">
        <v>0.17624333333333367</v>
      </c>
      <c r="J228" s="42">
        <v>-5.1362380952380899</v>
      </c>
      <c r="K228" s="42">
        <v>0</v>
      </c>
      <c r="L228" s="42">
        <v>-0.55152238095238015</v>
      </c>
    </row>
    <row r="229" spans="1:12" x14ac:dyDescent="0.2">
      <c r="A229" s="41" t="s">
        <v>27</v>
      </c>
      <c r="B229" s="41">
        <v>2</v>
      </c>
      <c r="C229" s="41">
        <v>22.649106190476154</v>
      </c>
      <c r="D229" s="41">
        <v>0</v>
      </c>
      <c r="E229" s="41">
        <v>6.6</v>
      </c>
      <c r="F229" s="43">
        <v>3</v>
      </c>
      <c r="G229" s="41"/>
      <c r="H229" s="41">
        <v>0</v>
      </c>
      <c r="I229" s="41">
        <v>0.18945238095238182</v>
      </c>
      <c r="J229" s="41">
        <v>-0.82280952380952399</v>
      </c>
      <c r="K229" s="41">
        <v>0</v>
      </c>
      <c r="L229" s="41">
        <v>-0.49533095238095237</v>
      </c>
    </row>
    <row r="230" spans="1:12" x14ac:dyDescent="0.2">
      <c r="A230" s="42" t="s">
        <v>27</v>
      </c>
      <c r="B230" s="42">
        <v>2</v>
      </c>
      <c r="C230" s="42">
        <v>22.993639523809552</v>
      </c>
      <c r="D230" s="42">
        <v>1</v>
      </c>
      <c r="E230" s="42">
        <v>11.16</v>
      </c>
      <c r="F230" s="44">
        <v>2</v>
      </c>
      <c r="G230" s="42"/>
      <c r="H230" s="42">
        <v>0</v>
      </c>
      <c r="I230" s="42">
        <v>0.18177571428571165</v>
      </c>
      <c r="J230" s="42">
        <v>-8.6276190476190671</v>
      </c>
      <c r="K230" s="42">
        <v>0</v>
      </c>
      <c r="L230" s="42">
        <v>-0.76909666666666898</v>
      </c>
    </row>
    <row r="231" spans="1:12" x14ac:dyDescent="0.2">
      <c r="A231" s="41" t="s">
        <v>27</v>
      </c>
      <c r="B231" s="41">
        <v>2</v>
      </c>
      <c r="C231" s="41">
        <v>22.514301904761865</v>
      </c>
      <c r="D231" s="41">
        <v>0</v>
      </c>
      <c r="E231" s="41">
        <v>3.31</v>
      </c>
      <c r="F231" s="41">
        <v>2</v>
      </c>
      <c r="G231" s="41"/>
      <c r="H231" s="41">
        <v>0</v>
      </c>
      <c r="I231" s="41">
        <v>0.18500380952381296</v>
      </c>
      <c r="J231" s="41">
        <v>1.4476190476190452E-2</v>
      </c>
      <c r="K231" s="41">
        <v>0</v>
      </c>
      <c r="L231" s="41">
        <v>-0.51941714285714369</v>
      </c>
    </row>
    <row r="232" spans="1:12" x14ac:dyDescent="0.2">
      <c r="A232" s="42" t="s">
        <v>14</v>
      </c>
      <c r="B232" s="42">
        <v>2</v>
      </c>
      <c r="C232" s="42">
        <v>9.9008503937007806</v>
      </c>
      <c r="D232" s="42">
        <v>0</v>
      </c>
      <c r="E232" s="42">
        <v>9.69</v>
      </c>
      <c r="F232" s="45">
        <v>4</v>
      </c>
      <c r="G232" s="42"/>
      <c r="H232" s="42">
        <v>0.10394698162729647</v>
      </c>
      <c r="I232" s="42">
        <v>0.1626141732283459</v>
      </c>
      <c r="J232" s="42">
        <v>0.68661417322834351</v>
      </c>
      <c r="K232" s="42">
        <v>18.021495538057749</v>
      </c>
      <c r="L232" s="42">
        <v>0.32938005249343638</v>
      </c>
    </row>
    <row r="233" spans="1:12" x14ac:dyDescent="0.2">
      <c r="A233" s="41" t="s">
        <v>14</v>
      </c>
      <c r="B233" s="41">
        <v>2</v>
      </c>
      <c r="C233" s="41">
        <v>25.525191076115586</v>
      </c>
      <c r="D233" s="41">
        <v>0</v>
      </c>
      <c r="E233" s="41">
        <v>16.41</v>
      </c>
      <c r="F233" s="43">
        <v>4</v>
      </c>
      <c r="G233" s="41"/>
      <c r="H233" s="41">
        <v>0</v>
      </c>
      <c r="I233" s="41">
        <v>0.27200682414698008</v>
      </c>
      <c r="J233" s="41">
        <v>3.6272965879265075E-2</v>
      </c>
      <c r="K233" s="41">
        <v>0</v>
      </c>
      <c r="L233" s="41">
        <v>-0.21065931758530274</v>
      </c>
    </row>
    <row r="234" spans="1:12" x14ac:dyDescent="0.2">
      <c r="A234" s="42" t="s">
        <v>14</v>
      </c>
      <c r="B234" s="42">
        <v>2</v>
      </c>
      <c r="C234" s="42">
        <v>26.928525984251952</v>
      </c>
      <c r="D234" s="42">
        <v>0</v>
      </c>
      <c r="E234" s="42">
        <v>5.12</v>
      </c>
      <c r="F234" s="44">
        <v>3</v>
      </c>
      <c r="G234" s="42"/>
      <c r="H234" s="42">
        <v>0</v>
      </c>
      <c r="I234" s="42">
        <v>0.24199790026246626</v>
      </c>
      <c r="J234" s="42">
        <v>-9.980472440944876</v>
      </c>
      <c r="K234" s="42">
        <v>0</v>
      </c>
      <c r="L234" s="42">
        <v>3.2935433070866167E-2</v>
      </c>
    </row>
    <row r="235" spans="1:12" x14ac:dyDescent="0.2">
      <c r="A235" s="41" t="s">
        <v>14</v>
      </c>
      <c r="B235" s="41">
        <v>2</v>
      </c>
      <c r="C235" s="41">
        <v>27.767386351706101</v>
      </c>
      <c r="D235" s="41">
        <v>0</v>
      </c>
      <c r="E235" s="41">
        <v>4.78</v>
      </c>
      <c r="F235" s="43">
        <v>3</v>
      </c>
      <c r="G235" s="41"/>
      <c r="H235" s="41">
        <v>0</v>
      </c>
      <c r="I235" s="41">
        <v>0.24853910761155251</v>
      </c>
      <c r="J235" s="41">
        <v>9.5013123359579989E-3</v>
      </c>
      <c r="K235" s="41">
        <v>0</v>
      </c>
      <c r="L235" s="41">
        <v>-0.28080104986876681</v>
      </c>
    </row>
    <row r="236" spans="1:12" x14ac:dyDescent="0.2">
      <c r="A236" s="42" t="s">
        <v>14</v>
      </c>
      <c r="B236" s="42">
        <v>2</v>
      </c>
      <c r="C236" s="42">
        <v>26.093607349081378</v>
      </c>
      <c r="D236" s="42">
        <v>0</v>
      </c>
      <c r="E236" s="42">
        <v>2.37</v>
      </c>
      <c r="F236" s="44">
        <v>2</v>
      </c>
      <c r="G236" s="42"/>
      <c r="H236" s="42">
        <v>0</v>
      </c>
      <c r="I236" s="42">
        <v>0.20999160104986775</v>
      </c>
      <c r="J236" s="42">
        <v>-10.431233595800592</v>
      </c>
      <c r="K236" s="42">
        <v>12.055869816272974</v>
      </c>
      <c r="L236" s="42">
        <v>-1.248293963254588E-2</v>
      </c>
    </row>
    <row r="237" spans="1:12" x14ac:dyDescent="0.2">
      <c r="A237" s="41" t="s">
        <v>14</v>
      </c>
      <c r="B237" s="41">
        <v>2</v>
      </c>
      <c r="C237" s="41">
        <v>26.047402099737546</v>
      </c>
      <c r="D237" s="41">
        <v>0</v>
      </c>
      <c r="E237" s="41">
        <v>2.2799999999999998</v>
      </c>
      <c r="F237" s="41">
        <v>2</v>
      </c>
      <c r="G237" s="41"/>
      <c r="H237" s="41">
        <v>0</v>
      </c>
      <c r="I237" s="41">
        <v>0.19861417322834635</v>
      </c>
      <c r="J237" s="41">
        <v>3.5380577427821594E-2</v>
      </c>
      <c r="K237" s="41">
        <v>0</v>
      </c>
      <c r="L237" s="41">
        <v>-0.22980052493438388</v>
      </c>
    </row>
    <row r="238" spans="1:12" x14ac:dyDescent="0.2">
      <c r="A238" s="42" t="s">
        <v>12</v>
      </c>
      <c r="B238" s="42">
        <v>3</v>
      </c>
      <c r="C238" s="42">
        <v>15.287879999999996</v>
      </c>
      <c r="D238" s="42">
        <v>0</v>
      </c>
      <c r="E238" s="42">
        <v>4.7</v>
      </c>
      <c r="F238" s="45">
        <v>4</v>
      </c>
      <c r="G238" s="42"/>
      <c r="H238" s="42">
        <v>0</v>
      </c>
      <c r="I238" s="42">
        <v>0.18411999999999998</v>
      </c>
      <c r="J238" s="42">
        <v>0.25999999999999995</v>
      </c>
      <c r="K238" s="42">
        <v>0</v>
      </c>
      <c r="L238" s="42">
        <v>-0.29655999999999999</v>
      </c>
    </row>
    <row r="239" spans="1:12" x14ac:dyDescent="0.2">
      <c r="A239" s="41" t="s">
        <v>12</v>
      </c>
      <c r="B239" s="41">
        <v>3</v>
      </c>
      <c r="C239" s="41">
        <v>14.215839999999998</v>
      </c>
      <c r="D239" s="41">
        <v>0</v>
      </c>
      <c r="E239" s="41">
        <v>5.08</v>
      </c>
      <c r="F239" s="43">
        <v>4</v>
      </c>
      <c r="G239" s="41"/>
      <c r="H239" s="41">
        <v>2.1879999999999997E-2</v>
      </c>
      <c r="I239" s="41">
        <v>6.8879999999999997E-2</v>
      </c>
      <c r="J239" s="41">
        <v>8.0000000000000071E-3</v>
      </c>
      <c r="K239" s="41">
        <v>2.7257599999999997</v>
      </c>
      <c r="L239" s="41">
        <v>-0.37095999999999996</v>
      </c>
    </row>
    <row r="240" spans="1:12" x14ac:dyDescent="0.2">
      <c r="A240" s="42" t="s">
        <v>12</v>
      </c>
      <c r="B240" s="42">
        <v>3</v>
      </c>
      <c r="C240" s="42">
        <v>10.311120000000001</v>
      </c>
      <c r="D240" s="42">
        <v>0</v>
      </c>
      <c r="E240" s="42">
        <v>2.4700000000000002</v>
      </c>
      <c r="F240" s="44">
        <v>3</v>
      </c>
      <c r="G240" s="42"/>
      <c r="H240" s="42">
        <v>1.1160000000000002E-2</v>
      </c>
      <c r="I240" s="42">
        <v>0.15324000000000002</v>
      </c>
      <c r="J240" s="42">
        <v>-22.215999999999994</v>
      </c>
      <c r="K240" s="42">
        <v>39.287959999999991</v>
      </c>
      <c r="L240" s="42">
        <v>8.3040000000000017E-2</v>
      </c>
    </row>
    <row r="241" spans="1:12" x14ac:dyDescent="0.2">
      <c r="A241" s="41" t="s">
        <v>12</v>
      </c>
      <c r="B241" s="41">
        <v>3</v>
      </c>
      <c r="C241" s="41">
        <v>13.461159999999996</v>
      </c>
      <c r="D241" s="41">
        <v>0</v>
      </c>
      <c r="E241" s="41">
        <v>4.9400000000000004</v>
      </c>
      <c r="F241" s="43">
        <v>3</v>
      </c>
      <c r="G241" s="41"/>
      <c r="H241" s="41">
        <v>3.4159999999999996E-2</v>
      </c>
      <c r="I241" s="41">
        <v>0.11075999999999998</v>
      </c>
      <c r="J241" s="41">
        <v>-0.61599999999999999</v>
      </c>
      <c r="K241" s="41">
        <v>41.110799999999998</v>
      </c>
      <c r="L241" s="41">
        <v>-0.29840000000000005</v>
      </c>
    </row>
    <row r="242" spans="1:12" x14ac:dyDescent="0.2">
      <c r="A242" s="42" t="s">
        <v>12</v>
      </c>
      <c r="B242" s="42">
        <v>3</v>
      </c>
      <c r="C242" s="42">
        <v>16.849440000000001</v>
      </c>
      <c r="D242" s="42">
        <v>0</v>
      </c>
      <c r="E242" s="42">
        <v>2.0099999999999998</v>
      </c>
      <c r="F242" s="44">
        <v>2</v>
      </c>
      <c r="G242" s="42"/>
      <c r="H242" s="42">
        <v>2.7919999999999997E-2</v>
      </c>
      <c r="I242" s="42">
        <v>0.12288000000000002</v>
      </c>
      <c r="J242" s="42">
        <v>-13.448000000000002</v>
      </c>
      <c r="K242" s="42">
        <v>43.930640000000004</v>
      </c>
      <c r="L242" s="42">
        <v>-0.24263999999999991</v>
      </c>
    </row>
    <row r="243" spans="1:12" x14ac:dyDescent="0.2">
      <c r="A243" s="41" t="s">
        <v>12</v>
      </c>
      <c r="B243" s="41">
        <v>3</v>
      </c>
      <c r="C243" s="41">
        <v>11.605320000000001</v>
      </c>
      <c r="D243" s="41">
        <v>0</v>
      </c>
      <c r="E243" s="41">
        <v>1.91</v>
      </c>
      <c r="F243" s="41">
        <v>2</v>
      </c>
      <c r="G243" s="41"/>
      <c r="H243" s="41">
        <v>1.4199999999999999E-2</v>
      </c>
      <c r="I243" s="41">
        <v>0.19012000000000001</v>
      </c>
      <c r="J243" s="41">
        <v>-0.24399999999999991</v>
      </c>
      <c r="K243" s="41">
        <v>37.063879999999997</v>
      </c>
      <c r="L243" s="41">
        <v>-0.37056000000000006</v>
      </c>
    </row>
    <row r="244" spans="1:12" x14ac:dyDescent="0.2">
      <c r="A244" s="42" t="s">
        <v>13</v>
      </c>
      <c r="B244" s="42">
        <v>3</v>
      </c>
      <c r="C244" s="42">
        <v>14.510285714285718</v>
      </c>
      <c r="D244" s="42">
        <v>0</v>
      </c>
      <c r="E244" s="42">
        <v>9.17</v>
      </c>
      <c r="F244" s="45">
        <v>4</v>
      </c>
      <c r="G244" s="42"/>
      <c r="H244" s="42">
        <v>0</v>
      </c>
      <c r="I244" s="42">
        <v>0.15538095238095229</v>
      </c>
      <c r="J244" s="42">
        <v>0.78809523809523829</v>
      </c>
      <c r="K244" s="42">
        <v>0</v>
      </c>
      <c r="L244" s="42">
        <v>-0.498</v>
      </c>
    </row>
    <row r="245" spans="1:12" x14ac:dyDescent="0.2">
      <c r="A245" s="41" t="s">
        <v>13</v>
      </c>
      <c r="B245" s="41">
        <v>3</v>
      </c>
      <c r="C245" s="41">
        <v>9.2851904761904756</v>
      </c>
      <c r="D245" s="41">
        <v>1</v>
      </c>
      <c r="E245" s="41">
        <v>19.05</v>
      </c>
      <c r="F245" s="43">
        <v>4</v>
      </c>
      <c r="G245" s="41"/>
      <c r="H245" s="41">
        <v>2.754761904761905E-2</v>
      </c>
      <c r="I245" s="41">
        <v>8.7142857142857147E-2</v>
      </c>
      <c r="J245" s="41">
        <v>-17.94761904761905</v>
      </c>
      <c r="K245" s="41">
        <v>67.811833333333325</v>
      </c>
      <c r="L245" s="41">
        <v>-0.33959523809523817</v>
      </c>
    </row>
    <row r="246" spans="1:12" x14ac:dyDescent="0.2">
      <c r="A246" s="42" t="s">
        <v>13</v>
      </c>
      <c r="B246" s="42">
        <v>3</v>
      </c>
      <c r="C246" s="42">
        <v>17.020333333333337</v>
      </c>
      <c r="D246" s="42">
        <v>1</v>
      </c>
      <c r="E246" s="42">
        <v>12.54</v>
      </c>
      <c r="F246" s="44">
        <v>3</v>
      </c>
      <c r="G246" s="42"/>
      <c r="H246" s="42">
        <v>0</v>
      </c>
      <c r="I246" s="42">
        <v>0.12259523809523809</v>
      </c>
      <c r="J246" s="42">
        <v>-7.6738095238095259</v>
      </c>
      <c r="K246" s="42">
        <v>23.733452380952379</v>
      </c>
      <c r="L246" s="42">
        <v>-0.58885714285714286</v>
      </c>
    </row>
    <row r="247" spans="1:12" x14ac:dyDescent="0.2">
      <c r="A247" s="41" t="s">
        <v>13</v>
      </c>
      <c r="B247" s="41">
        <v>3</v>
      </c>
      <c r="C247" s="41">
        <v>13.760309523809523</v>
      </c>
      <c r="D247" s="41">
        <v>0</v>
      </c>
      <c r="E247" s="41">
        <v>3.33</v>
      </c>
      <c r="F247" s="43">
        <v>3</v>
      </c>
      <c r="G247" s="41"/>
      <c r="H247" s="41">
        <v>6.904761904761904E-3</v>
      </c>
      <c r="I247" s="41">
        <v>8.8357142857142856E-2</v>
      </c>
      <c r="J247" s="41">
        <v>-13.614285714285714</v>
      </c>
      <c r="K247" s="41">
        <v>0.14959523809523811</v>
      </c>
      <c r="L247" s="41">
        <v>-0.49633333333333335</v>
      </c>
    </row>
    <row r="248" spans="1:12" x14ac:dyDescent="0.2">
      <c r="A248" s="42" t="s">
        <v>13</v>
      </c>
      <c r="B248" s="42">
        <v>3</v>
      </c>
      <c r="C248" s="42">
        <v>11.091071428571428</v>
      </c>
      <c r="D248" s="42">
        <v>0</v>
      </c>
      <c r="E248" s="42">
        <v>4.87</v>
      </c>
      <c r="F248" s="44">
        <v>2</v>
      </c>
      <c r="G248" s="42"/>
      <c r="H248" s="42">
        <v>0.10042857142857142</v>
      </c>
      <c r="I248" s="42">
        <v>0.23564285714285715</v>
      </c>
      <c r="J248" s="42">
        <v>-17.459523809523809</v>
      </c>
      <c r="K248" s="42">
        <v>1.6979047619047618</v>
      </c>
      <c r="L248" s="42">
        <v>-0.36783333333333346</v>
      </c>
    </row>
    <row r="249" spans="1:12" x14ac:dyDescent="0.2">
      <c r="A249" s="41" t="s">
        <v>13</v>
      </c>
      <c r="B249" s="41">
        <v>3</v>
      </c>
      <c r="C249" s="41">
        <v>9.3389523809523816</v>
      </c>
      <c r="D249" s="41">
        <v>0</v>
      </c>
      <c r="E249" s="41">
        <v>3.85</v>
      </c>
      <c r="F249" s="41">
        <v>2</v>
      </c>
      <c r="G249" s="41"/>
      <c r="H249" s="41">
        <v>8.1928571428571434E-2</v>
      </c>
      <c r="I249" s="41">
        <v>0.1121190476190476</v>
      </c>
      <c r="J249" s="41">
        <v>-14.369047619047624</v>
      </c>
      <c r="K249" s="41">
        <v>0</v>
      </c>
      <c r="L249" s="41">
        <v>-0.48783333333333329</v>
      </c>
    </row>
    <row r="250" spans="1:12" x14ac:dyDescent="0.2">
      <c r="A250" s="42" t="s">
        <v>20</v>
      </c>
      <c r="B250" s="42">
        <v>3</v>
      </c>
      <c r="C250" s="42">
        <v>13.620303030303029</v>
      </c>
      <c r="D250" s="42">
        <v>0</v>
      </c>
      <c r="E250" s="42">
        <v>5.79</v>
      </c>
      <c r="F250" s="45">
        <v>4</v>
      </c>
      <c r="G250" s="42"/>
      <c r="H250" s="42">
        <v>0</v>
      </c>
      <c r="I250" s="42">
        <v>0.17369696969696977</v>
      </c>
      <c r="J250" s="42">
        <v>0.64242424242424234</v>
      </c>
      <c r="K250" s="42">
        <v>0</v>
      </c>
      <c r="L250" s="42">
        <v>0.58269696969696971</v>
      </c>
    </row>
    <row r="251" spans="1:12" x14ac:dyDescent="0.2">
      <c r="A251" s="41" t="s">
        <v>20</v>
      </c>
      <c r="B251" s="41">
        <v>3</v>
      </c>
      <c r="C251" s="41">
        <v>10.615484848484845</v>
      </c>
      <c r="D251" s="41">
        <v>2</v>
      </c>
      <c r="E251" s="41">
        <v>14.14</v>
      </c>
      <c r="F251" s="43">
        <v>4</v>
      </c>
      <c r="G251" s="41"/>
      <c r="H251" s="41">
        <v>4.8515151515151511E-2</v>
      </c>
      <c r="I251" s="41">
        <v>8.5454545454545464E-2</v>
      </c>
      <c r="J251" s="41">
        <v>-15.633333333333333</v>
      </c>
      <c r="K251" s="41">
        <v>20.092696969696973</v>
      </c>
      <c r="L251" s="41">
        <v>0.58530303030303021</v>
      </c>
    </row>
    <row r="252" spans="1:12" x14ac:dyDescent="0.2">
      <c r="A252" s="42" t="s">
        <v>20</v>
      </c>
      <c r="B252" s="42">
        <v>3</v>
      </c>
      <c r="C252" s="42">
        <v>14.20009090909091</v>
      </c>
      <c r="D252" s="42">
        <v>1</v>
      </c>
      <c r="E252" s="42">
        <v>8.86</v>
      </c>
      <c r="F252" s="44">
        <v>3</v>
      </c>
      <c r="G252" s="42"/>
      <c r="H252" s="42">
        <v>3.3636363636363631E-2</v>
      </c>
      <c r="I252" s="42">
        <v>0.14681818181818179</v>
      </c>
      <c r="J252" s="42">
        <v>0.74545454545454537</v>
      </c>
      <c r="K252" s="42">
        <v>0</v>
      </c>
      <c r="L252" s="42">
        <v>-0.16066666666666662</v>
      </c>
    </row>
    <row r="253" spans="1:12" x14ac:dyDescent="0.2">
      <c r="A253" s="41" t="s">
        <v>20</v>
      </c>
      <c r="B253" s="41">
        <v>3</v>
      </c>
      <c r="C253" s="41">
        <v>14.174454545454545</v>
      </c>
      <c r="D253" s="41">
        <v>0</v>
      </c>
      <c r="E253" s="41">
        <v>9.1199999999999992</v>
      </c>
      <c r="F253" s="43">
        <v>3</v>
      </c>
      <c r="G253" s="41"/>
      <c r="H253" s="41">
        <v>0</v>
      </c>
      <c r="I253" s="41">
        <v>0.15193939393939399</v>
      </c>
      <c r="J253" s="41">
        <v>-11.375757575757577</v>
      </c>
      <c r="K253" s="41">
        <v>64.069515151515148</v>
      </c>
      <c r="L253" s="41">
        <v>-0.27290909090909093</v>
      </c>
    </row>
    <row r="254" spans="1:12" x14ac:dyDescent="0.2">
      <c r="A254" s="42" t="s">
        <v>20</v>
      </c>
      <c r="B254" s="42">
        <v>3</v>
      </c>
      <c r="C254" s="42">
        <v>14.73881818181818</v>
      </c>
      <c r="D254" s="42">
        <v>1</v>
      </c>
      <c r="E254" s="42">
        <v>5.17</v>
      </c>
      <c r="F254" s="44">
        <v>2</v>
      </c>
      <c r="G254" s="42"/>
      <c r="H254" s="42">
        <v>3.1787878787878789E-2</v>
      </c>
      <c r="I254" s="42">
        <v>0.15624242424242424</v>
      </c>
      <c r="J254" s="42">
        <v>-1.0272727272727273</v>
      </c>
      <c r="K254" s="42">
        <v>55.175969696969702</v>
      </c>
      <c r="L254" s="42">
        <v>0.18554545454545454</v>
      </c>
    </row>
    <row r="255" spans="1:12" x14ac:dyDescent="0.2">
      <c r="A255" s="41" t="s">
        <v>20</v>
      </c>
      <c r="B255" s="41">
        <v>3</v>
      </c>
      <c r="C255" s="41">
        <v>7.6552121212121227</v>
      </c>
      <c r="D255" s="41">
        <v>0</v>
      </c>
      <c r="E255" s="41">
        <v>5.67</v>
      </c>
      <c r="F255" s="41">
        <v>2</v>
      </c>
      <c r="G255" s="41"/>
      <c r="H255" s="41">
        <v>5.2727272727272727E-2</v>
      </c>
      <c r="I255" s="41">
        <v>8.5242424242424245E-2</v>
      </c>
      <c r="J255" s="41">
        <v>-13.463636363636363</v>
      </c>
      <c r="K255" s="41">
        <v>85.761545454545455</v>
      </c>
      <c r="L255" s="41">
        <v>0.35363636363636342</v>
      </c>
    </row>
    <row r="256" spans="1:12" x14ac:dyDescent="0.2">
      <c r="A256" s="42" t="s">
        <v>22</v>
      </c>
      <c r="B256" s="42">
        <v>3</v>
      </c>
      <c r="C256" s="42">
        <v>16.035777777777778</v>
      </c>
      <c r="D256" s="42">
        <v>0</v>
      </c>
      <c r="E256" s="42">
        <v>3.98</v>
      </c>
      <c r="F256" s="45">
        <v>4</v>
      </c>
      <c r="G256" s="42"/>
      <c r="H256" s="42">
        <v>0</v>
      </c>
      <c r="I256" s="42">
        <v>0.27200000000000002</v>
      </c>
      <c r="J256" s="42">
        <v>-1.8518518518518504E-2</v>
      </c>
      <c r="K256" s="42">
        <v>0</v>
      </c>
      <c r="L256" s="42">
        <v>-0.28259259259259256</v>
      </c>
    </row>
    <row r="257" spans="1:12" x14ac:dyDescent="0.2">
      <c r="A257" s="41" t="s">
        <v>22</v>
      </c>
      <c r="B257" s="41">
        <v>3</v>
      </c>
      <c r="C257" s="41">
        <v>11.684185185185187</v>
      </c>
      <c r="D257" s="41">
        <v>0</v>
      </c>
      <c r="E257" s="41">
        <v>4.72</v>
      </c>
      <c r="F257" s="43">
        <v>4</v>
      </c>
      <c r="G257" s="41"/>
      <c r="H257" s="41">
        <v>0.13837037037037037</v>
      </c>
      <c r="I257" s="41">
        <v>5.7666666666666679E-2</v>
      </c>
      <c r="J257" s="41">
        <v>-0.52962962962962967</v>
      </c>
      <c r="K257" s="41">
        <v>7.4265925925925922</v>
      </c>
      <c r="L257" s="41">
        <v>-3.0111111111111151E-2</v>
      </c>
    </row>
    <row r="258" spans="1:12" x14ac:dyDescent="0.2">
      <c r="A258" s="42" t="s">
        <v>22</v>
      </c>
      <c r="B258" s="42">
        <v>3</v>
      </c>
      <c r="C258" s="42">
        <v>16.472592592592594</v>
      </c>
      <c r="D258" s="42">
        <v>1</v>
      </c>
      <c r="E258" s="42">
        <v>6.01</v>
      </c>
      <c r="F258" s="44">
        <v>3</v>
      </c>
      <c r="G258" s="42"/>
      <c r="H258" s="42">
        <v>0</v>
      </c>
      <c r="I258" s="42">
        <v>0.28129629629629621</v>
      </c>
      <c r="J258" s="42">
        <v>-20.107407407407408</v>
      </c>
      <c r="K258" s="42">
        <v>59.471296296296295</v>
      </c>
      <c r="L258" s="42">
        <v>0.2844444444444445</v>
      </c>
    </row>
    <row r="259" spans="1:12" x14ac:dyDescent="0.2">
      <c r="A259" s="41" t="s">
        <v>22</v>
      </c>
      <c r="B259" s="41">
        <v>3</v>
      </c>
      <c r="C259" s="41">
        <v>16.595740740740737</v>
      </c>
      <c r="D259" s="41">
        <v>0</v>
      </c>
      <c r="E259" s="41">
        <v>4.99</v>
      </c>
      <c r="F259" s="43">
        <v>3</v>
      </c>
      <c r="G259" s="41"/>
      <c r="H259" s="41">
        <v>3.1259259259259257E-2</v>
      </c>
      <c r="I259" s="41">
        <v>0.15870370370370368</v>
      </c>
      <c r="J259" s="41">
        <v>-11.348148148148148</v>
      </c>
      <c r="K259" s="41">
        <v>1.7234814814814814</v>
      </c>
      <c r="L259" s="41">
        <v>-0.28985185185185181</v>
      </c>
    </row>
    <row r="260" spans="1:12" x14ac:dyDescent="0.2">
      <c r="A260" s="42" t="s">
        <v>22</v>
      </c>
      <c r="B260" s="42">
        <v>3</v>
      </c>
      <c r="C260" s="42">
        <v>14.175740740740743</v>
      </c>
      <c r="D260" s="42">
        <v>0</v>
      </c>
      <c r="E260" s="42">
        <v>2.0299999999999998</v>
      </c>
      <c r="F260" s="44">
        <v>2</v>
      </c>
      <c r="G260" s="42"/>
      <c r="H260" s="42">
        <v>3.3296296296296296E-2</v>
      </c>
      <c r="I260" s="42">
        <v>0.128</v>
      </c>
      <c r="J260" s="42">
        <v>-2.6111111111111094</v>
      </c>
      <c r="K260" s="42">
        <v>29.385185185185179</v>
      </c>
      <c r="L260" s="42">
        <v>-0.25414814814814823</v>
      </c>
    </row>
    <row r="261" spans="1:12" x14ac:dyDescent="0.2">
      <c r="A261" s="41" t="s">
        <v>22</v>
      </c>
      <c r="B261" s="41">
        <v>3</v>
      </c>
      <c r="C261" s="41">
        <v>9.1939259259259281</v>
      </c>
      <c r="D261" s="41">
        <v>0</v>
      </c>
      <c r="E261" s="41">
        <v>3.54</v>
      </c>
      <c r="F261" s="41">
        <v>2</v>
      </c>
      <c r="G261" s="41"/>
      <c r="H261" s="41">
        <v>3.3037037037037031E-2</v>
      </c>
      <c r="I261" s="41">
        <v>7.637037037037038E-2</v>
      </c>
      <c r="J261" s="41">
        <v>-6.1407407407407408</v>
      </c>
      <c r="K261" s="41">
        <v>33.056481481481484</v>
      </c>
      <c r="L261" s="41">
        <v>-3.1407407407407328E-2</v>
      </c>
    </row>
    <row r="262" spans="1:12" x14ac:dyDescent="0.2">
      <c r="A262" s="42" t="s">
        <v>23</v>
      </c>
      <c r="B262" s="42">
        <v>3</v>
      </c>
      <c r="C262" s="42">
        <v>17.403621621621621</v>
      </c>
      <c r="D262" s="42">
        <v>0</v>
      </c>
      <c r="E262" s="42">
        <v>3.62</v>
      </c>
      <c r="F262" s="45">
        <v>4</v>
      </c>
      <c r="G262" s="42"/>
      <c r="H262" s="42">
        <v>0</v>
      </c>
      <c r="I262" s="42">
        <v>0.23883783783783788</v>
      </c>
      <c r="J262" s="42">
        <v>-14.718918918918913</v>
      </c>
      <c r="K262" s="42">
        <v>0</v>
      </c>
      <c r="L262" s="42">
        <v>-0.35105405405405404</v>
      </c>
    </row>
    <row r="263" spans="1:12" x14ac:dyDescent="0.2">
      <c r="A263" s="41" t="s">
        <v>23</v>
      </c>
      <c r="B263" s="41">
        <v>3</v>
      </c>
      <c r="C263" s="41">
        <v>11.28427027027027</v>
      </c>
      <c r="D263" s="41">
        <v>0</v>
      </c>
      <c r="E263" s="41">
        <v>5.58</v>
      </c>
      <c r="F263" s="43">
        <v>4</v>
      </c>
      <c r="G263" s="41"/>
      <c r="H263" s="41">
        <v>5.4108108108108115E-2</v>
      </c>
      <c r="I263" s="41">
        <v>0.14708108108108114</v>
      </c>
      <c r="J263" s="41">
        <v>-14.581081081081072</v>
      </c>
      <c r="K263" s="41">
        <v>16.060243243243242</v>
      </c>
      <c r="L263" s="41">
        <v>-1.2594594594594581E-2</v>
      </c>
    </row>
    <row r="264" spans="1:12" x14ac:dyDescent="0.2">
      <c r="A264" s="42" t="s">
        <v>23</v>
      </c>
      <c r="B264" s="42">
        <v>3</v>
      </c>
      <c r="C264" s="42">
        <v>17.910513513513514</v>
      </c>
      <c r="D264" s="42">
        <v>0</v>
      </c>
      <c r="E264" s="42">
        <v>5.75</v>
      </c>
      <c r="F264" s="44">
        <v>3</v>
      </c>
      <c r="G264" s="42"/>
      <c r="H264" s="42">
        <v>3.491891891891892E-2</v>
      </c>
      <c r="I264" s="42">
        <v>0.21345945945945941</v>
      </c>
      <c r="J264" s="42">
        <v>-8.9054054054054053</v>
      </c>
      <c r="K264" s="42">
        <v>17.10729729729729</v>
      </c>
      <c r="L264" s="42">
        <v>-0.45689189189189183</v>
      </c>
    </row>
    <row r="265" spans="1:12" x14ac:dyDescent="0.2">
      <c r="A265" s="41" t="s">
        <v>23</v>
      </c>
      <c r="B265" s="41">
        <v>3</v>
      </c>
      <c r="C265" s="41">
        <v>14.07254054054054</v>
      </c>
      <c r="D265" s="41">
        <v>0</v>
      </c>
      <c r="E265" s="41">
        <v>2.88</v>
      </c>
      <c r="F265" s="43">
        <v>3</v>
      </c>
      <c r="G265" s="41"/>
      <c r="H265" s="41">
        <v>4.6216216216216209E-2</v>
      </c>
      <c r="I265" s="41">
        <v>0.15194594594594593</v>
      </c>
      <c r="J265" s="41">
        <v>0.95135135135135118</v>
      </c>
      <c r="K265" s="41">
        <v>20.765351351351352</v>
      </c>
      <c r="L265" s="41">
        <v>-0.36581081081081079</v>
      </c>
    </row>
    <row r="266" spans="1:12" x14ac:dyDescent="0.2">
      <c r="A266" s="42" t="s">
        <v>23</v>
      </c>
      <c r="B266" s="42">
        <v>3</v>
      </c>
      <c r="C266" s="42">
        <v>11.960324324324322</v>
      </c>
      <c r="D266" s="42">
        <v>0</v>
      </c>
      <c r="E266" s="42">
        <v>3.37</v>
      </c>
      <c r="F266" s="44">
        <v>2</v>
      </c>
      <c r="G266" s="42"/>
      <c r="H266" s="42">
        <v>3.2675675675675669E-2</v>
      </c>
      <c r="I266" s="42">
        <v>0.17605405405405408</v>
      </c>
      <c r="J266" s="42">
        <v>-14.854054054054052</v>
      </c>
      <c r="K266" s="42">
        <v>33.691621621621621</v>
      </c>
      <c r="L266" s="42">
        <v>-0.2884594594594595</v>
      </c>
    </row>
    <row r="267" spans="1:12" x14ac:dyDescent="0.2">
      <c r="A267" s="41" t="s">
        <v>23</v>
      </c>
      <c r="B267" s="41">
        <v>3</v>
      </c>
      <c r="C267" s="41">
        <v>13.169675675675679</v>
      </c>
      <c r="D267" s="41">
        <v>0</v>
      </c>
      <c r="E267" s="41">
        <v>2.57</v>
      </c>
      <c r="F267" s="41">
        <v>2</v>
      </c>
      <c r="G267" s="41"/>
      <c r="H267" s="41">
        <v>6.0756756756756763E-2</v>
      </c>
      <c r="I267" s="41">
        <v>0.23740540540540542</v>
      </c>
      <c r="J267" s="41">
        <v>-5.4189189189189237</v>
      </c>
      <c r="K267" s="41">
        <v>62.120891891891894</v>
      </c>
      <c r="L267" s="41">
        <v>-5.7135135135135122E-2</v>
      </c>
    </row>
    <row r="268" spans="1:12" x14ac:dyDescent="0.2">
      <c r="A268" s="42" t="s">
        <v>24</v>
      </c>
      <c r="B268" s="42">
        <v>3</v>
      </c>
      <c r="C268" s="42">
        <v>14.96792156862745</v>
      </c>
      <c r="D268" s="42">
        <v>0</v>
      </c>
      <c r="E268" s="42">
        <v>3.9</v>
      </c>
      <c r="F268" s="45">
        <v>4</v>
      </c>
      <c r="G268" s="42"/>
      <c r="H268" s="42">
        <v>0</v>
      </c>
      <c r="I268" s="42">
        <v>0.15254901960784312</v>
      </c>
      <c r="J268" s="42">
        <v>-0.14117647058823521</v>
      </c>
      <c r="K268" s="42">
        <v>1.6688039215686277</v>
      </c>
      <c r="L268" s="42">
        <v>-0.26335294117647051</v>
      </c>
    </row>
    <row r="269" spans="1:12" x14ac:dyDescent="0.2">
      <c r="A269" s="41" t="s">
        <v>24</v>
      </c>
      <c r="B269" s="41">
        <v>3</v>
      </c>
      <c r="C269" s="41">
        <v>11.192411764705884</v>
      </c>
      <c r="D269" s="41">
        <v>0</v>
      </c>
      <c r="E269" s="41">
        <v>10.02</v>
      </c>
      <c r="F269" s="43">
        <v>4</v>
      </c>
      <c r="G269" s="41"/>
      <c r="H269" s="41">
        <v>4.0529411764705883E-2</v>
      </c>
      <c r="I269" s="41">
        <v>0.10990196078431375</v>
      </c>
      <c r="J269" s="41">
        <v>-39.080392156862736</v>
      </c>
      <c r="K269" s="41">
        <v>13.378196078431372</v>
      </c>
      <c r="L269" s="41">
        <v>7.7823529411764666E-2</v>
      </c>
    </row>
    <row r="270" spans="1:12" x14ac:dyDescent="0.2">
      <c r="A270" s="42" t="s">
        <v>24</v>
      </c>
      <c r="B270" s="42">
        <v>3</v>
      </c>
      <c r="C270" s="42">
        <v>13.444647058823527</v>
      </c>
      <c r="D270" s="42">
        <v>0</v>
      </c>
      <c r="E270" s="42">
        <v>7.95</v>
      </c>
      <c r="F270" s="44">
        <v>3</v>
      </c>
      <c r="G270" s="42"/>
      <c r="H270" s="42">
        <v>2.627450980392157E-2</v>
      </c>
      <c r="I270" s="42">
        <v>0.13717647058823534</v>
      </c>
      <c r="J270" s="42">
        <v>-6.9686274509803932</v>
      </c>
      <c r="K270" s="42">
        <v>28.825803921568628</v>
      </c>
      <c r="L270" s="42">
        <v>-0.53862745098039211</v>
      </c>
    </row>
    <row r="271" spans="1:12" x14ac:dyDescent="0.2">
      <c r="A271" s="41" t="s">
        <v>24</v>
      </c>
      <c r="B271" s="41">
        <v>3</v>
      </c>
      <c r="C271" s="41">
        <v>8.0896862745098037</v>
      </c>
      <c r="D271" s="41">
        <v>0</v>
      </c>
      <c r="E271" s="41">
        <v>5.61</v>
      </c>
      <c r="F271" s="43">
        <v>3</v>
      </c>
      <c r="G271" s="41"/>
      <c r="H271" s="41">
        <v>0.13868627450980392</v>
      </c>
      <c r="I271" s="41">
        <v>5.8294117647058823E-2</v>
      </c>
      <c r="J271" s="41">
        <v>-9.264705882352942</v>
      </c>
      <c r="K271" s="41">
        <v>35.425666666666665</v>
      </c>
      <c r="L271" s="41">
        <v>-0.41768627450980372</v>
      </c>
    </row>
    <row r="272" spans="1:12" x14ac:dyDescent="0.2">
      <c r="A272" s="42" t="s">
        <v>24</v>
      </c>
      <c r="B272" s="42">
        <v>3</v>
      </c>
      <c r="C272" s="42">
        <v>11.462470588235297</v>
      </c>
      <c r="D272" s="42">
        <v>0</v>
      </c>
      <c r="E272" s="42">
        <v>2.23</v>
      </c>
      <c r="F272" s="44">
        <v>2</v>
      </c>
      <c r="G272" s="42"/>
      <c r="H272" s="42">
        <v>4.3254901960784312E-2</v>
      </c>
      <c r="I272" s="42">
        <v>0.14315686274509806</v>
      </c>
      <c r="J272" s="42">
        <v>-2.7666666666666648</v>
      </c>
      <c r="K272" s="42">
        <v>1.2577647058823529</v>
      </c>
      <c r="L272" s="42">
        <v>-0.60988235294117621</v>
      </c>
    </row>
    <row r="273" spans="1:12" x14ac:dyDescent="0.2">
      <c r="A273" s="41" t="s">
        <v>24</v>
      </c>
      <c r="B273" s="41">
        <v>3</v>
      </c>
      <c r="C273" s="41">
        <v>10.312980392156863</v>
      </c>
      <c r="D273" s="41">
        <v>0</v>
      </c>
      <c r="E273" s="41">
        <v>3.02</v>
      </c>
      <c r="F273" s="41">
        <v>2</v>
      </c>
      <c r="G273" s="41"/>
      <c r="H273" s="41">
        <v>0.1185686274509804</v>
      </c>
      <c r="I273" s="41">
        <v>0.10133333333333333</v>
      </c>
      <c r="J273" s="41">
        <v>-12.196078431372557</v>
      </c>
      <c r="K273" s="41">
        <v>0</v>
      </c>
      <c r="L273" s="41">
        <v>0.19241176470588239</v>
      </c>
    </row>
    <row r="274" spans="1:12" x14ac:dyDescent="0.2">
      <c r="A274" s="42" t="s">
        <v>25</v>
      </c>
      <c r="B274" s="42">
        <v>3</v>
      </c>
      <c r="C274" s="42">
        <v>15.213500000000003</v>
      </c>
      <c r="D274" s="42">
        <v>0</v>
      </c>
      <c r="E274" s="42">
        <v>6.01</v>
      </c>
      <c r="F274" s="45">
        <v>4</v>
      </c>
      <c r="G274" s="42"/>
      <c r="H274" s="42">
        <v>4.0500000000000001E-2</v>
      </c>
      <c r="I274" s="42">
        <v>0.18718000000000007</v>
      </c>
      <c r="J274" s="42">
        <v>0.67200000000000004</v>
      </c>
      <c r="K274" s="42">
        <v>6.52468</v>
      </c>
      <c r="L274" s="42">
        <v>1.3539999999999964E-2</v>
      </c>
    </row>
    <row r="275" spans="1:12" x14ac:dyDescent="0.2">
      <c r="A275" s="41" t="s">
        <v>25</v>
      </c>
      <c r="B275" s="41">
        <v>3</v>
      </c>
      <c r="C275" s="41">
        <v>16.185919999999999</v>
      </c>
      <c r="D275" s="41">
        <v>0</v>
      </c>
      <c r="E275" s="41">
        <v>6.09</v>
      </c>
      <c r="F275" s="43">
        <v>4</v>
      </c>
      <c r="G275" s="41"/>
      <c r="H275" s="41">
        <v>1.5700000000000002E-2</v>
      </c>
      <c r="I275" s="41">
        <v>0.23871999999999999</v>
      </c>
      <c r="J275" s="41">
        <v>-13.980000000000002</v>
      </c>
      <c r="K275" s="41">
        <v>34.922499999999992</v>
      </c>
      <c r="L275" s="41">
        <v>0.56229999999999991</v>
      </c>
    </row>
    <row r="276" spans="1:12" x14ac:dyDescent="0.2">
      <c r="A276" s="42" t="s">
        <v>25</v>
      </c>
      <c r="B276" s="42">
        <v>3</v>
      </c>
      <c r="C276" s="42">
        <v>14.031140000000001</v>
      </c>
      <c r="D276" s="42">
        <v>1</v>
      </c>
      <c r="E276" s="42">
        <v>16.579999999999998</v>
      </c>
      <c r="F276" s="44">
        <v>3</v>
      </c>
      <c r="G276" s="42"/>
      <c r="H276" s="42">
        <v>6.1340000000000006E-2</v>
      </c>
      <c r="I276" s="42">
        <v>0.15998000000000004</v>
      </c>
      <c r="J276" s="42">
        <v>-4.6639999999999997</v>
      </c>
      <c r="K276" s="42">
        <v>21.009880000000003</v>
      </c>
      <c r="L276" s="42">
        <v>-4.4059999999999988E-2</v>
      </c>
    </row>
    <row r="277" spans="1:12" x14ac:dyDescent="0.2">
      <c r="A277" s="41" t="s">
        <v>25</v>
      </c>
      <c r="B277" s="41">
        <v>3</v>
      </c>
      <c r="C277" s="41">
        <v>14.978619999999994</v>
      </c>
      <c r="D277" s="41">
        <v>0</v>
      </c>
      <c r="E277" s="41">
        <v>5.13</v>
      </c>
      <c r="F277" s="43">
        <v>3</v>
      </c>
      <c r="G277" s="41"/>
      <c r="H277" s="41">
        <v>5.9579999999999994E-2</v>
      </c>
      <c r="I277" s="41">
        <v>0.20381999999999997</v>
      </c>
      <c r="J277" s="41">
        <v>-9.0839999999999943</v>
      </c>
      <c r="K277" s="41">
        <v>99.133039999999994</v>
      </c>
      <c r="L277" s="41">
        <v>0.17757999999999996</v>
      </c>
    </row>
    <row r="278" spans="1:12" x14ac:dyDescent="0.2">
      <c r="A278" s="42" t="s">
        <v>25</v>
      </c>
      <c r="B278" s="42">
        <v>3</v>
      </c>
      <c r="C278" s="42">
        <v>14.507260000000004</v>
      </c>
      <c r="D278" s="42">
        <v>1</v>
      </c>
      <c r="E278" s="42">
        <v>5.24</v>
      </c>
      <c r="F278" s="44">
        <v>2</v>
      </c>
      <c r="G278" s="42"/>
      <c r="H278" s="42">
        <v>6.0200000000000002E-3</v>
      </c>
      <c r="I278" s="42">
        <v>0.13114000000000001</v>
      </c>
      <c r="J278" s="42">
        <v>-11.638</v>
      </c>
      <c r="K278" s="42">
        <v>89.400659999999988</v>
      </c>
      <c r="L278" s="42">
        <v>4.3639999999999998E-2</v>
      </c>
    </row>
    <row r="279" spans="1:12" x14ac:dyDescent="0.2">
      <c r="A279" s="41" t="s">
        <v>25</v>
      </c>
      <c r="B279" s="41">
        <v>3</v>
      </c>
      <c r="C279" s="41">
        <v>7.9502400000000009</v>
      </c>
      <c r="D279" s="41">
        <v>1</v>
      </c>
      <c r="E279" s="41">
        <v>8.1300000000000008</v>
      </c>
      <c r="F279" s="41">
        <v>2</v>
      </c>
      <c r="G279" s="41"/>
      <c r="H279" s="41">
        <v>5.7960000000000005E-2</v>
      </c>
      <c r="I279" s="41">
        <v>0.14586000000000002</v>
      </c>
      <c r="J279" s="41">
        <v>-15.325999999999999</v>
      </c>
      <c r="K279" s="41">
        <v>43.217979999999997</v>
      </c>
      <c r="L279" s="41">
        <v>0.1414</v>
      </c>
    </row>
    <row r="280" spans="1:12" x14ac:dyDescent="0.2">
      <c r="A280" s="42" t="s">
        <v>26</v>
      </c>
      <c r="B280" s="42">
        <v>3</v>
      </c>
      <c r="C280" s="42">
        <v>14.727099999999998</v>
      </c>
      <c r="D280" s="42">
        <v>0</v>
      </c>
      <c r="E280" s="42">
        <v>4.47</v>
      </c>
      <c r="F280" s="45">
        <v>4</v>
      </c>
      <c r="G280" s="42"/>
      <c r="H280" s="42">
        <v>2.7939999999999996E-2</v>
      </c>
      <c r="I280" s="42">
        <v>0.1522</v>
      </c>
      <c r="J280" s="42">
        <v>0.50399999999999989</v>
      </c>
      <c r="K280" s="42">
        <v>14.238900000000001</v>
      </c>
      <c r="L280" s="42">
        <v>0.55393999999999988</v>
      </c>
    </row>
    <row r="281" spans="1:12" x14ac:dyDescent="0.2">
      <c r="A281" s="41" t="s">
        <v>26</v>
      </c>
      <c r="B281" s="41">
        <v>3</v>
      </c>
      <c r="C281" s="41">
        <v>12.155919999999998</v>
      </c>
      <c r="D281" s="41">
        <v>0</v>
      </c>
      <c r="E281" s="41">
        <v>3.76</v>
      </c>
      <c r="F281" s="43">
        <v>4</v>
      </c>
      <c r="G281" s="41"/>
      <c r="H281" s="41">
        <v>1.6239999999999997E-2</v>
      </c>
      <c r="I281" s="41">
        <v>0.15790000000000001</v>
      </c>
      <c r="J281" s="41">
        <v>-11.202000000000005</v>
      </c>
      <c r="K281" s="41">
        <v>40.587439999999994</v>
      </c>
      <c r="L281" s="41">
        <v>0.66412000000000004</v>
      </c>
    </row>
    <row r="282" spans="1:12" x14ac:dyDescent="0.2">
      <c r="A282" s="42" t="s">
        <v>26</v>
      </c>
      <c r="B282" s="42">
        <v>3</v>
      </c>
      <c r="C282" s="42">
        <v>15.545859999999999</v>
      </c>
      <c r="D282" s="42">
        <v>1</v>
      </c>
      <c r="E282" s="42">
        <v>9.08</v>
      </c>
      <c r="F282" s="44">
        <v>3</v>
      </c>
      <c r="G282" s="42"/>
      <c r="H282" s="42">
        <v>9.7199999999999995E-3</v>
      </c>
      <c r="I282" s="42">
        <v>0.13901999999999998</v>
      </c>
      <c r="J282" s="42">
        <v>-6.4660000000000011</v>
      </c>
      <c r="K282" s="42">
        <v>40.228180000000002</v>
      </c>
      <c r="L282" s="42">
        <v>0.44238000000000005</v>
      </c>
    </row>
    <row r="283" spans="1:12" x14ac:dyDescent="0.2">
      <c r="A283" s="41" t="s">
        <v>26</v>
      </c>
      <c r="B283" s="41">
        <v>3</v>
      </c>
      <c r="C283" s="41">
        <v>10.736580000000002</v>
      </c>
      <c r="D283" s="41">
        <v>0</v>
      </c>
      <c r="E283" s="41">
        <v>3.68</v>
      </c>
      <c r="F283" s="43">
        <v>3</v>
      </c>
      <c r="G283" s="41"/>
      <c r="H283" s="41">
        <v>5.21E-2</v>
      </c>
      <c r="I283" s="41">
        <v>0.11045999999999999</v>
      </c>
      <c r="J283" s="41">
        <v>-9.6779999999999973</v>
      </c>
      <c r="K283" s="41">
        <v>59.099040000000002</v>
      </c>
      <c r="L283" s="41">
        <v>0.37265999999999999</v>
      </c>
    </row>
    <row r="284" spans="1:12" x14ac:dyDescent="0.2">
      <c r="A284" s="42" t="s">
        <v>26</v>
      </c>
      <c r="B284" s="42">
        <v>3</v>
      </c>
      <c r="C284" s="42">
        <v>12.106219999999999</v>
      </c>
      <c r="D284" s="42">
        <v>0</v>
      </c>
      <c r="E284" s="42">
        <v>9.25</v>
      </c>
      <c r="F284" s="44">
        <v>2</v>
      </c>
      <c r="G284" s="42"/>
      <c r="H284" s="42">
        <v>3.2840000000000001E-2</v>
      </c>
      <c r="I284" s="42">
        <v>0.18575999999999998</v>
      </c>
      <c r="J284" s="42">
        <v>-10.162000000000006</v>
      </c>
      <c r="K284" s="42">
        <v>71.966859999999983</v>
      </c>
      <c r="L284" s="42">
        <v>0.14652000000000004</v>
      </c>
    </row>
    <row r="285" spans="1:12" x14ac:dyDescent="0.2">
      <c r="A285" s="41" t="s">
        <v>26</v>
      </c>
      <c r="B285" s="41">
        <v>3</v>
      </c>
      <c r="C285" s="41">
        <v>10.872180000000004</v>
      </c>
      <c r="D285" s="41">
        <v>1</v>
      </c>
      <c r="E285" s="41">
        <v>7.32</v>
      </c>
      <c r="F285" s="41">
        <v>2</v>
      </c>
      <c r="G285" s="41"/>
      <c r="H285" s="41">
        <v>4.548E-2</v>
      </c>
      <c r="I285" s="41">
        <v>7.415999999999999E-2</v>
      </c>
      <c r="J285" s="41">
        <v>1.0440000000000011</v>
      </c>
      <c r="K285" s="41">
        <v>3.6884200000000003</v>
      </c>
      <c r="L285" s="41">
        <v>0.35993999999999998</v>
      </c>
    </row>
    <row r="286" spans="1:12" x14ac:dyDescent="0.2">
      <c r="A286" s="42" t="s">
        <v>27</v>
      </c>
      <c r="B286" s="42">
        <v>3</v>
      </c>
      <c r="C286" s="42">
        <v>16.488711111111112</v>
      </c>
      <c r="D286" s="42">
        <v>0</v>
      </c>
      <c r="E286" s="42">
        <v>3.96</v>
      </c>
      <c r="F286" s="45">
        <v>4</v>
      </c>
      <c r="G286" s="42"/>
      <c r="H286" s="42">
        <v>4.8755555555555552E-2</v>
      </c>
      <c r="I286" s="42">
        <v>0.18791111111111114</v>
      </c>
      <c r="J286" s="42">
        <v>0.20222222222222225</v>
      </c>
      <c r="K286" s="42">
        <v>1.8900888888888892</v>
      </c>
      <c r="L286" s="42">
        <v>-0.32282222222222218</v>
      </c>
    </row>
    <row r="287" spans="1:12" x14ac:dyDescent="0.2">
      <c r="A287" s="41" t="s">
        <v>27</v>
      </c>
      <c r="B287" s="41">
        <v>3</v>
      </c>
      <c r="C287" s="41">
        <v>5.5054444444444455</v>
      </c>
      <c r="D287" s="41">
        <v>1</v>
      </c>
      <c r="E287" s="41">
        <v>8.67</v>
      </c>
      <c r="F287" s="43">
        <v>4</v>
      </c>
      <c r="G287" s="41"/>
      <c r="H287" s="41">
        <v>7.3444444444444451E-2</v>
      </c>
      <c r="I287" s="41">
        <v>9.2066666666666658E-2</v>
      </c>
      <c r="J287" s="41">
        <v>-14.824444444444445</v>
      </c>
      <c r="K287" s="41">
        <v>36.296533333333336</v>
      </c>
      <c r="L287" s="41">
        <v>-0.45871111111111124</v>
      </c>
    </row>
    <row r="288" spans="1:12" x14ac:dyDescent="0.2">
      <c r="A288" s="42" t="s">
        <v>27</v>
      </c>
      <c r="B288" s="42">
        <v>3</v>
      </c>
      <c r="C288" s="42">
        <v>17.035977777777777</v>
      </c>
      <c r="D288" s="42">
        <v>0</v>
      </c>
      <c r="E288" s="42">
        <v>7.04</v>
      </c>
      <c r="F288" s="44">
        <v>3</v>
      </c>
      <c r="G288" s="42"/>
      <c r="H288" s="42">
        <v>3.9933333333333335E-2</v>
      </c>
      <c r="I288" s="42">
        <v>0.18526666666666669</v>
      </c>
      <c r="J288" s="42">
        <v>-7.471111111111111</v>
      </c>
      <c r="K288" s="42">
        <v>49.278044444444447</v>
      </c>
      <c r="L288" s="42">
        <v>-0.5381111111111111</v>
      </c>
    </row>
    <row r="289" spans="1:12" x14ac:dyDescent="0.2">
      <c r="A289" s="41" t="s">
        <v>27</v>
      </c>
      <c r="B289" s="41">
        <v>3</v>
      </c>
      <c r="C289" s="41">
        <v>10.889088888888889</v>
      </c>
      <c r="D289" s="41">
        <v>0</v>
      </c>
      <c r="E289" s="41">
        <v>2.78</v>
      </c>
      <c r="F289" s="43">
        <v>3</v>
      </c>
      <c r="G289" s="41"/>
      <c r="H289" s="41">
        <v>4.3377777777777772E-2</v>
      </c>
      <c r="I289" s="41">
        <v>0.1133111111111111</v>
      </c>
      <c r="J289" s="41">
        <v>0.31777777777777771</v>
      </c>
      <c r="K289" s="41">
        <v>41.731444444444442</v>
      </c>
      <c r="L289" s="41">
        <v>-0.58731111111111112</v>
      </c>
    </row>
    <row r="290" spans="1:12" x14ac:dyDescent="0.2">
      <c r="A290" s="42" t="s">
        <v>27</v>
      </c>
      <c r="B290" s="42">
        <v>3</v>
      </c>
      <c r="C290" s="42">
        <v>8.6810222222222215</v>
      </c>
      <c r="D290" s="42">
        <v>0</v>
      </c>
      <c r="E290" s="42">
        <v>2.73</v>
      </c>
      <c r="F290" s="44">
        <v>2</v>
      </c>
      <c r="G290" s="42"/>
      <c r="H290" s="42">
        <v>0.11820000000000001</v>
      </c>
      <c r="I290" s="42">
        <v>0.12577777777777777</v>
      </c>
      <c r="J290" s="42">
        <v>-11.857777777777775</v>
      </c>
      <c r="K290" s="42">
        <v>31.779377777777782</v>
      </c>
      <c r="L290" s="42">
        <v>-0.41513333333333335</v>
      </c>
    </row>
    <row r="291" spans="1:12" x14ac:dyDescent="0.2">
      <c r="A291" s="41" t="s">
        <v>27</v>
      </c>
      <c r="B291" s="41">
        <v>3</v>
      </c>
      <c r="C291" s="41">
        <v>11.081044444444446</v>
      </c>
      <c r="D291" s="41">
        <v>1</v>
      </c>
      <c r="E291" s="41">
        <v>4.78</v>
      </c>
      <c r="F291" s="41">
        <v>2</v>
      </c>
      <c r="G291" s="41"/>
      <c r="H291" s="41">
        <v>0.14440000000000003</v>
      </c>
      <c r="I291" s="41">
        <v>0.1327777777777778</v>
      </c>
      <c r="J291" s="41">
        <v>-10.908888888888889</v>
      </c>
      <c r="K291" s="41">
        <v>1.097</v>
      </c>
      <c r="L291" s="41">
        <v>-0.92235555555555504</v>
      </c>
    </row>
    <row r="292" spans="1:12" x14ac:dyDescent="0.2">
      <c r="A292" s="42" t="s">
        <v>14</v>
      </c>
      <c r="B292" s="42">
        <v>3</v>
      </c>
      <c r="C292" s="42">
        <v>12.092210526315791</v>
      </c>
      <c r="D292" s="42">
        <v>0</v>
      </c>
      <c r="E292" s="42">
        <v>2.42</v>
      </c>
      <c r="F292" s="45">
        <v>4</v>
      </c>
      <c r="G292" s="42"/>
      <c r="H292" s="42">
        <v>0</v>
      </c>
      <c r="I292" s="42">
        <v>0.19063157894736843</v>
      </c>
      <c r="J292" s="42">
        <v>0.17894736842105263</v>
      </c>
      <c r="K292" s="42">
        <v>0</v>
      </c>
      <c r="L292" s="42">
        <v>3.1578947368421061E-2</v>
      </c>
    </row>
    <row r="293" spans="1:12" x14ac:dyDescent="0.2">
      <c r="A293" s="41" t="s">
        <v>14</v>
      </c>
      <c r="B293" s="41">
        <v>3</v>
      </c>
      <c r="C293" s="41">
        <v>16.423052631578948</v>
      </c>
      <c r="D293" s="41">
        <v>0</v>
      </c>
      <c r="E293" s="41">
        <v>5.9</v>
      </c>
      <c r="F293" s="43">
        <v>4</v>
      </c>
      <c r="G293" s="41"/>
      <c r="H293" s="41">
        <v>0</v>
      </c>
      <c r="I293" s="41">
        <v>0.10794736842105261</v>
      </c>
      <c r="J293" s="41">
        <v>1.578947368421053E-2</v>
      </c>
      <c r="K293" s="41">
        <v>0</v>
      </c>
      <c r="L293" s="41">
        <v>-0.35110526315789475</v>
      </c>
    </row>
    <row r="294" spans="1:12" x14ac:dyDescent="0.2">
      <c r="A294" s="42" t="s">
        <v>14</v>
      </c>
      <c r="B294" s="42">
        <v>3</v>
      </c>
      <c r="C294" s="42">
        <v>16.40463157894737</v>
      </c>
      <c r="D294" s="42">
        <v>0</v>
      </c>
      <c r="E294" s="42">
        <v>3.85</v>
      </c>
      <c r="F294" s="44">
        <v>3</v>
      </c>
      <c r="G294" s="42"/>
      <c r="H294" s="42">
        <v>3.5052631578947363E-2</v>
      </c>
      <c r="I294" s="42">
        <v>0.11584210526315793</v>
      </c>
      <c r="J294" s="42">
        <v>1.368421052631579</v>
      </c>
      <c r="K294" s="42">
        <v>5.7295263157894736</v>
      </c>
      <c r="L294" s="42">
        <v>-0.33452631578947373</v>
      </c>
    </row>
    <row r="295" spans="1:12" x14ac:dyDescent="0.2">
      <c r="A295" s="41" t="s">
        <v>14</v>
      </c>
      <c r="B295" s="41">
        <v>3</v>
      </c>
      <c r="C295" s="41">
        <v>5.3563157894736841</v>
      </c>
      <c r="D295" s="41">
        <v>0</v>
      </c>
      <c r="E295" s="41">
        <v>3.12</v>
      </c>
      <c r="F295" s="43">
        <v>3</v>
      </c>
      <c r="G295" s="41"/>
      <c r="H295" s="41">
        <v>3.7368421052631579E-2</v>
      </c>
      <c r="I295" s="41">
        <v>6.3105263157894734E-2</v>
      </c>
      <c r="J295" s="41">
        <v>-125.80000000000001</v>
      </c>
      <c r="K295" s="41">
        <v>0</v>
      </c>
      <c r="L295" s="41">
        <v>0.36789473684210533</v>
      </c>
    </row>
    <row r="296" spans="1:12" x14ac:dyDescent="0.2">
      <c r="A296" s="42" t="s">
        <v>14</v>
      </c>
      <c r="B296" s="42">
        <v>3</v>
      </c>
      <c r="C296" s="42">
        <v>9.9082631578947353</v>
      </c>
      <c r="D296" s="42">
        <v>0</v>
      </c>
      <c r="E296" s="42">
        <v>2.95</v>
      </c>
      <c r="F296" s="44">
        <v>2</v>
      </c>
      <c r="G296" s="42"/>
      <c r="H296" s="42">
        <v>0</v>
      </c>
      <c r="I296" s="42">
        <v>0.14221052631578945</v>
      </c>
      <c r="J296" s="42">
        <v>31.805263157894739</v>
      </c>
      <c r="K296" s="42">
        <v>175.14784210526318</v>
      </c>
      <c r="L296" s="42">
        <v>-0.20536842105263156</v>
      </c>
    </row>
    <row r="297" spans="1:12" x14ac:dyDescent="0.2">
      <c r="A297" s="41" t="s">
        <v>14</v>
      </c>
      <c r="B297" s="41">
        <v>3</v>
      </c>
      <c r="C297" s="41">
        <v>13.746052631578948</v>
      </c>
      <c r="D297" s="41">
        <v>0</v>
      </c>
      <c r="E297" s="41">
        <v>2.2999999999999998</v>
      </c>
      <c r="F297" s="41">
        <v>2</v>
      </c>
      <c r="G297" s="41"/>
      <c r="H297" s="41">
        <v>1.7736842105263155E-2</v>
      </c>
      <c r="I297" s="41">
        <v>7.7315789473684227E-2</v>
      </c>
      <c r="J297" s="41">
        <v>2.1052631578947375E-2</v>
      </c>
      <c r="K297" s="41">
        <v>49.961736842105267</v>
      </c>
      <c r="L297" s="41">
        <v>0.2781578947368421</v>
      </c>
    </row>
    <row r="298" spans="1:12" x14ac:dyDescent="0.2">
      <c r="A298" s="42"/>
      <c r="B298" s="42"/>
      <c r="C298" s="42"/>
      <c r="D298" s="42"/>
      <c r="E298" s="42"/>
      <c r="F298" s="45"/>
      <c r="G298" s="42"/>
      <c r="H298" s="42"/>
      <c r="I298" s="42"/>
      <c r="J298" s="42"/>
      <c r="K298" s="42"/>
      <c r="L298" s="42"/>
    </row>
    <row r="299" spans="1:12" x14ac:dyDescent="0.2">
      <c r="A299" s="41"/>
      <c r="B299" s="41"/>
      <c r="C299" s="41"/>
      <c r="D299" s="41"/>
      <c r="E299" s="41"/>
      <c r="F299" s="43"/>
      <c r="G299" s="41"/>
      <c r="H299" s="41"/>
      <c r="I299" s="41"/>
      <c r="J299" s="41"/>
      <c r="K299" s="41"/>
      <c r="L299" s="41"/>
    </row>
    <row r="300" spans="1:12" x14ac:dyDescent="0.2">
      <c r="A300" s="42"/>
      <c r="B300" s="42"/>
      <c r="C300" s="42"/>
      <c r="D300" s="42"/>
      <c r="E300" s="42"/>
      <c r="F300" s="44"/>
      <c r="G300" s="42"/>
      <c r="H300" s="42"/>
      <c r="I300" s="42"/>
      <c r="J300" s="42"/>
      <c r="K300" s="42"/>
      <c r="L300" s="42"/>
    </row>
    <row r="301" spans="1:12" x14ac:dyDescent="0.2">
      <c r="A301" s="41"/>
      <c r="B301" s="41"/>
      <c r="C301" s="41"/>
      <c r="D301" s="41"/>
      <c r="E301" s="41"/>
      <c r="F301" s="43"/>
      <c r="G301" s="41"/>
      <c r="H301" s="41"/>
      <c r="I301" s="41"/>
      <c r="J301" s="41"/>
      <c r="K301" s="41"/>
      <c r="L301" s="41"/>
    </row>
    <row r="302" spans="1:12" x14ac:dyDescent="0.2">
      <c r="A302" s="42"/>
      <c r="B302" s="42"/>
      <c r="C302" s="42"/>
      <c r="D302" s="42"/>
      <c r="E302" s="42"/>
      <c r="F302" s="44"/>
      <c r="G302" s="42"/>
      <c r="H302" s="42"/>
      <c r="I302" s="42"/>
      <c r="J302" s="42"/>
      <c r="K302" s="42"/>
      <c r="L302" s="42"/>
    </row>
    <row r="303" spans="1:12" x14ac:dyDescent="0.2">
      <c r="A303" s="41"/>
      <c r="B303" s="41"/>
      <c r="C303" s="41"/>
      <c r="D303" s="41"/>
      <c r="E303" s="41"/>
      <c r="F303" s="41"/>
      <c r="G303" s="41"/>
      <c r="H303" s="41"/>
      <c r="I303" s="41"/>
      <c r="J303" s="41"/>
      <c r="K303" s="41"/>
      <c r="L303" s="41"/>
    </row>
    <row r="304" spans="1:12" x14ac:dyDescent="0.2">
      <c r="A304" s="42"/>
      <c r="B304" s="42"/>
      <c r="C304" s="42"/>
      <c r="D304" s="42"/>
      <c r="E304" s="42"/>
      <c r="F304" s="45"/>
      <c r="G304" s="42"/>
      <c r="H304" s="42"/>
      <c r="I304" s="42"/>
      <c r="J304" s="42"/>
      <c r="K304" s="42"/>
      <c r="L304" s="42"/>
    </row>
    <row r="305" spans="1:12" x14ac:dyDescent="0.2">
      <c r="A305" s="41"/>
      <c r="B305" s="41"/>
      <c r="C305" s="41"/>
      <c r="D305" s="41"/>
      <c r="E305" s="41"/>
      <c r="F305" s="43"/>
      <c r="G305" s="41"/>
      <c r="H305" s="41"/>
      <c r="I305" s="41"/>
      <c r="J305" s="41"/>
      <c r="K305" s="41"/>
      <c r="L305" s="41"/>
    </row>
    <row r="306" spans="1:12" x14ac:dyDescent="0.2">
      <c r="A306" s="42"/>
      <c r="B306" s="42"/>
      <c r="C306" s="42"/>
      <c r="D306" s="42"/>
      <c r="E306" s="42"/>
      <c r="F306" s="44"/>
      <c r="G306" s="42"/>
      <c r="H306" s="42"/>
      <c r="I306" s="42"/>
      <c r="J306" s="42"/>
      <c r="K306" s="42"/>
      <c r="L306" s="42"/>
    </row>
    <row r="307" spans="1:12" ht="15.75" customHeight="1" x14ac:dyDescent="0.2">
      <c r="F307" s="43"/>
    </row>
    <row r="308" spans="1:12" ht="15.75" customHeight="1" x14ac:dyDescent="0.2">
      <c r="F308" s="44"/>
    </row>
    <row r="309" spans="1:12" ht="15.75" customHeight="1" x14ac:dyDescent="0.2">
      <c r="F309" s="41"/>
    </row>
    <row r="310" spans="1:12" ht="15.75" customHeight="1" x14ac:dyDescent="0.2">
      <c r="F310" s="45"/>
    </row>
    <row r="311" spans="1:12" ht="15.75" customHeight="1" x14ac:dyDescent="0.2">
      <c r="F311" s="43"/>
    </row>
    <row r="312" spans="1:12" ht="15.75" customHeight="1" x14ac:dyDescent="0.2">
      <c r="F312" s="44"/>
    </row>
    <row r="313" spans="1:12" ht="15.75" customHeight="1" x14ac:dyDescent="0.2">
      <c r="F313" s="43"/>
    </row>
    <row r="314" spans="1:12" ht="15.75" customHeight="1" x14ac:dyDescent="0.2">
      <c r="F314" s="4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27"/>
  <sheetViews>
    <sheetView zoomScale="115" zoomScaleNormal="115" workbookViewId="0">
      <pane ySplit="1" topLeftCell="A507" activePane="bottomLeft" state="frozen"/>
      <selection activeCell="C11" sqref="C11"/>
      <selection pane="bottomLeft" activeCell="A527" sqref="A527"/>
    </sheetView>
  </sheetViews>
  <sheetFormatPr defaultColWidth="14.42578125" defaultRowHeight="15.75" customHeight="1" x14ac:dyDescent="0.2"/>
  <cols>
    <col min="1" max="1" width="14.42578125" style="47"/>
    <col min="2" max="2" width="11.85546875" style="47" customWidth="1"/>
    <col min="3" max="3" width="14.42578125" style="47"/>
    <col min="4" max="4" width="17.140625" style="47" customWidth="1"/>
    <col min="5" max="5" width="17.42578125" style="47" customWidth="1"/>
    <col min="6" max="6" width="18.42578125" style="47" customWidth="1"/>
    <col min="7" max="8" width="15.140625" style="47" customWidth="1"/>
    <col min="9" max="9" width="16.5703125" style="47" customWidth="1"/>
    <col min="10" max="10" width="14.42578125" style="47"/>
    <col min="11" max="11" width="15.42578125" style="47" customWidth="1"/>
    <col min="12" max="12" width="18.28515625" style="47" customWidth="1"/>
    <col min="13" max="13" width="16.7109375" style="47" customWidth="1"/>
    <col min="14" max="14" width="17.42578125" style="47" customWidth="1"/>
    <col min="15" max="16" width="12.28515625" style="47" customWidth="1"/>
    <col min="17" max="16384" width="14.42578125" style="47"/>
  </cols>
  <sheetData>
    <row r="1" spans="1:11" ht="48" customHeight="1" x14ac:dyDescent="0.2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</row>
    <row r="2" spans="1:11" ht="12.75" x14ac:dyDescent="0.2">
      <c r="A2" s="48">
        <v>1</v>
      </c>
      <c r="B2" s="48">
        <v>1</v>
      </c>
      <c r="C2" s="48">
        <v>19.56165789473685</v>
      </c>
      <c r="D2" s="48">
        <v>0</v>
      </c>
      <c r="E2" s="48">
        <v>9.2899999999999991</v>
      </c>
      <c r="F2" s="48">
        <v>4</v>
      </c>
      <c r="G2" s="48">
        <v>0</v>
      </c>
      <c r="H2" s="48">
        <v>0.23423684210526316</v>
      </c>
      <c r="I2" s="48">
        <v>0.23421052631578942</v>
      </c>
      <c r="J2" s="48">
        <v>145.22147368421048</v>
      </c>
      <c r="K2" s="48">
        <v>0.48413157894736847</v>
      </c>
    </row>
    <row r="3" spans="1:11" ht="12.75" x14ac:dyDescent="0.2">
      <c r="A3" s="49">
        <v>1</v>
      </c>
      <c r="B3" s="49">
        <v>1</v>
      </c>
      <c r="C3" s="49">
        <v>16.486368421052632</v>
      </c>
      <c r="D3" s="49">
        <v>0</v>
      </c>
      <c r="E3" s="49">
        <v>8.6300000000000008</v>
      </c>
      <c r="F3" s="49">
        <v>4</v>
      </c>
      <c r="G3" s="49">
        <v>4.3631578947368417E-2</v>
      </c>
      <c r="H3" s="49">
        <v>0.16842105263157894</v>
      </c>
      <c r="I3" s="49">
        <v>-13.286842105263156</v>
      </c>
      <c r="J3" s="49">
        <v>45.274973684210529</v>
      </c>
      <c r="K3" s="49">
        <v>0.1746842105263158</v>
      </c>
    </row>
    <row r="4" spans="1:11" ht="12.75" x14ac:dyDescent="0.2">
      <c r="A4" s="50">
        <v>1</v>
      </c>
      <c r="B4" s="50">
        <v>1</v>
      </c>
      <c r="C4" s="50">
        <v>19.956342105263154</v>
      </c>
      <c r="D4" s="50">
        <v>1</v>
      </c>
      <c r="E4" s="50">
        <v>8.98</v>
      </c>
      <c r="F4" s="50">
        <v>3</v>
      </c>
      <c r="G4" s="50">
        <v>1.5E-3</v>
      </c>
      <c r="H4" s="50">
        <v>0.22784210526315787</v>
      </c>
      <c r="I4" s="50">
        <v>-8.3947368421052655</v>
      </c>
      <c r="J4" s="50">
        <v>28.153868421052632</v>
      </c>
      <c r="K4" s="50">
        <v>0.14549999999999996</v>
      </c>
    </row>
    <row r="5" spans="1:11" ht="12.75" x14ac:dyDescent="0.2">
      <c r="A5" s="49">
        <v>1</v>
      </c>
      <c r="B5" s="49">
        <v>1</v>
      </c>
      <c r="C5" s="49">
        <v>11.710263157894737</v>
      </c>
      <c r="D5" s="49">
        <v>0</v>
      </c>
      <c r="E5" s="49">
        <v>3.74</v>
      </c>
      <c r="F5" s="49">
        <v>3</v>
      </c>
      <c r="G5" s="49">
        <v>1.1157894736842104E-2</v>
      </c>
      <c r="H5" s="49">
        <v>5.105263157894737E-2</v>
      </c>
      <c r="I5" s="49">
        <v>-0.47105263157894733</v>
      </c>
      <c r="J5" s="49">
        <v>33.61771052631579</v>
      </c>
      <c r="K5" s="49">
        <v>1.9763157894736847E-2</v>
      </c>
    </row>
    <row r="6" spans="1:11" ht="12.75" x14ac:dyDescent="0.2">
      <c r="A6" s="50">
        <v>1</v>
      </c>
      <c r="B6" s="50">
        <v>1</v>
      </c>
      <c r="C6" s="50">
        <v>7.7703947368421034</v>
      </c>
      <c r="D6" s="50">
        <v>0</v>
      </c>
      <c r="E6" s="50">
        <v>2.29</v>
      </c>
      <c r="F6" s="50">
        <v>2</v>
      </c>
      <c r="G6" s="50">
        <v>1.973684210526316E-2</v>
      </c>
      <c r="H6" s="50">
        <v>8.0552631578947362E-2</v>
      </c>
      <c r="I6" s="50">
        <v>-16.149999999999999</v>
      </c>
      <c r="J6" s="50">
        <v>17.494263157894739</v>
      </c>
      <c r="K6" s="50">
        <v>0.24539473684210525</v>
      </c>
    </row>
    <row r="7" spans="1:11" ht="12.75" x14ac:dyDescent="0.2">
      <c r="A7" s="51">
        <v>1</v>
      </c>
      <c r="B7" s="51">
        <v>1</v>
      </c>
      <c r="C7" s="51">
        <v>16.478026315789474</v>
      </c>
      <c r="D7" s="51">
        <v>0</v>
      </c>
      <c r="E7" s="51">
        <v>4.29</v>
      </c>
      <c r="F7" s="51">
        <v>2</v>
      </c>
      <c r="G7" s="51">
        <v>4.6315789473684206E-3</v>
      </c>
      <c r="H7" s="51">
        <v>0.4836052631578947</v>
      </c>
      <c r="I7" s="51">
        <v>-1.5078947368421052</v>
      </c>
      <c r="J7" s="51">
        <v>15.010526315789477</v>
      </c>
      <c r="K7" s="51">
        <v>2.5710526315789458E-2</v>
      </c>
    </row>
    <row r="8" spans="1:11" ht="12.75" x14ac:dyDescent="0.2">
      <c r="A8" s="48">
        <v>1</v>
      </c>
      <c r="B8" s="48">
        <v>2</v>
      </c>
      <c r="C8" s="48">
        <v>23.362260319207493</v>
      </c>
      <c r="D8" s="48">
        <v>0</v>
      </c>
      <c r="E8" s="48">
        <v>4.41</v>
      </c>
      <c r="F8" s="48">
        <v>4</v>
      </c>
      <c r="G8" s="48">
        <v>0</v>
      </c>
      <c r="H8" s="48">
        <v>0.49077875619152395</v>
      </c>
      <c r="I8" s="48">
        <v>0.51034672537148917</v>
      </c>
      <c r="J8" s="48">
        <v>0</v>
      </c>
      <c r="K8" s="48">
        <v>-0.29121794166208037</v>
      </c>
    </row>
    <row r="9" spans="1:11" ht="12.75" x14ac:dyDescent="0.2">
      <c r="A9" s="49">
        <v>1</v>
      </c>
      <c r="B9" s="49">
        <v>2</v>
      </c>
      <c r="C9" s="49">
        <v>34.939642267473857</v>
      </c>
      <c r="D9" s="49">
        <v>0</v>
      </c>
      <c r="E9" s="49">
        <v>5.17</v>
      </c>
      <c r="F9" s="49">
        <v>4</v>
      </c>
      <c r="G9" s="49">
        <v>6.3973582828838757E-3</v>
      </c>
      <c r="H9" s="49">
        <v>0.50325151348376607</v>
      </c>
      <c r="I9" s="49">
        <v>-12.193615850302708</v>
      </c>
      <c r="J9" s="49">
        <v>102.15478315905345</v>
      </c>
      <c r="K9" s="49">
        <v>-0.22411887727022564</v>
      </c>
    </row>
    <row r="10" spans="1:11" ht="12.75" x14ac:dyDescent="0.2">
      <c r="A10" s="50">
        <v>1</v>
      </c>
      <c r="B10" s="50">
        <v>2</v>
      </c>
      <c r="C10" s="50">
        <v>38.007719867914105</v>
      </c>
      <c r="D10" s="50">
        <v>0</v>
      </c>
      <c r="E10" s="50">
        <v>5.4</v>
      </c>
      <c r="F10" s="50">
        <v>3</v>
      </c>
      <c r="G10" s="50">
        <v>2.4986241056686844E-3</v>
      </c>
      <c r="H10" s="50">
        <v>0.66399174463401156</v>
      </c>
      <c r="I10" s="50">
        <v>-6.9895432030819798E-2</v>
      </c>
      <c r="J10" s="50">
        <v>79.319921849201805</v>
      </c>
      <c r="K10" s="50">
        <v>0.21485470555861277</v>
      </c>
    </row>
    <row r="11" spans="1:11" ht="12.75" x14ac:dyDescent="0.2">
      <c r="A11" s="49">
        <v>1</v>
      </c>
      <c r="B11" s="49">
        <v>2</v>
      </c>
      <c r="C11" s="49">
        <v>36.883058888277397</v>
      </c>
      <c r="D11" s="49">
        <v>0</v>
      </c>
      <c r="E11" s="49">
        <v>3.01</v>
      </c>
      <c r="F11" s="49">
        <v>3</v>
      </c>
      <c r="G11" s="49">
        <v>1.8161805173362687E-5</v>
      </c>
      <c r="H11" s="49">
        <v>0.60353824986240812</v>
      </c>
      <c r="I11" s="49">
        <v>-13.309631260319202</v>
      </c>
      <c r="J11" s="49">
        <v>21.35891634562465</v>
      </c>
      <c r="K11" s="49">
        <v>0.29873087506879464</v>
      </c>
    </row>
    <row r="12" spans="1:11" ht="12.75" x14ac:dyDescent="0.2">
      <c r="A12" s="50">
        <v>1</v>
      </c>
      <c r="B12" s="50">
        <v>2</v>
      </c>
      <c r="C12" s="50">
        <v>36.267837094111101</v>
      </c>
      <c r="D12" s="50">
        <v>0</v>
      </c>
      <c r="E12" s="50">
        <v>1.75</v>
      </c>
      <c r="F12" s="50">
        <v>2</v>
      </c>
      <c r="G12" s="50">
        <v>0</v>
      </c>
      <c r="H12" s="50">
        <v>0.53570555861309677</v>
      </c>
      <c r="I12" s="50">
        <v>-12.990203632361041</v>
      </c>
      <c r="J12" s="50">
        <v>31.74100605393507</v>
      </c>
      <c r="K12" s="50">
        <v>0.12026692350027525</v>
      </c>
    </row>
    <row r="13" spans="1:11" ht="12.75" x14ac:dyDescent="0.2">
      <c r="A13" s="51">
        <v>1</v>
      </c>
      <c r="B13" s="51">
        <v>2</v>
      </c>
      <c r="C13" s="51">
        <v>34.750372592184931</v>
      </c>
      <c r="D13" s="51">
        <v>1</v>
      </c>
      <c r="E13" s="51">
        <v>9.8699999999999992</v>
      </c>
      <c r="F13" s="51">
        <v>2</v>
      </c>
      <c r="G13" s="51">
        <v>0</v>
      </c>
      <c r="H13" s="51">
        <v>0.54745514584480304</v>
      </c>
      <c r="I13" s="51">
        <v>-6.0594386351128335E-2</v>
      </c>
      <c r="J13" s="51">
        <v>0</v>
      </c>
      <c r="K13" s="51">
        <v>0.13704127682993941</v>
      </c>
    </row>
    <row r="14" spans="1:11" ht="12.75" x14ac:dyDescent="0.2">
      <c r="A14" s="48">
        <v>1</v>
      </c>
      <c r="B14" s="48">
        <v>3</v>
      </c>
      <c r="C14" s="48">
        <v>18.905793103448271</v>
      </c>
      <c r="D14" s="48">
        <v>0</v>
      </c>
      <c r="E14" s="48">
        <v>4.16</v>
      </c>
      <c r="F14" s="48">
        <v>4</v>
      </c>
      <c r="G14" s="48">
        <v>6.1034482758620685E-3</v>
      </c>
      <c r="H14" s="48">
        <v>0.31000000000000011</v>
      </c>
      <c r="I14" s="48">
        <v>0.11034482758620692</v>
      </c>
      <c r="J14" s="48">
        <v>0</v>
      </c>
      <c r="K14" s="48">
        <v>0.31168965517241376</v>
      </c>
    </row>
    <row r="15" spans="1:11" ht="12.75" x14ac:dyDescent="0.2">
      <c r="A15" s="49">
        <v>1</v>
      </c>
      <c r="B15" s="49">
        <v>3</v>
      </c>
      <c r="C15" s="49">
        <v>9.1640344827586215</v>
      </c>
      <c r="D15" s="49">
        <v>0</v>
      </c>
      <c r="E15" s="49">
        <v>3.42</v>
      </c>
      <c r="F15" s="49">
        <v>4</v>
      </c>
      <c r="G15" s="49">
        <v>4.1482758620689661E-2</v>
      </c>
      <c r="H15" s="49">
        <v>6.9620689655172402E-2</v>
      </c>
      <c r="I15" s="49">
        <v>-17.882758620689657</v>
      </c>
      <c r="J15" s="49">
        <v>9.2116206896551738</v>
      </c>
      <c r="K15" s="49">
        <v>-8.3862068965517234E-2</v>
      </c>
    </row>
    <row r="16" spans="1:11" ht="12.75" x14ac:dyDescent="0.2">
      <c r="A16" s="50">
        <v>1</v>
      </c>
      <c r="B16" s="50">
        <v>3</v>
      </c>
      <c r="C16" s="50">
        <v>15.101551724137931</v>
      </c>
      <c r="D16" s="50">
        <v>0</v>
      </c>
      <c r="E16" s="50">
        <v>2.54</v>
      </c>
      <c r="F16" s="50">
        <v>3</v>
      </c>
      <c r="G16" s="50">
        <v>2.4862068965517244E-2</v>
      </c>
      <c r="H16" s="50">
        <v>0.14048275862068968</v>
      </c>
      <c r="I16" s="50">
        <v>0.39999999999999986</v>
      </c>
      <c r="J16" s="50">
        <v>0</v>
      </c>
      <c r="K16" s="50">
        <v>-0.17306896551724135</v>
      </c>
    </row>
    <row r="17" spans="1:11" ht="12.75" x14ac:dyDescent="0.2">
      <c r="A17" s="49">
        <v>1</v>
      </c>
      <c r="B17" s="49">
        <v>3</v>
      </c>
      <c r="C17" s="49">
        <v>16.546482758620691</v>
      </c>
      <c r="D17" s="49">
        <v>0</v>
      </c>
      <c r="E17" s="49">
        <v>4.34</v>
      </c>
      <c r="F17" s="49">
        <v>3</v>
      </c>
      <c r="G17" s="49">
        <v>2.379310344827586E-2</v>
      </c>
      <c r="H17" s="49">
        <v>0.18075862068965518</v>
      </c>
      <c r="I17" s="49">
        <v>-12.075862068965519</v>
      </c>
      <c r="J17" s="49">
        <v>22.481655172413795</v>
      </c>
      <c r="K17" s="49">
        <v>-3.4827586206896658E-3</v>
      </c>
    </row>
    <row r="18" spans="1:11" ht="12.75" x14ac:dyDescent="0.2">
      <c r="A18" s="50">
        <v>1</v>
      </c>
      <c r="B18" s="50">
        <v>3</v>
      </c>
      <c r="C18" s="50">
        <v>14.982931034482759</v>
      </c>
      <c r="D18" s="50">
        <v>0</v>
      </c>
      <c r="E18" s="50">
        <v>1.57</v>
      </c>
      <c r="F18" s="50">
        <v>2</v>
      </c>
      <c r="G18" s="50">
        <v>7.9310344827586213E-3</v>
      </c>
      <c r="H18" s="50">
        <v>0.18637931034482763</v>
      </c>
      <c r="I18" s="50">
        <v>-3.4482758620689523E-2</v>
      </c>
      <c r="J18" s="50">
        <v>28.824206896551726</v>
      </c>
      <c r="K18" s="50">
        <v>-1.1206896551724127E-2</v>
      </c>
    </row>
    <row r="19" spans="1:11" ht="12.75" x14ac:dyDescent="0.2">
      <c r="A19" s="51">
        <v>1</v>
      </c>
      <c r="B19" s="51">
        <v>3</v>
      </c>
      <c r="C19" s="51">
        <v>13.144793103448272</v>
      </c>
      <c r="D19" s="51">
        <v>0</v>
      </c>
      <c r="E19" s="51">
        <v>2.6</v>
      </c>
      <c r="F19" s="51">
        <v>2</v>
      </c>
      <c r="G19" s="51">
        <v>2.7413793103448277E-2</v>
      </c>
      <c r="H19" s="51">
        <v>9.8896551724137943E-2</v>
      </c>
      <c r="I19" s="51">
        <v>-18.310344827586217</v>
      </c>
      <c r="J19" s="51">
        <v>34.72706896551724</v>
      </c>
      <c r="K19" s="51">
        <v>0.30144827586206885</v>
      </c>
    </row>
    <row r="20" spans="1:11" ht="12.75" x14ac:dyDescent="0.2">
      <c r="A20" s="48">
        <v>2</v>
      </c>
      <c r="B20" s="48">
        <v>1</v>
      </c>
      <c r="C20" s="48">
        <v>13.200259259259258</v>
      </c>
      <c r="D20" s="48">
        <v>0</v>
      </c>
      <c r="E20" s="48">
        <v>5.09</v>
      </c>
      <c r="F20" s="48">
        <v>4</v>
      </c>
      <c r="G20" s="48">
        <v>0</v>
      </c>
      <c r="H20" s="48">
        <v>0.17603703703703696</v>
      </c>
      <c r="I20" s="48">
        <v>-5.7814814814814799</v>
      </c>
      <c r="J20" s="48">
        <v>0</v>
      </c>
      <c r="K20" s="48">
        <v>5.2555555555555557E-2</v>
      </c>
    </row>
    <row r="21" spans="1:11" ht="12.75" x14ac:dyDescent="0.2">
      <c r="A21" s="49">
        <v>2</v>
      </c>
      <c r="B21" s="49">
        <v>1</v>
      </c>
      <c r="C21" s="49">
        <v>19.608296296296299</v>
      </c>
      <c r="D21" s="49">
        <v>0</v>
      </c>
      <c r="E21" s="49">
        <v>4.58</v>
      </c>
      <c r="F21" s="49">
        <v>4</v>
      </c>
      <c r="G21" s="49">
        <v>8.518518518518519E-3</v>
      </c>
      <c r="H21" s="49">
        <v>0.14888888888888888</v>
      </c>
      <c r="I21" s="49">
        <v>0.11111111111111115</v>
      </c>
      <c r="J21" s="49">
        <v>0</v>
      </c>
      <c r="K21" s="49">
        <v>0.18211111111111108</v>
      </c>
    </row>
    <row r="22" spans="1:11" ht="12.75" x14ac:dyDescent="0.2">
      <c r="A22" s="50">
        <v>2</v>
      </c>
      <c r="B22" s="50">
        <v>1</v>
      </c>
      <c r="C22" s="50">
        <v>11.583111111111112</v>
      </c>
      <c r="D22" s="50">
        <v>0</v>
      </c>
      <c r="E22" s="50">
        <v>2.58</v>
      </c>
      <c r="F22" s="50">
        <v>3</v>
      </c>
      <c r="G22" s="50">
        <v>1.988888888888889E-2</v>
      </c>
      <c r="H22" s="50">
        <v>0.1411111111111111</v>
      </c>
      <c r="I22" s="50">
        <v>-21.225925925925921</v>
      </c>
      <c r="J22" s="50">
        <v>35.946296296296296</v>
      </c>
      <c r="K22" s="50">
        <v>9.6888888888888899E-2</v>
      </c>
    </row>
    <row r="23" spans="1:11" ht="12.75" x14ac:dyDescent="0.2">
      <c r="A23" s="49">
        <v>2</v>
      </c>
      <c r="B23" s="49">
        <v>1</v>
      </c>
      <c r="C23" s="49">
        <v>19.694518518518517</v>
      </c>
      <c r="D23" s="49">
        <v>0</v>
      </c>
      <c r="E23" s="49">
        <v>5.33</v>
      </c>
      <c r="F23" s="49">
        <v>3</v>
      </c>
      <c r="G23" s="49">
        <v>0</v>
      </c>
      <c r="H23" s="49">
        <v>0.16366666666666665</v>
      </c>
      <c r="I23" s="49">
        <v>-5.9888888888888898</v>
      </c>
      <c r="J23" s="49">
        <v>0</v>
      </c>
      <c r="K23" s="49">
        <v>5.9185185185185188E-2</v>
      </c>
    </row>
    <row r="24" spans="1:11" ht="12.75" x14ac:dyDescent="0.2">
      <c r="A24" s="50">
        <v>2</v>
      </c>
      <c r="B24" s="50">
        <v>1</v>
      </c>
      <c r="C24" s="50">
        <v>16.37233333333333</v>
      </c>
      <c r="D24" s="50">
        <v>0</v>
      </c>
      <c r="E24" s="50">
        <v>1.36</v>
      </c>
      <c r="F24" s="50">
        <v>2</v>
      </c>
      <c r="G24" s="50">
        <v>1.4592592592592593E-2</v>
      </c>
      <c r="H24" s="50">
        <v>7.5444444444444439E-2</v>
      </c>
      <c r="I24" s="50">
        <v>-5.7814814814814799</v>
      </c>
      <c r="J24" s="50">
        <v>27.994703703703703</v>
      </c>
      <c r="K24" s="50">
        <v>-0.102925925925926</v>
      </c>
    </row>
    <row r="25" spans="1:11" ht="12.75" x14ac:dyDescent="0.2">
      <c r="A25" s="51">
        <v>2</v>
      </c>
      <c r="B25" s="51">
        <v>1</v>
      </c>
      <c r="C25" s="51">
        <v>9.4452962962962967</v>
      </c>
      <c r="D25" s="51">
        <v>0</v>
      </c>
      <c r="E25" s="51">
        <v>3.72</v>
      </c>
      <c r="F25" s="51">
        <v>2</v>
      </c>
      <c r="G25" s="51">
        <v>0</v>
      </c>
      <c r="H25" s="51">
        <v>7.4333333333333335E-2</v>
      </c>
      <c r="I25" s="51">
        <v>0.11111111111111108</v>
      </c>
      <c r="J25" s="51">
        <v>18.113333333333326</v>
      </c>
      <c r="K25" s="51">
        <v>2.3962962962962967E-2</v>
      </c>
    </row>
    <row r="26" spans="1:11" ht="12.75" x14ac:dyDescent="0.2">
      <c r="A26" s="48">
        <v>2</v>
      </c>
      <c r="B26" s="48">
        <v>2</v>
      </c>
      <c r="C26" s="48">
        <v>10.870646070192784</v>
      </c>
      <c r="D26" s="48">
        <v>0</v>
      </c>
      <c r="E26" s="48">
        <v>5</v>
      </c>
      <c r="F26" s="48">
        <v>4</v>
      </c>
      <c r="G26" s="48">
        <v>0</v>
      </c>
      <c r="H26" s="48">
        <v>0.14947899159663813</v>
      </c>
      <c r="I26" s="48">
        <v>1.0389026198714768</v>
      </c>
      <c r="J26" s="48">
        <v>16.970426099851707</v>
      </c>
      <c r="K26" s="48">
        <v>0.6852718734552623</v>
      </c>
    </row>
    <row r="27" spans="1:11" ht="12.75" x14ac:dyDescent="0.2">
      <c r="A27" s="49">
        <v>2</v>
      </c>
      <c r="B27" s="49">
        <v>2</v>
      </c>
      <c r="C27" s="49">
        <v>22.533027681660908</v>
      </c>
      <c r="D27" s="49">
        <v>0</v>
      </c>
      <c r="E27" s="49">
        <v>5.73</v>
      </c>
      <c r="F27" s="49">
        <v>4</v>
      </c>
      <c r="G27" s="49">
        <v>0</v>
      </c>
      <c r="H27" s="49">
        <v>0.22943598615916871</v>
      </c>
      <c r="I27" s="49">
        <v>5.8131487889273699E-2</v>
      </c>
      <c r="J27" s="49">
        <v>4.8088981710331202</v>
      </c>
      <c r="K27" s="49">
        <v>0.29544340088976773</v>
      </c>
    </row>
    <row r="28" spans="1:11" ht="12.75" x14ac:dyDescent="0.2">
      <c r="A28" s="50">
        <v>2</v>
      </c>
      <c r="B28" s="50">
        <v>2</v>
      </c>
      <c r="C28" s="50">
        <v>26.264284725654896</v>
      </c>
      <c r="D28" s="50">
        <v>0</v>
      </c>
      <c r="E28" s="50">
        <v>3.18</v>
      </c>
      <c r="F28" s="50">
        <v>3</v>
      </c>
      <c r="G28" s="50">
        <v>0</v>
      </c>
      <c r="H28" s="50">
        <v>0.25592387543252226</v>
      </c>
      <c r="I28" s="50">
        <v>-9.3825012357884763</v>
      </c>
      <c r="J28" s="50">
        <v>0</v>
      </c>
      <c r="K28" s="50">
        <v>-9.2438952051408771E-2</v>
      </c>
    </row>
    <row r="29" spans="1:11" ht="12.75" x14ac:dyDescent="0.2">
      <c r="A29" s="49">
        <v>2</v>
      </c>
      <c r="B29" s="49">
        <v>2</v>
      </c>
      <c r="C29" s="49">
        <v>28.042085022244201</v>
      </c>
      <c r="D29" s="49">
        <v>0</v>
      </c>
      <c r="E29" s="49">
        <v>3.05</v>
      </c>
      <c r="F29" s="49">
        <v>3</v>
      </c>
      <c r="G29" s="49">
        <v>0</v>
      </c>
      <c r="H29" s="49">
        <v>0.2592199703410793</v>
      </c>
      <c r="I29" s="49">
        <v>-0.54819574888779043</v>
      </c>
      <c r="J29" s="49">
        <v>0</v>
      </c>
      <c r="K29" s="49">
        <v>0.12799555116164135</v>
      </c>
    </row>
    <row r="30" spans="1:11" ht="12.75" x14ac:dyDescent="0.2">
      <c r="A30" s="50">
        <v>2</v>
      </c>
      <c r="B30" s="50">
        <v>2</v>
      </c>
      <c r="C30" s="50">
        <v>28.067464656450838</v>
      </c>
      <c r="D30" s="50">
        <v>0</v>
      </c>
      <c r="E30" s="50">
        <v>14.71</v>
      </c>
      <c r="F30" s="50">
        <v>2</v>
      </c>
      <c r="G30" s="50">
        <v>0</v>
      </c>
      <c r="H30" s="50">
        <v>0.25700939199208922</v>
      </c>
      <c r="I30" s="50">
        <v>-9.7542758279782618</v>
      </c>
      <c r="J30" s="50">
        <v>0</v>
      </c>
      <c r="K30" s="50">
        <v>0.2185931784478499</v>
      </c>
    </row>
    <row r="31" spans="1:11" ht="12.75" x14ac:dyDescent="0.2">
      <c r="A31" s="51">
        <v>2</v>
      </c>
      <c r="B31" s="51">
        <v>2</v>
      </c>
      <c r="C31" s="51">
        <v>28.263288680178125</v>
      </c>
      <c r="D31" s="51">
        <v>2</v>
      </c>
      <c r="E31" s="51">
        <v>3.17</v>
      </c>
      <c r="F31" s="51">
        <v>2</v>
      </c>
      <c r="G31" s="51">
        <v>0</v>
      </c>
      <c r="H31" s="51">
        <v>0.24471379139891491</v>
      </c>
      <c r="I31" s="51">
        <v>-5.3765200197726122</v>
      </c>
      <c r="J31" s="51">
        <v>0</v>
      </c>
      <c r="K31" s="51">
        <v>0.49337320810677271</v>
      </c>
    </row>
    <row r="32" spans="1:11" ht="12.75" x14ac:dyDescent="0.2">
      <c r="A32" s="48">
        <v>2</v>
      </c>
      <c r="B32" s="48">
        <v>3</v>
      </c>
      <c r="C32" s="48">
        <v>12.314965517241381</v>
      </c>
      <c r="D32" s="48">
        <v>0</v>
      </c>
      <c r="E32" s="48">
        <v>6.2</v>
      </c>
      <c r="F32" s="48">
        <v>4</v>
      </c>
      <c r="G32" s="48">
        <v>0</v>
      </c>
      <c r="H32" s="48">
        <v>0.16782758620689661</v>
      </c>
      <c r="I32" s="48">
        <v>-0.59999999999999987</v>
      </c>
      <c r="J32" s="48">
        <v>20.736586206896551</v>
      </c>
      <c r="K32" s="48">
        <v>9.2862068965517214E-2</v>
      </c>
    </row>
    <row r="33" spans="1:11" ht="12.75" x14ac:dyDescent="0.2">
      <c r="A33" s="49">
        <v>2</v>
      </c>
      <c r="B33" s="49">
        <v>3</v>
      </c>
      <c r="C33" s="49">
        <v>13.487275862068964</v>
      </c>
      <c r="D33" s="49">
        <v>0</v>
      </c>
      <c r="E33" s="49">
        <v>7.73</v>
      </c>
      <c r="F33" s="49">
        <v>4</v>
      </c>
      <c r="G33" s="49">
        <v>3.7068965517241384E-2</v>
      </c>
      <c r="H33" s="49">
        <v>7.5241379310344844E-2</v>
      </c>
      <c r="I33" s="49">
        <v>-0.18965517241379309</v>
      </c>
      <c r="J33" s="49">
        <v>5.1388275862068955</v>
      </c>
      <c r="K33" s="49">
        <v>-0.19982758620689656</v>
      </c>
    </row>
    <row r="34" spans="1:11" ht="12.75" x14ac:dyDescent="0.2">
      <c r="A34" s="50">
        <v>2</v>
      </c>
      <c r="B34" s="50">
        <v>3</v>
      </c>
      <c r="C34" s="50">
        <v>13.731</v>
      </c>
      <c r="D34" s="50">
        <v>0</v>
      </c>
      <c r="E34" s="50">
        <v>8.31</v>
      </c>
      <c r="F34" s="50">
        <v>3</v>
      </c>
      <c r="G34" s="50">
        <v>0</v>
      </c>
      <c r="H34" s="50">
        <v>0.16679310344827589</v>
      </c>
      <c r="I34" s="50">
        <v>-19.572413793103436</v>
      </c>
      <c r="J34" s="50">
        <v>60.851137931034479</v>
      </c>
      <c r="K34" s="50">
        <v>-3.9379310344827577E-2</v>
      </c>
    </row>
    <row r="35" spans="1:11" ht="12.75" x14ac:dyDescent="0.2">
      <c r="A35" s="49">
        <v>2</v>
      </c>
      <c r="B35" s="49">
        <v>3</v>
      </c>
      <c r="C35" s="49">
        <v>14.823758620689659</v>
      </c>
      <c r="D35" s="49">
        <v>0</v>
      </c>
      <c r="E35" s="49">
        <v>4.29</v>
      </c>
      <c r="F35" s="49">
        <v>3</v>
      </c>
      <c r="G35" s="49">
        <v>1.0586206896551724E-2</v>
      </c>
      <c r="H35" s="49">
        <v>0.13344827586206898</v>
      </c>
      <c r="I35" s="49">
        <v>-8.586206896551726</v>
      </c>
      <c r="J35" s="49">
        <v>6.8657241379310356</v>
      </c>
      <c r="K35" s="49">
        <v>-0.12975862068965516</v>
      </c>
    </row>
    <row r="36" spans="1:11" ht="12.75" x14ac:dyDescent="0.2">
      <c r="A36" s="50">
        <v>2</v>
      </c>
      <c r="B36" s="50">
        <v>3</v>
      </c>
      <c r="C36" s="50">
        <v>14.458517241379313</v>
      </c>
      <c r="D36" s="50">
        <v>0</v>
      </c>
      <c r="E36" s="50">
        <v>3.14</v>
      </c>
      <c r="F36" s="50">
        <v>2</v>
      </c>
      <c r="G36" s="50">
        <v>3.1310344827586205E-2</v>
      </c>
      <c r="H36" s="50">
        <v>0.16034482758620691</v>
      </c>
      <c r="I36" s="50">
        <v>-4.4241379310344815</v>
      </c>
      <c r="J36" s="50">
        <v>26.659137931034479</v>
      </c>
      <c r="K36" s="50">
        <v>-0.26824137931034486</v>
      </c>
    </row>
    <row r="37" spans="1:11" ht="12.75" x14ac:dyDescent="0.2">
      <c r="A37" s="51">
        <v>2</v>
      </c>
      <c r="B37" s="51">
        <v>3</v>
      </c>
      <c r="C37" s="51">
        <v>11.11913793103448</v>
      </c>
      <c r="D37" s="51">
        <v>0</v>
      </c>
      <c r="E37" s="51">
        <v>3.18</v>
      </c>
      <c r="F37" s="51">
        <v>2</v>
      </c>
      <c r="G37" s="51">
        <v>3.5793103448275861E-2</v>
      </c>
      <c r="H37" s="51">
        <v>9.5068965517241352E-2</v>
      </c>
      <c r="I37" s="51">
        <v>-20.286206896551725</v>
      </c>
      <c r="J37" s="51">
        <v>35.898482758620688</v>
      </c>
      <c r="K37" s="51">
        <v>5.5344827586206909E-2</v>
      </c>
    </row>
    <row r="38" spans="1:11" ht="12.75" x14ac:dyDescent="0.2">
      <c r="A38" s="48">
        <v>3</v>
      </c>
      <c r="B38" s="48">
        <v>1</v>
      </c>
      <c r="C38" s="48">
        <v>13.771275862068968</v>
      </c>
      <c r="D38" s="48">
        <v>0</v>
      </c>
      <c r="E38" s="48">
        <v>4.54</v>
      </c>
      <c r="F38" s="48">
        <v>4</v>
      </c>
      <c r="G38" s="48">
        <v>0</v>
      </c>
      <c r="H38" s="48">
        <v>0.18720689655172409</v>
      </c>
      <c r="I38" s="48">
        <v>1.7275862068965513</v>
      </c>
      <c r="J38" s="48">
        <v>41.897551724137934</v>
      </c>
      <c r="K38" s="48">
        <v>-8.5586206896551748E-2</v>
      </c>
    </row>
    <row r="39" spans="1:11" ht="12.75" x14ac:dyDescent="0.2">
      <c r="A39" s="49">
        <v>3</v>
      </c>
      <c r="B39" s="49">
        <v>1</v>
      </c>
      <c r="C39" s="49">
        <v>16.93241379310345</v>
      </c>
      <c r="D39" s="49">
        <v>0</v>
      </c>
      <c r="E39" s="49">
        <v>5.24</v>
      </c>
      <c r="F39" s="49">
        <v>4</v>
      </c>
      <c r="G39" s="49">
        <v>0</v>
      </c>
      <c r="H39" s="49">
        <v>0.11086206896551723</v>
      </c>
      <c r="I39" s="49">
        <v>-0.57586206896551717</v>
      </c>
      <c r="J39" s="49">
        <v>127.64662068965517</v>
      </c>
      <c r="K39" s="49">
        <v>-0.30134482758620684</v>
      </c>
    </row>
    <row r="40" spans="1:11" ht="12.75" x14ac:dyDescent="0.2">
      <c r="A40" s="50">
        <v>3</v>
      </c>
      <c r="B40" s="50">
        <v>1</v>
      </c>
      <c r="C40" s="50">
        <v>10.145241379310345</v>
      </c>
      <c r="D40" s="50">
        <v>0</v>
      </c>
      <c r="E40" s="50">
        <v>2.84</v>
      </c>
      <c r="F40" s="50">
        <v>3</v>
      </c>
      <c r="G40" s="50">
        <v>3.9E-2</v>
      </c>
      <c r="H40" s="50">
        <v>0.13448275862068967</v>
      </c>
      <c r="I40" s="50">
        <v>-23.627586206896549</v>
      </c>
      <c r="J40" s="50">
        <v>12.403241379310346</v>
      </c>
      <c r="K40" s="50">
        <v>0.20548275862068968</v>
      </c>
    </row>
    <row r="41" spans="1:11" ht="12.75" x14ac:dyDescent="0.2">
      <c r="A41" s="49">
        <v>3</v>
      </c>
      <c r="B41" s="49">
        <v>1</v>
      </c>
      <c r="C41" s="49">
        <v>16.774551724137929</v>
      </c>
      <c r="D41" s="49">
        <v>0</v>
      </c>
      <c r="E41" s="49">
        <v>3.36</v>
      </c>
      <c r="F41" s="49">
        <v>3</v>
      </c>
      <c r="G41" s="49">
        <v>0</v>
      </c>
      <c r="H41" s="49">
        <v>0.10624137931034484</v>
      </c>
      <c r="I41" s="49">
        <v>-4.113793103448276</v>
      </c>
      <c r="J41" s="49">
        <v>0</v>
      </c>
      <c r="K41" s="49">
        <v>-0.23262068965517246</v>
      </c>
    </row>
    <row r="42" spans="1:11" ht="12.75" x14ac:dyDescent="0.2">
      <c r="A42" s="50">
        <v>3</v>
      </c>
      <c r="B42" s="50">
        <v>1</v>
      </c>
      <c r="C42" s="50">
        <v>15.705103448275862</v>
      </c>
      <c r="D42" s="50">
        <v>0</v>
      </c>
      <c r="E42" s="50">
        <v>2.27</v>
      </c>
      <c r="F42" s="50">
        <v>2</v>
      </c>
      <c r="G42" s="50">
        <v>0</v>
      </c>
      <c r="H42" s="50">
        <v>0.10324137931034481</v>
      </c>
      <c r="I42" s="50">
        <v>-7.6620689655172409</v>
      </c>
      <c r="J42" s="50">
        <v>13.090931034482759</v>
      </c>
      <c r="K42" s="50">
        <v>-0.34462068965517245</v>
      </c>
    </row>
    <row r="43" spans="1:11" ht="12.75" x14ac:dyDescent="0.2">
      <c r="A43" s="49">
        <v>3</v>
      </c>
      <c r="B43" s="49">
        <v>1</v>
      </c>
      <c r="C43" s="49">
        <v>10.412517241379309</v>
      </c>
      <c r="D43" s="49">
        <v>0</v>
      </c>
      <c r="E43" s="49">
        <v>1.8</v>
      </c>
      <c r="F43" s="49">
        <v>2</v>
      </c>
      <c r="G43" s="49">
        <v>0</v>
      </c>
      <c r="H43" s="49">
        <v>6.5931034482758624E-2</v>
      </c>
      <c r="I43" s="49">
        <v>9.6551724137931047E-2</v>
      </c>
      <c r="J43" s="49">
        <v>22.173137931034482</v>
      </c>
      <c r="K43" s="49">
        <v>-0.23810344827586205</v>
      </c>
    </row>
    <row r="44" spans="1:11" ht="12.75" x14ac:dyDescent="0.2">
      <c r="A44" s="48">
        <v>3</v>
      </c>
      <c r="B44" s="48">
        <v>2</v>
      </c>
      <c r="C44" s="48">
        <v>18.257292513368988</v>
      </c>
      <c r="D44" s="48">
        <v>0</v>
      </c>
      <c r="E44" s="48">
        <v>4.4400000000000004</v>
      </c>
      <c r="F44" s="48">
        <v>4</v>
      </c>
      <c r="G44" s="48">
        <v>4.400160427807482E-2</v>
      </c>
      <c r="H44" s="48">
        <v>0.31717914438502431</v>
      </c>
      <c r="I44" s="48">
        <v>-22.282192513369061</v>
      </c>
      <c r="J44" s="48">
        <v>18.35875989304812</v>
      </c>
      <c r="K44" s="48">
        <v>-4.3016042780745769E-3</v>
      </c>
    </row>
    <row r="45" spans="1:11" ht="12.75" x14ac:dyDescent="0.2">
      <c r="A45" s="49">
        <v>3</v>
      </c>
      <c r="B45" s="49">
        <v>2</v>
      </c>
      <c r="C45" s="49">
        <v>28.022241176470608</v>
      </c>
      <c r="D45" s="49">
        <v>0</v>
      </c>
      <c r="E45" s="49">
        <v>4.97</v>
      </c>
      <c r="F45" s="49">
        <v>4</v>
      </c>
      <c r="G45" s="49">
        <v>0</v>
      </c>
      <c r="H45" s="49">
        <v>0.30066042780748337</v>
      </c>
      <c r="I45" s="49">
        <v>-5.1888770053476083</v>
      </c>
      <c r="J45" s="49">
        <v>0</v>
      </c>
      <c r="K45" s="49">
        <v>-0.34459946524064172</v>
      </c>
    </row>
    <row r="46" spans="1:11" ht="12.75" x14ac:dyDescent="0.2">
      <c r="A46" s="50">
        <v>3</v>
      </c>
      <c r="B46" s="50">
        <v>2</v>
      </c>
      <c r="C46" s="50">
        <v>29.335921925133636</v>
      </c>
      <c r="D46" s="50">
        <v>0</v>
      </c>
      <c r="E46" s="50">
        <v>3.85</v>
      </c>
      <c r="F46" s="50">
        <v>3</v>
      </c>
      <c r="G46" s="50">
        <v>0</v>
      </c>
      <c r="H46" s="50">
        <v>0.29833155080213886</v>
      </c>
      <c r="I46" s="50">
        <v>-5.2859358288769842</v>
      </c>
      <c r="J46" s="50">
        <v>0</v>
      </c>
      <c r="K46" s="50">
        <v>-0.42908663101604377</v>
      </c>
    </row>
    <row r="47" spans="1:11" ht="12.75" x14ac:dyDescent="0.2">
      <c r="A47" s="49">
        <v>3</v>
      </c>
      <c r="B47" s="49">
        <v>2</v>
      </c>
      <c r="C47" s="49">
        <v>28.40787540106955</v>
      </c>
      <c r="D47" s="49">
        <v>0</v>
      </c>
      <c r="E47" s="49">
        <v>3.18</v>
      </c>
      <c r="F47" s="49">
        <v>3</v>
      </c>
      <c r="G47" s="49">
        <v>0</v>
      </c>
      <c r="H47" s="49">
        <v>0.26922780748662989</v>
      </c>
      <c r="I47" s="49">
        <v>-8.3367914438502613</v>
      </c>
      <c r="J47" s="49">
        <v>0</v>
      </c>
      <c r="K47" s="49">
        <v>-0.37290374331550769</v>
      </c>
    </row>
    <row r="48" spans="1:11" ht="12.75" x14ac:dyDescent="0.2">
      <c r="A48" s="50">
        <v>3</v>
      </c>
      <c r="B48" s="50">
        <v>2</v>
      </c>
      <c r="C48" s="50">
        <v>29.220411764705936</v>
      </c>
      <c r="D48" s="50">
        <v>0</v>
      </c>
      <c r="E48" s="50">
        <v>2</v>
      </c>
      <c r="F48" s="50">
        <v>2</v>
      </c>
      <c r="G48" s="50">
        <v>0</v>
      </c>
      <c r="H48" s="50">
        <v>0.31382780748663108</v>
      </c>
      <c r="I48" s="50">
        <v>-2.6320855614973113</v>
      </c>
      <c r="J48" s="50">
        <v>0</v>
      </c>
      <c r="K48" s="50">
        <v>-0.28201176470588174</v>
      </c>
    </row>
    <row r="49" spans="1:11" ht="12.75" x14ac:dyDescent="0.2">
      <c r="A49" s="51">
        <v>3</v>
      </c>
      <c r="B49" s="51">
        <v>2</v>
      </c>
      <c r="C49" s="51">
        <v>28.862486631016093</v>
      </c>
      <c r="D49" s="51">
        <v>0</v>
      </c>
      <c r="E49" s="51">
        <v>3.15</v>
      </c>
      <c r="F49" s="51">
        <v>2</v>
      </c>
      <c r="G49" s="51">
        <v>0</v>
      </c>
      <c r="H49" s="51">
        <v>0.25886256684491976</v>
      </c>
      <c r="I49" s="51">
        <v>-10.745775401069519</v>
      </c>
      <c r="J49" s="51">
        <v>30.787400534759374</v>
      </c>
      <c r="K49" s="51">
        <v>-0.16486898395721925</v>
      </c>
    </row>
    <row r="50" spans="1:11" ht="12.75" x14ac:dyDescent="0.2">
      <c r="A50" s="48">
        <v>3</v>
      </c>
      <c r="B50" s="48">
        <v>3</v>
      </c>
      <c r="C50" s="48">
        <v>15.287879999999996</v>
      </c>
      <c r="D50" s="48">
        <v>0</v>
      </c>
      <c r="E50" s="48">
        <v>4.7</v>
      </c>
      <c r="F50" s="48">
        <v>4</v>
      </c>
      <c r="G50" s="48">
        <v>0</v>
      </c>
      <c r="H50" s="48">
        <v>0.18411999999999998</v>
      </c>
      <c r="I50" s="48">
        <v>0.25999999999999995</v>
      </c>
      <c r="J50" s="48">
        <v>0</v>
      </c>
      <c r="K50" s="48">
        <v>-0.29655999999999999</v>
      </c>
    </row>
    <row r="51" spans="1:11" ht="12.75" x14ac:dyDescent="0.2">
      <c r="A51" s="49">
        <v>3</v>
      </c>
      <c r="B51" s="49">
        <v>3</v>
      </c>
      <c r="C51" s="49">
        <v>14.215839999999998</v>
      </c>
      <c r="D51" s="49">
        <v>0</v>
      </c>
      <c r="E51" s="49">
        <v>5.08</v>
      </c>
      <c r="F51" s="49">
        <v>4</v>
      </c>
      <c r="G51" s="49">
        <v>2.1879999999999997E-2</v>
      </c>
      <c r="H51" s="49">
        <v>6.8879999999999997E-2</v>
      </c>
      <c r="I51" s="49">
        <v>8.0000000000000071E-3</v>
      </c>
      <c r="J51" s="49">
        <v>2.7257599999999997</v>
      </c>
      <c r="K51" s="49">
        <v>-0.37095999999999996</v>
      </c>
    </row>
    <row r="52" spans="1:11" ht="12.75" x14ac:dyDescent="0.2">
      <c r="A52" s="50">
        <v>3</v>
      </c>
      <c r="B52" s="50">
        <v>3</v>
      </c>
      <c r="C52" s="50">
        <v>10.311120000000001</v>
      </c>
      <c r="D52" s="50">
        <v>0</v>
      </c>
      <c r="E52" s="50">
        <v>2.4700000000000002</v>
      </c>
      <c r="F52" s="50">
        <v>3</v>
      </c>
      <c r="G52" s="50">
        <v>1.1160000000000002E-2</v>
      </c>
      <c r="H52" s="50">
        <v>0.15324000000000002</v>
      </c>
      <c r="I52" s="50">
        <v>-22.215999999999994</v>
      </c>
      <c r="J52" s="50">
        <v>39.287959999999991</v>
      </c>
      <c r="K52" s="50">
        <v>8.3040000000000017E-2</v>
      </c>
    </row>
    <row r="53" spans="1:11" ht="12.75" x14ac:dyDescent="0.2">
      <c r="A53" s="49">
        <v>3</v>
      </c>
      <c r="B53" s="49">
        <v>3</v>
      </c>
      <c r="C53" s="49">
        <v>13.461159999999996</v>
      </c>
      <c r="D53" s="49">
        <v>0</v>
      </c>
      <c r="E53" s="49">
        <v>4.9400000000000004</v>
      </c>
      <c r="F53" s="49">
        <v>3</v>
      </c>
      <c r="G53" s="49">
        <v>3.4159999999999996E-2</v>
      </c>
      <c r="H53" s="49">
        <v>0.11075999999999998</v>
      </c>
      <c r="I53" s="49">
        <v>-0.61599999999999999</v>
      </c>
      <c r="J53" s="49">
        <v>41.110799999999998</v>
      </c>
      <c r="K53" s="49">
        <v>-0.29840000000000005</v>
      </c>
    </row>
    <row r="54" spans="1:11" ht="12.75" x14ac:dyDescent="0.2">
      <c r="A54" s="50">
        <v>3</v>
      </c>
      <c r="B54" s="50">
        <v>3</v>
      </c>
      <c r="C54" s="50">
        <v>16.849440000000001</v>
      </c>
      <c r="D54" s="50">
        <v>0</v>
      </c>
      <c r="E54" s="50">
        <v>2.0099999999999998</v>
      </c>
      <c r="F54" s="50">
        <v>2</v>
      </c>
      <c r="G54" s="50">
        <v>2.7919999999999997E-2</v>
      </c>
      <c r="H54" s="50">
        <v>0.12288000000000002</v>
      </c>
      <c r="I54" s="50">
        <v>-13.448000000000002</v>
      </c>
      <c r="J54" s="50">
        <v>43.930640000000004</v>
      </c>
      <c r="K54" s="50">
        <v>-0.24263999999999991</v>
      </c>
    </row>
    <row r="55" spans="1:11" ht="12.75" x14ac:dyDescent="0.2">
      <c r="A55" s="51">
        <v>3</v>
      </c>
      <c r="B55" s="51">
        <v>3</v>
      </c>
      <c r="C55" s="51">
        <v>11.605320000000001</v>
      </c>
      <c r="D55" s="51">
        <v>0</v>
      </c>
      <c r="E55" s="51">
        <v>1.91</v>
      </c>
      <c r="F55" s="51">
        <v>2</v>
      </c>
      <c r="G55" s="51">
        <v>1.4199999999999999E-2</v>
      </c>
      <c r="H55" s="51">
        <v>0.19012000000000001</v>
      </c>
      <c r="I55" s="51">
        <v>-0.24399999999999991</v>
      </c>
      <c r="J55" s="51">
        <v>37.063879999999997</v>
      </c>
      <c r="K55" s="51">
        <v>-0.37056000000000006</v>
      </c>
    </row>
    <row r="56" spans="1:11" ht="12.75" x14ac:dyDescent="0.2">
      <c r="A56" s="48">
        <v>4</v>
      </c>
      <c r="B56" s="48">
        <v>1</v>
      </c>
      <c r="C56" s="48">
        <v>9.7285128205128206</v>
      </c>
      <c r="D56" s="48">
        <v>1</v>
      </c>
      <c r="E56" s="48">
        <v>10.38</v>
      </c>
      <c r="F56" s="48">
        <v>4</v>
      </c>
      <c r="G56" s="48">
        <v>0</v>
      </c>
      <c r="H56" s="48">
        <v>0.15133333333333335</v>
      </c>
      <c r="I56" s="48">
        <v>0.59487179487179487</v>
      </c>
      <c r="J56" s="48">
        <v>0</v>
      </c>
      <c r="K56" s="48">
        <v>-4.0512820512820527E-2</v>
      </c>
    </row>
    <row r="57" spans="1:11" ht="12.75" x14ac:dyDescent="0.2">
      <c r="A57" s="49">
        <v>4</v>
      </c>
      <c r="B57" s="49">
        <v>1</v>
      </c>
      <c r="C57" s="49">
        <v>14.612179487179487</v>
      </c>
      <c r="D57" s="49">
        <v>1</v>
      </c>
      <c r="E57" s="49">
        <v>14.59</v>
      </c>
      <c r="F57" s="49">
        <v>4</v>
      </c>
      <c r="G57" s="49">
        <v>9.948717948717949E-3</v>
      </c>
      <c r="H57" s="49">
        <v>4.5435897435897425E-2</v>
      </c>
      <c r="I57" s="49">
        <v>5.1282051282051336E-2</v>
      </c>
      <c r="J57" s="49">
        <v>0</v>
      </c>
      <c r="K57" s="49">
        <v>-0.44289743589743596</v>
      </c>
    </row>
    <row r="58" spans="1:11" ht="12.75" x14ac:dyDescent="0.2">
      <c r="A58" s="50">
        <v>4</v>
      </c>
      <c r="B58" s="50">
        <v>1</v>
      </c>
      <c r="C58" s="50">
        <v>11.87553846153846</v>
      </c>
      <c r="D58" s="50">
        <v>0</v>
      </c>
      <c r="E58" s="50">
        <v>5.69</v>
      </c>
      <c r="F58" s="50">
        <v>3</v>
      </c>
      <c r="G58" s="50">
        <v>3.5128205128205129E-3</v>
      </c>
      <c r="H58" s="50">
        <v>0.11787179487179482</v>
      </c>
      <c r="I58" s="50">
        <v>-16.117948717948728</v>
      </c>
      <c r="J58" s="50">
        <v>23.671846153846158</v>
      </c>
      <c r="K58" s="50">
        <v>-0.18515384615384611</v>
      </c>
    </row>
    <row r="59" spans="1:11" ht="12.75" x14ac:dyDescent="0.2">
      <c r="A59" s="49">
        <v>4</v>
      </c>
      <c r="B59" s="49">
        <v>1</v>
      </c>
      <c r="C59" s="49">
        <v>17.539615384615388</v>
      </c>
      <c r="D59" s="49">
        <v>0</v>
      </c>
      <c r="E59" s="49">
        <v>4.16</v>
      </c>
      <c r="F59" s="49">
        <v>3</v>
      </c>
      <c r="G59" s="49">
        <v>0</v>
      </c>
      <c r="H59" s="49">
        <v>0.14133333333333331</v>
      </c>
      <c r="I59" s="49">
        <v>-8.4871794871794872</v>
      </c>
      <c r="J59" s="49">
        <v>13.903692307692305</v>
      </c>
      <c r="K59" s="49">
        <v>-0.27425641025641029</v>
      </c>
    </row>
    <row r="60" spans="1:11" ht="12.75" x14ac:dyDescent="0.2">
      <c r="A60" s="50">
        <v>4</v>
      </c>
      <c r="B60" s="50">
        <v>1</v>
      </c>
      <c r="C60" s="50">
        <v>11.774333333333333</v>
      </c>
      <c r="D60" s="50">
        <v>0</v>
      </c>
      <c r="E60" s="50">
        <v>4.37</v>
      </c>
      <c r="F60" s="50">
        <v>2</v>
      </c>
      <c r="G60" s="50">
        <v>0</v>
      </c>
      <c r="H60" s="50">
        <v>8.1435897435897422E-2</v>
      </c>
      <c r="I60" s="50">
        <v>-0.26410256410256405</v>
      </c>
      <c r="J60" s="50">
        <v>74.536589743589744</v>
      </c>
      <c r="K60" s="50">
        <v>-0.93546153846153834</v>
      </c>
    </row>
    <row r="61" spans="1:11" ht="12.75" x14ac:dyDescent="0.2">
      <c r="A61" s="51">
        <v>4</v>
      </c>
      <c r="B61" s="51">
        <v>1</v>
      </c>
      <c r="C61" s="51">
        <v>6.7756923076923083</v>
      </c>
      <c r="D61" s="51">
        <v>1</v>
      </c>
      <c r="E61" s="51">
        <v>3.56</v>
      </c>
      <c r="F61" s="51">
        <v>2</v>
      </c>
      <c r="G61" s="51">
        <v>1.8974358974358976E-2</v>
      </c>
      <c r="H61" s="51">
        <v>5.3410256410256415E-2</v>
      </c>
      <c r="I61" s="51">
        <v>-24.04871794871795</v>
      </c>
      <c r="J61" s="51">
        <v>66.453564102564101</v>
      </c>
      <c r="K61" s="51">
        <v>-0.20115384615384613</v>
      </c>
    </row>
    <row r="62" spans="1:11" ht="12.75" x14ac:dyDescent="0.2">
      <c r="A62" s="48">
        <v>4</v>
      </c>
      <c r="B62" s="48">
        <v>2</v>
      </c>
      <c r="C62" s="48">
        <v>12.374140748550328</v>
      </c>
      <c r="D62" s="48">
        <v>0</v>
      </c>
      <c r="E62" s="48">
        <v>13.33</v>
      </c>
      <c r="F62" s="48">
        <v>4</v>
      </c>
      <c r="G62" s="48">
        <v>0</v>
      </c>
      <c r="H62" s="48">
        <v>0.13758091723774338</v>
      </c>
      <c r="I62" s="48">
        <v>0.6370585134422776</v>
      </c>
      <c r="J62" s="48">
        <v>23.391360569319971</v>
      </c>
      <c r="K62" s="48">
        <v>-0.32471375856615764</v>
      </c>
    </row>
    <row r="63" spans="1:11" ht="12.75" x14ac:dyDescent="0.2">
      <c r="A63" s="49">
        <v>4</v>
      </c>
      <c r="B63" s="49">
        <v>2</v>
      </c>
      <c r="C63" s="49">
        <v>16.603574591460205</v>
      </c>
      <c r="D63" s="49">
        <v>1</v>
      </c>
      <c r="E63" s="49">
        <v>7.3</v>
      </c>
      <c r="F63" s="49">
        <v>4</v>
      </c>
      <c r="G63" s="49">
        <v>0</v>
      </c>
      <c r="H63" s="49">
        <v>0.13095308381655196</v>
      </c>
      <c r="I63" s="49">
        <v>-6.2994201370584493E-2</v>
      </c>
      <c r="J63" s="49">
        <v>0</v>
      </c>
      <c r="K63" s="49">
        <v>-0.61168371112282405</v>
      </c>
    </row>
    <row r="64" spans="1:11" ht="12.75" x14ac:dyDescent="0.2">
      <c r="A64" s="50">
        <v>4</v>
      </c>
      <c r="B64" s="50">
        <v>2</v>
      </c>
      <c r="C64" s="50">
        <v>18.003654717975738</v>
      </c>
      <c r="D64" s="50">
        <v>1</v>
      </c>
      <c r="E64" s="50">
        <v>12.66</v>
      </c>
      <c r="F64" s="50">
        <v>3</v>
      </c>
      <c r="G64" s="50">
        <v>0</v>
      </c>
      <c r="H64" s="50">
        <v>0.14163468634686302</v>
      </c>
      <c r="I64" s="50">
        <v>-6.3799683711122697</v>
      </c>
      <c r="J64" s="50">
        <v>1.308897206114918</v>
      </c>
      <c r="K64" s="50">
        <v>-0.50049077490775007</v>
      </c>
    </row>
    <row r="65" spans="1:11" ht="12.75" x14ac:dyDescent="0.2">
      <c r="A65" s="49">
        <v>4</v>
      </c>
      <c r="B65" s="49">
        <v>2</v>
      </c>
      <c r="C65" s="49">
        <v>19.167594095940974</v>
      </c>
      <c r="D65" s="49">
        <v>0</v>
      </c>
      <c r="E65" s="49">
        <v>3.47</v>
      </c>
      <c r="F65" s="49">
        <v>3</v>
      </c>
      <c r="G65" s="49">
        <v>0</v>
      </c>
      <c r="H65" s="49">
        <v>0.19594464944649384</v>
      </c>
      <c r="I65" s="49">
        <v>-3.7573010015814576</v>
      </c>
      <c r="J65" s="49">
        <v>80.99920453347373</v>
      </c>
      <c r="K65" s="49">
        <v>0.34793726937269359</v>
      </c>
    </row>
    <row r="66" spans="1:11" ht="12.75" x14ac:dyDescent="0.2">
      <c r="A66" s="50">
        <v>4</v>
      </c>
      <c r="B66" s="50">
        <v>2</v>
      </c>
      <c r="C66" s="50">
        <v>27.020068002108591</v>
      </c>
      <c r="D66" s="50">
        <v>0</v>
      </c>
      <c r="E66" s="50">
        <v>5.35</v>
      </c>
      <c r="F66" s="50">
        <v>2</v>
      </c>
      <c r="G66" s="50">
        <v>1.7146020031628875E-2</v>
      </c>
      <c r="H66" s="50">
        <v>0.44466736953083685</v>
      </c>
      <c r="I66" s="50">
        <v>-0.39868212967843941</v>
      </c>
      <c r="J66" s="50">
        <v>21.7831544544017</v>
      </c>
      <c r="K66" s="50">
        <v>4.8124934106483885E-2</v>
      </c>
    </row>
    <row r="67" spans="1:11" ht="12.75" x14ac:dyDescent="0.2">
      <c r="A67" s="51">
        <v>4</v>
      </c>
      <c r="B67" s="51">
        <v>2</v>
      </c>
      <c r="C67" s="51">
        <v>21.452677912493463</v>
      </c>
      <c r="D67" s="51">
        <v>0</v>
      </c>
      <c r="E67" s="51">
        <v>4.32</v>
      </c>
      <c r="F67" s="51">
        <v>2</v>
      </c>
      <c r="G67" s="51">
        <v>0</v>
      </c>
      <c r="H67" s="51">
        <v>0.22751871375856444</v>
      </c>
      <c r="I67" s="51">
        <v>-10.82076963626781</v>
      </c>
      <c r="J67" s="51">
        <v>36.737424354243565</v>
      </c>
      <c r="K67" s="51">
        <v>-0.80065313653136561</v>
      </c>
    </row>
    <row r="68" spans="1:11" ht="12.75" x14ac:dyDescent="0.2">
      <c r="A68" s="48">
        <v>4</v>
      </c>
      <c r="B68" s="48">
        <v>3</v>
      </c>
      <c r="C68" s="48">
        <v>14.510285714285718</v>
      </c>
      <c r="D68" s="48">
        <v>0</v>
      </c>
      <c r="E68" s="48">
        <v>9.17</v>
      </c>
      <c r="F68" s="48">
        <v>4</v>
      </c>
      <c r="G68" s="48">
        <v>0</v>
      </c>
      <c r="H68" s="48">
        <v>0.15538095238095229</v>
      </c>
      <c r="I68" s="48">
        <v>0.78809523809523829</v>
      </c>
      <c r="J68" s="48">
        <v>0</v>
      </c>
      <c r="K68" s="48">
        <v>-0.498</v>
      </c>
    </row>
    <row r="69" spans="1:11" ht="12.75" x14ac:dyDescent="0.2">
      <c r="A69" s="49">
        <v>4</v>
      </c>
      <c r="B69" s="49">
        <v>3</v>
      </c>
      <c r="C69" s="49">
        <v>9.2851904761904756</v>
      </c>
      <c r="D69" s="49">
        <v>1</v>
      </c>
      <c r="E69" s="49">
        <v>19.05</v>
      </c>
      <c r="F69" s="49">
        <v>4</v>
      </c>
      <c r="G69" s="49">
        <v>2.754761904761905E-2</v>
      </c>
      <c r="H69" s="49">
        <v>8.7142857142857147E-2</v>
      </c>
      <c r="I69" s="49">
        <v>-17.94761904761905</v>
      </c>
      <c r="J69" s="49">
        <v>67.811833333333325</v>
      </c>
      <c r="K69" s="49">
        <v>-0.33959523809523817</v>
      </c>
    </row>
    <row r="70" spans="1:11" ht="12.75" x14ac:dyDescent="0.2">
      <c r="A70" s="50">
        <v>4</v>
      </c>
      <c r="B70" s="50">
        <v>3</v>
      </c>
      <c r="C70" s="50">
        <v>17.020333333333337</v>
      </c>
      <c r="D70" s="50">
        <v>1</v>
      </c>
      <c r="E70" s="50">
        <v>12.54</v>
      </c>
      <c r="F70" s="50">
        <v>3</v>
      </c>
      <c r="G70" s="50">
        <v>0</v>
      </c>
      <c r="H70" s="50">
        <v>0.12259523809523809</v>
      </c>
      <c r="I70" s="50">
        <v>-7.6738095238095259</v>
      </c>
      <c r="J70" s="50">
        <v>23.733452380952379</v>
      </c>
      <c r="K70" s="50">
        <v>-0.58885714285714286</v>
      </c>
    </row>
    <row r="71" spans="1:11" ht="12.75" x14ac:dyDescent="0.2">
      <c r="A71" s="49">
        <v>4</v>
      </c>
      <c r="B71" s="49">
        <v>3</v>
      </c>
      <c r="C71" s="49">
        <v>13.760309523809523</v>
      </c>
      <c r="D71" s="49">
        <v>0</v>
      </c>
      <c r="E71" s="49">
        <v>3.33</v>
      </c>
      <c r="F71" s="49">
        <v>3</v>
      </c>
      <c r="G71" s="49">
        <v>6.904761904761904E-3</v>
      </c>
      <c r="H71" s="49">
        <v>8.8357142857142856E-2</v>
      </c>
      <c r="I71" s="49">
        <v>-13.614285714285714</v>
      </c>
      <c r="J71" s="49">
        <v>0.14959523809523811</v>
      </c>
      <c r="K71" s="49">
        <v>-0.49633333333333335</v>
      </c>
    </row>
    <row r="72" spans="1:11" ht="12.75" x14ac:dyDescent="0.2">
      <c r="A72" s="50">
        <v>4</v>
      </c>
      <c r="B72" s="50">
        <v>3</v>
      </c>
      <c r="C72" s="50">
        <v>11.091071428571428</v>
      </c>
      <c r="D72" s="50">
        <v>0</v>
      </c>
      <c r="E72" s="50">
        <v>4.87</v>
      </c>
      <c r="F72" s="50">
        <v>2</v>
      </c>
      <c r="G72" s="50">
        <v>0.10042857142857142</v>
      </c>
      <c r="H72" s="50">
        <v>0.23564285714285715</v>
      </c>
      <c r="I72" s="50">
        <v>-17.459523809523809</v>
      </c>
      <c r="J72" s="50">
        <v>1.6979047619047618</v>
      </c>
      <c r="K72" s="50">
        <v>-0.36783333333333346</v>
      </c>
    </row>
    <row r="73" spans="1:11" ht="12.75" x14ac:dyDescent="0.2">
      <c r="A73" s="51">
        <v>4</v>
      </c>
      <c r="B73" s="51">
        <v>3</v>
      </c>
      <c r="C73" s="51">
        <v>9.3389523809523816</v>
      </c>
      <c r="D73" s="51">
        <v>0</v>
      </c>
      <c r="E73" s="51">
        <v>3.85</v>
      </c>
      <c r="F73" s="51">
        <v>2</v>
      </c>
      <c r="G73" s="51">
        <v>8.1928571428571434E-2</v>
      </c>
      <c r="H73" s="51">
        <v>0.1121190476190476</v>
      </c>
      <c r="I73" s="51">
        <v>-14.369047619047624</v>
      </c>
      <c r="J73" s="51">
        <v>0</v>
      </c>
      <c r="K73" s="51">
        <v>-0.48783333333333329</v>
      </c>
    </row>
    <row r="74" spans="1:11" ht="12.75" x14ac:dyDescent="0.2">
      <c r="A74" s="48">
        <v>5</v>
      </c>
      <c r="B74" s="48">
        <v>1</v>
      </c>
      <c r="C74" s="48">
        <v>12.783705882352942</v>
      </c>
      <c r="D74" s="48">
        <v>0</v>
      </c>
      <c r="E74" s="48">
        <v>10.56</v>
      </c>
      <c r="F74" s="48">
        <v>4</v>
      </c>
      <c r="G74" s="48">
        <v>0</v>
      </c>
      <c r="H74" s="48">
        <v>0.14649999999999996</v>
      </c>
      <c r="I74" s="48">
        <v>-3.2352941176470598E-2</v>
      </c>
      <c r="J74" s="48">
        <v>20.633529411764705</v>
      </c>
      <c r="K74" s="48">
        <v>-0.13523529411764704</v>
      </c>
    </row>
    <row r="75" spans="1:11" ht="12.75" x14ac:dyDescent="0.2">
      <c r="A75" s="49">
        <v>5</v>
      </c>
      <c r="B75" s="49">
        <v>1</v>
      </c>
      <c r="C75" s="49">
        <v>15.205794117647057</v>
      </c>
      <c r="D75" s="49">
        <v>0</v>
      </c>
      <c r="E75" s="49">
        <v>8.01</v>
      </c>
      <c r="F75" s="49">
        <v>4</v>
      </c>
      <c r="G75" s="49">
        <v>2.5294117647058828E-2</v>
      </c>
      <c r="H75" s="49">
        <v>8.6147058823529368E-2</v>
      </c>
      <c r="I75" s="49">
        <v>-5.2941176470588228E-2</v>
      </c>
      <c r="J75" s="49">
        <v>13.178529411764705</v>
      </c>
      <c r="K75" s="49">
        <v>-0.18847058823529411</v>
      </c>
    </row>
    <row r="76" spans="1:11" ht="12.75" x14ac:dyDescent="0.2">
      <c r="A76" s="50">
        <v>5</v>
      </c>
      <c r="B76" s="50">
        <v>1</v>
      </c>
      <c r="C76" s="50">
        <v>0.49811764705882355</v>
      </c>
      <c r="D76" s="50">
        <v>0</v>
      </c>
      <c r="E76" s="50">
        <v>3.77</v>
      </c>
      <c r="F76" s="50">
        <v>3</v>
      </c>
      <c r="G76" s="50">
        <v>9.9794117647058825E-2</v>
      </c>
      <c r="H76" s="50">
        <v>6.6764705882352941E-3</v>
      </c>
      <c r="I76" s="50">
        <v>-1.7</v>
      </c>
      <c r="J76" s="50">
        <v>53.402323529411753</v>
      </c>
      <c r="K76" s="50">
        <v>0.10302941176470583</v>
      </c>
    </row>
    <row r="77" spans="1:11" ht="12.75" x14ac:dyDescent="0.2">
      <c r="A77" s="49">
        <v>5</v>
      </c>
      <c r="B77" s="49">
        <v>1</v>
      </c>
      <c r="C77" s="49">
        <v>11.662823529411767</v>
      </c>
      <c r="D77" s="49">
        <v>0</v>
      </c>
      <c r="E77" s="49">
        <v>4.2</v>
      </c>
      <c r="F77" s="49">
        <v>3</v>
      </c>
      <c r="G77" s="49">
        <v>4.2352941176470593E-3</v>
      </c>
      <c r="H77" s="49">
        <v>0.13614705882352943</v>
      </c>
      <c r="I77" s="49">
        <v>-33.120588235294115</v>
      </c>
      <c r="J77" s="49">
        <v>8.663117647058824</v>
      </c>
      <c r="K77" s="49">
        <v>-0.2412352941176471</v>
      </c>
    </row>
    <row r="78" spans="1:11" ht="12.75" x14ac:dyDescent="0.2">
      <c r="A78" s="50">
        <v>5</v>
      </c>
      <c r="B78" s="50">
        <v>1</v>
      </c>
      <c r="C78" s="50">
        <v>16.680235294117647</v>
      </c>
      <c r="D78" s="50">
        <v>1</v>
      </c>
      <c r="E78" s="50">
        <v>5.23</v>
      </c>
      <c r="F78" s="50">
        <v>2</v>
      </c>
      <c r="G78" s="50">
        <v>0</v>
      </c>
      <c r="H78" s="50">
        <v>0.1178529411764706</v>
      </c>
      <c r="I78" s="50">
        <v>-9.5558823529411754</v>
      </c>
      <c r="J78" s="50">
        <v>0</v>
      </c>
      <c r="K78" s="50">
        <v>-0.2662647058823529</v>
      </c>
    </row>
    <row r="79" spans="1:11" ht="12.75" x14ac:dyDescent="0.2">
      <c r="A79" s="51">
        <v>5</v>
      </c>
      <c r="B79" s="51">
        <v>1</v>
      </c>
      <c r="C79" s="51">
        <v>12.710382352941178</v>
      </c>
      <c r="D79" s="51">
        <v>0</v>
      </c>
      <c r="E79" s="51">
        <v>2.19</v>
      </c>
      <c r="F79" s="51">
        <v>2</v>
      </c>
      <c r="G79" s="51">
        <v>0</v>
      </c>
      <c r="H79" s="51">
        <v>6.8941176470588214E-2</v>
      </c>
      <c r="I79" s="51">
        <v>-0.12058823529411761</v>
      </c>
      <c r="J79" s="51">
        <v>43.935470588235283</v>
      </c>
      <c r="K79" s="51">
        <v>-0.47744117647058837</v>
      </c>
    </row>
    <row r="80" spans="1:11" ht="12.75" x14ac:dyDescent="0.2">
      <c r="A80" s="48">
        <v>5</v>
      </c>
      <c r="B80" s="48">
        <v>2</v>
      </c>
      <c r="C80" s="48">
        <v>9.9008503937007806</v>
      </c>
      <c r="D80" s="48">
        <v>0</v>
      </c>
      <c r="E80" s="48">
        <v>9.69</v>
      </c>
      <c r="F80" s="48">
        <v>4</v>
      </c>
      <c r="G80" s="48">
        <v>0.10394698162729647</v>
      </c>
      <c r="H80" s="48">
        <v>0.1626141732283459</v>
      </c>
      <c r="I80" s="48">
        <v>0.68661417322834351</v>
      </c>
      <c r="J80" s="48">
        <v>18.021495538057749</v>
      </c>
      <c r="K80" s="48">
        <v>0.32938005249343638</v>
      </c>
    </row>
    <row r="81" spans="1:11" ht="12.75" x14ac:dyDescent="0.2">
      <c r="A81" s="49">
        <v>5</v>
      </c>
      <c r="B81" s="49">
        <v>2</v>
      </c>
      <c r="C81" s="49">
        <v>25.525191076115586</v>
      </c>
      <c r="D81" s="49">
        <v>0</v>
      </c>
      <c r="E81" s="49">
        <v>16.41</v>
      </c>
      <c r="F81" s="49">
        <v>4</v>
      </c>
      <c r="G81" s="49">
        <v>0</v>
      </c>
      <c r="H81" s="49">
        <v>0.27200682414698008</v>
      </c>
      <c r="I81" s="49">
        <v>3.6272965879265075E-2</v>
      </c>
      <c r="J81" s="49">
        <v>0</v>
      </c>
      <c r="K81" s="49">
        <v>-0.21065931758530274</v>
      </c>
    </row>
    <row r="82" spans="1:11" ht="12.75" x14ac:dyDescent="0.2">
      <c r="A82" s="50">
        <v>5</v>
      </c>
      <c r="B82" s="50">
        <v>2</v>
      </c>
      <c r="C82" s="50">
        <v>26.928525984251952</v>
      </c>
      <c r="D82" s="50">
        <v>0</v>
      </c>
      <c r="E82" s="50">
        <v>5.12</v>
      </c>
      <c r="F82" s="50">
        <v>3</v>
      </c>
      <c r="G82" s="50">
        <v>0</v>
      </c>
      <c r="H82" s="50">
        <v>0.24199790026246626</v>
      </c>
      <c r="I82" s="50">
        <v>-9.980472440944876</v>
      </c>
      <c r="J82" s="50">
        <v>0</v>
      </c>
      <c r="K82" s="50">
        <v>3.2935433070866167E-2</v>
      </c>
    </row>
    <row r="83" spans="1:11" ht="12.75" x14ac:dyDescent="0.2">
      <c r="A83" s="49">
        <v>5</v>
      </c>
      <c r="B83" s="49">
        <v>2</v>
      </c>
      <c r="C83" s="49">
        <v>27.767386351706101</v>
      </c>
      <c r="D83" s="49">
        <v>0</v>
      </c>
      <c r="E83" s="49">
        <v>4.78</v>
      </c>
      <c r="F83" s="49">
        <v>3</v>
      </c>
      <c r="G83" s="49">
        <v>0</v>
      </c>
      <c r="H83" s="49">
        <v>0.24853910761155251</v>
      </c>
      <c r="I83" s="49">
        <v>9.5013123359579989E-3</v>
      </c>
      <c r="J83" s="49">
        <v>0</v>
      </c>
      <c r="K83" s="49">
        <v>-0.28080104986876681</v>
      </c>
    </row>
    <row r="84" spans="1:11" ht="12.75" x14ac:dyDescent="0.2">
      <c r="A84" s="50">
        <v>5</v>
      </c>
      <c r="B84" s="50">
        <v>2</v>
      </c>
      <c r="C84" s="50">
        <v>26.093607349081378</v>
      </c>
      <c r="D84" s="50">
        <v>0</v>
      </c>
      <c r="E84" s="50">
        <v>2.37</v>
      </c>
      <c r="F84" s="50">
        <v>2</v>
      </c>
      <c r="G84" s="50">
        <v>0</v>
      </c>
      <c r="H84" s="50">
        <v>0.20999160104986775</v>
      </c>
      <c r="I84" s="50">
        <v>-10.431233595800592</v>
      </c>
      <c r="J84" s="50">
        <v>12.055869816272974</v>
      </c>
      <c r="K84" s="50">
        <v>-1.248293963254588E-2</v>
      </c>
    </row>
    <row r="85" spans="1:11" ht="12.75" x14ac:dyDescent="0.2">
      <c r="A85" s="51">
        <v>5</v>
      </c>
      <c r="B85" s="51">
        <v>2</v>
      </c>
      <c r="C85" s="51">
        <v>26.047402099737546</v>
      </c>
      <c r="D85" s="51">
        <v>0</v>
      </c>
      <c r="E85" s="51">
        <v>2.2799999999999998</v>
      </c>
      <c r="F85" s="51">
        <v>2</v>
      </c>
      <c r="G85" s="51">
        <v>0</v>
      </c>
      <c r="H85" s="51">
        <v>0.19861417322834635</v>
      </c>
      <c r="I85" s="51">
        <v>3.5380577427821594E-2</v>
      </c>
      <c r="J85" s="51">
        <v>0</v>
      </c>
      <c r="K85" s="51">
        <v>-0.22980052493438388</v>
      </c>
    </row>
    <row r="86" spans="1:11" ht="12.75" x14ac:dyDescent="0.2">
      <c r="A86" s="48">
        <v>5</v>
      </c>
      <c r="B86" s="48">
        <v>3</v>
      </c>
      <c r="C86" s="48">
        <v>12.092210526315791</v>
      </c>
      <c r="D86" s="48">
        <v>0</v>
      </c>
      <c r="E86" s="48">
        <v>2.42</v>
      </c>
      <c r="F86" s="48">
        <v>4</v>
      </c>
      <c r="G86" s="48">
        <v>0</v>
      </c>
      <c r="H86" s="48">
        <v>0.19063157894736843</v>
      </c>
      <c r="I86" s="48">
        <v>0.17894736842105263</v>
      </c>
      <c r="J86" s="48">
        <v>0</v>
      </c>
      <c r="K86" s="48">
        <v>3.1578947368421061E-2</v>
      </c>
    </row>
    <row r="87" spans="1:11" ht="12.75" x14ac:dyDescent="0.2">
      <c r="A87" s="49">
        <v>5</v>
      </c>
      <c r="B87" s="49">
        <v>3</v>
      </c>
      <c r="C87" s="49">
        <v>16.423052631578948</v>
      </c>
      <c r="D87" s="49">
        <v>0</v>
      </c>
      <c r="E87" s="49">
        <v>5.9</v>
      </c>
      <c r="F87" s="49">
        <v>4</v>
      </c>
      <c r="G87" s="49">
        <v>0</v>
      </c>
      <c r="H87" s="49">
        <v>0.10794736842105261</v>
      </c>
      <c r="I87" s="49">
        <v>1.578947368421053E-2</v>
      </c>
      <c r="J87" s="49">
        <v>0</v>
      </c>
      <c r="K87" s="49">
        <v>-0.35110526315789475</v>
      </c>
    </row>
    <row r="88" spans="1:11" ht="12.75" x14ac:dyDescent="0.2">
      <c r="A88" s="50">
        <v>5</v>
      </c>
      <c r="B88" s="50">
        <v>3</v>
      </c>
      <c r="C88" s="50">
        <v>16.40463157894737</v>
      </c>
      <c r="D88" s="50">
        <v>0</v>
      </c>
      <c r="E88" s="50">
        <v>3.85</v>
      </c>
      <c r="F88" s="50">
        <v>3</v>
      </c>
      <c r="G88" s="50">
        <v>3.5052631578947363E-2</v>
      </c>
      <c r="H88" s="50">
        <v>0.11584210526315793</v>
      </c>
      <c r="I88" s="50">
        <v>1.368421052631579</v>
      </c>
      <c r="J88" s="50">
        <v>5.7295263157894736</v>
      </c>
      <c r="K88" s="50">
        <v>-0.33452631578947373</v>
      </c>
    </row>
    <row r="89" spans="1:11" ht="12.75" x14ac:dyDescent="0.2">
      <c r="A89" s="49">
        <v>5</v>
      </c>
      <c r="B89" s="49">
        <v>3</v>
      </c>
      <c r="C89" s="49">
        <v>5.3563157894736841</v>
      </c>
      <c r="D89" s="49">
        <v>0</v>
      </c>
      <c r="E89" s="49">
        <v>3.12</v>
      </c>
      <c r="F89" s="49">
        <v>3</v>
      </c>
      <c r="G89" s="49">
        <v>3.7368421052631579E-2</v>
      </c>
      <c r="H89" s="49">
        <v>6.3105263157894734E-2</v>
      </c>
      <c r="I89" s="49">
        <v>-125.80000000000001</v>
      </c>
      <c r="J89" s="49">
        <v>0</v>
      </c>
      <c r="K89" s="49">
        <v>0.36789473684210533</v>
      </c>
    </row>
    <row r="90" spans="1:11" ht="12.75" x14ac:dyDescent="0.2">
      <c r="A90" s="50">
        <v>5</v>
      </c>
      <c r="B90" s="50">
        <v>3</v>
      </c>
      <c r="C90" s="50">
        <v>9.9082631578947353</v>
      </c>
      <c r="D90" s="50">
        <v>0</v>
      </c>
      <c r="E90" s="50">
        <v>2.95</v>
      </c>
      <c r="F90" s="50">
        <v>2</v>
      </c>
      <c r="G90" s="50">
        <v>0</v>
      </c>
      <c r="H90" s="50">
        <v>0.14221052631578945</v>
      </c>
      <c r="I90" s="50">
        <v>31.805263157894739</v>
      </c>
      <c r="J90" s="50">
        <v>175.14784210526318</v>
      </c>
      <c r="K90" s="50">
        <v>-0.20536842105263156</v>
      </c>
    </row>
    <row r="91" spans="1:11" ht="12.75" x14ac:dyDescent="0.2">
      <c r="A91" s="51">
        <v>5</v>
      </c>
      <c r="B91" s="51">
        <v>3</v>
      </c>
      <c r="C91" s="51">
        <v>13.746052631578948</v>
      </c>
      <c r="D91" s="51">
        <v>0</v>
      </c>
      <c r="E91" s="51">
        <v>2.2999999999999998</v>
      </c>
      <c r="F91" s="51">
        <v>2</v>
      </c>
      <c r="G91" s="51">
        <v>1.7736842105263155E-2</v>
      </c>
      <c r="H91" s="51">
        <v>7.7315789473684227E-2</v>
      </c>
      <c r="I91" s="51">
        <v>2.1052631578947375E-2</v>
      </c>
      <c r="J91" s="51">
        <v>49.961736842105267</v>
      </c>
      <c r="K91" s="51">
        <v>0.2781578947368421</v>
      </c>
    </row>
    <row r="92" spans="1:11" ht="12.75" x14ac:dyDescent="0.2">
      <c r="A92" s="48">
        <v>6</v>
      </c>
      <c r="B92" s="48">
        <v>1</v>
      </c>
      <c r="C92" s="48">
        <v>17.918121212121214</v>
      </c>
      <c r="D92" s="48">
        <v>0</v>
      </c>
      <c r="E92" s="48">
        <v>8.34</v>
      </c>
      <c r="F92" s="48">
        <v>4</v>
      </c>
      <c r="G92" s="48">
        <v>1.6363636363636363E-3</v>
      </c>
      <c r="H92" s="48">
        <v>0.29742424242424242</v>
      </c>
      <c r="I92" s="48">
        <v>0.16060606060606059</v>
      </c>
      <c r="J92" s="48">
        <v>26.729787878787878</v>
      </c>
      <c r="K92" s="48">
        <v>-3.9818181818181822E-2</v>
      </c>
    </row>
    <row r="93" spans="1:11" ht="12.75" x14ac:dyDescent="0.2">
      <c r="A93" s="49">
        <v>6</v>
      </c>
      <c r="B93" s="49">
        <v>1</v>
      </c>
      <c r="C93" s="49">
        <v>13.502848484848485</v>
      </c>
      <c r="D93" s="49">
        <v>0</v>
      </c>
      <c r="E93" s="49">
        <v>11.58</v>
      </c>
      <c r="F93" s="49">
        <v>3</v>
      </c>
      <c r="G93" s="49">
        <v>4.2969696969696977E-2</v>
      </c>
      <c r="H93" s="49">
        <v>0.11733333333333333</v>
      </c>
      <c r="I93" s="49">
        <v>-18.596969696969694</v>
      </c>
      <c r="J93" s="49">
        <v>15.33930303030303</v>
      </c>
      <c r="K93" s="49">
        <v>2.1454545454545473E-2</v>
      </c>
    </row>
    <row r="94" spans="1:11" ht="12.75" x14ac:dyDescent="0.2">
      <c r="A94" s="50">
        <v>6</v>
      </c>
      <c r="B94" s="50">
        <v>1</v>
      </c>
      <c r="C94" s="50">
        <v>20.558121212121211</v>
      </c>
      <c r="D94" s="50">
        <v>1</v>
      </c>
      <c r="E94" s="50">
        <v>14.47</v>
      </c>
      <c r="F94" s="50">
        <v>3</v>
      </c>
      <c r="G94" s="50">
        <v>0</v>
      </c>
      <c r="H94" s="50">
        <v>0.18463636363636363</v>
      </c>
      <c r="I94" s="50">
        <v>-4.6515151515151523</v>
      </c>
      <c r="J94" s="50">
        <v>0</v>
      </c>
      <c r="K94" s="50">
        <v>-0.18957575757575759</v>
      </c>
    </row>
    <row r="95" spans="1:11" ht="12.75" x14ac:dyDescent="0.2">
      <c r="A95" s="49">
        <v>6</v>
      </c>
      <c r="B95" s="49">
        <v>1</v>
      </c>
      <c r="C95" s="49">
        <v>19.209787878787875</v>
      </c>
      <c r="D95" s="49">
        <v>0</v>
      </c>
      <c r="E95" s="49">
        <v>1.97</v>
      </c>
      <c r="F95" s="49">
        <v>2</v>
      </c>
      <c r="G95" s="49">
        <v>8.1515151515151527E-3</v>
      </c>
      <c r="H95" s="49">
        <v>0.12463636363636363</v>
      </c>
      <c r="I95" s="49">
        <v>-5.1303030303030308</v>
      </c>
      <c r="J95" s="49">
        <v>46.458606060606066</v>
      </c>
      <c r="K95" s="49">
        <v>-0.30960606060606055</v>
      </c>
    </row>
    <row r="96" spans="1:11" ht="12.75" x14ac:dyDescent="0.2">
      <c r="A96" s="53">
        <v>6</v>
      </c>
      <c r="B96" s="53">
        <v>1</v>
      </c>
      <c r="C96" s="53">
        <v>8.9868181818181831</v>
      </c>
      <c r="D96" s="53">
        <v>0</v>
      </c>
      <c r="E96" s="53">
        <v>6.11</v>
      </c>
      <c r="F96" s="53">
        <v>2</v>
      </c>
      <c r="G96" s="53">
        <v>3.8545454545454549E-2</v>
      </c>
      <c r="H96" s="53">
        <v>8.6363636363636365E-2</v>
      </c>
      <c r="I96" s="53">
        <v>1.6454545454545455</v>
      </c>
      <c r="J96" s="53">
        <v>14.537181818181821</v>
      </c>
      <c r="K96" s="53">
        <v>-1.6848484848484845E-2</v>
      </c>
    </row>
    <row r="97" spans="1:11" ht="12.75" x14ac:dyDescent="0.2">
      <c r="A97" s="52">
        <v>6</v>
      </c>
      <c r="B97" s="52">
        <v>2</v>
      </c>
      <c r="C97" s="52">
        <v>21.39124906890131</v>
      </c>
      <c r="D97" s="52">
        <v>0</v>
      </c>
      <c r="E97" s="52">
        <v>3.61</v>
      </c>
      <c r="F97" s="52">
        <v>4</v>
      </c>
      <c r="G97" s="52">
        <v>0</v>
      </c>
      <c r="H97" s="52">
        <v>0.31792737430167584</v>
      </c>
      <c r="I97" s="52">
        <v>-1.0760707635009328</v>
      </c>
      <c r="J97" s="52">
        <v>0</v>
      </c>
      <c r="K97" s="52">
        <v>-4.7249999999999973E-2</v>
      </c>
    </row>
    <row r="98" spans="1:11" ht="12.75" x14ac:dyDescent="0.2">
      <c r="A98" s="50">
        <v>6</v>
      </c>
      <c r="B98" s="50">
        <v>2</v>
      </c>
      <c r="C98" s="50">
        <v>25.493155027932957</v>
      </c>
      <c r="D98" s="50">
        <v>0</v>
      </c>
      <c r="E98" s="50">
        <v>4.6500000000000004</v>
      </c>
      <c r="F98" s="50">
        <v>3</v>
      </c>
      <c r="G98" s="50">
        <v>0</v>
      </c>
      <c r="H98" s="50">
        <v>0.17148882681564201</v>
      </c>
      <c r="I98" s="50">
        <v>-8.3168528864059414</v>
      </c>
      <c r="J98" s="50">
        <v>0</v>
      </c>
      <c r="K98" s="50">
        <v>-0.46025744878957153</v>
      </c>
    </row>
    <row r="99" spans="1:11" ht="12.75" x14ac:dyDescent="0.2">
      <c r="A99" s="49">
        <v>6</v>
      </c>
      <c r="B99" s="49">
        <v>2</v>
      </c>
      <c r="C99" s="49">
        <v>23.783282588454423</v>
      </c>
      <c r="D99" s="49">
        <v>0</v>
      </c>
      <c r="E99" s="49">
        <v>5.1100000000000003</v>
      </c>
      <c r="F99" s="49">
        <v>3</v>
      </c>
      <c r="G99" s="49">
        <v>0</v>
      </c>
      <c r="H99" s="49">
        <v>0.25425977653631326</v>
      </c>
      <c r="I99" s="49">
        <v>-9.8882681564246525E-2</v>
      </c>
      <c r="J99" s="49">
        <v>0</v>
      </c>
      <c r="K99" s="49">
        <v>-2.2641992551210383E-2</v>
      </c>
    </row>
    <row r="100" spans="1:11" ht="12.75" x14ac:dyDescent="0.2">
      <c r="A100" s="50">
        <v>6</v>
      </c>
      <c r="B100" s="50">
        <v>2</v>
      </c>
      <c r="C100" s="50">
        <v>27.958170391061465</v>
      </c>
      <c r="D100" s="50">
        <v>0</v>
      </c>
      <c r="E100" s="50">
        <v>3.28</v>
      </c>
      <c r="F100" s="50">
        <v>2</v>
      </c>
      <c r="G100" s="50">
        <v>0</v>
      </c>
      <c r="H100" s="50">
        <v>0.30302746741154268</v>
      </c>
      <c r="I100" s="50">
        <v>-9.8536312849162293</v>
      </c>
      <c r="J100" s="50">
        <v>0</v>
      </c>
      <c r="K100" s="50">
        <v>-0.26818249534450622</v>
      </c>
    </row>
    <row r="101" spans="1:11" ht="12.75" x14ac:dyDescent="0.2">
      <c r="A101" s="51">
        <v>6</v>
      </c>
      <c r="B101" s="51">
        <v>2</v>
      </c>
      <c r="C101" s="51">
        <v>26.063718808193677</v>
      </c>
      <c r="D101" s="51">
        <v>0</v>
      </c>
      <c r="E101" s="51">
        <v>2.38</v>
      </c>
      <c r="F101" s="51">
        <v>2</v>
      </c>
      <c r="G101" s="51">
        <v>7.3030726256983203E-3</v>
      </c>
      <c r="H101" s="51">
        <v>0.23254376163873344</v>
      </c>
      <c r="I101" s="51">
        <v>-0.1541433891992551</v>
      </c>
      <c r="J101" s="51">
        <v>0</v>
      </c>
      <c r="K101" s="51">
        <v>0.32367085661080058</v>
      </c>
    </row>
    <row r="102" spans="1:11" ht="12.75" x14ac:dyDescent="0.2">
      <c r="A102" s="52">
        <v>6</v>
      </c>
      <c r="B102" s="52">
        <v>3</v>
      </c>
      <c r="C102" s="52">
        <v>14.870859374999997</v>
      </c>
      <c r="D102" s="52">
        <v>2</v>
      </c>
      <c r="E102" s="52">
        <v>8.18</v>
      </c>
      <c r="F102" s="52">
        <v>4</v>
      </c>
      <c r="G102" s="52">
        <v>2.5359375E-2</v>
      </c>
      <c r="H102" s="52">
        <v>0.21864062500000003</v>
      </c>
      <c r="I102" s="52">
        <v>-8.1906250000000007</v>
      </c>
      <c r="J102" s="52">
        <v>10.959031250000001</v>
      </c>
      <c r="K102" s="52">
        <v>-0.18107812499999998</v>
      </c>
    </row>
    <row r="103" spans="1:11" ht="12.75" x14ac:dyDescent="0.2">
      <c r="A103" s="50">
        <v>6</v>
      </c>
      <c r="B103" s="50">
        <v>3</v>
      </c>
      <c r="C103" s="50">
        <v>17.576281250000005</v>
      </c>
      <c r="D103" s="50">
        <v>1</v>
      </c>
      <c r="E103" s="50">
        <v>14.06</v>
      </c>
      <c r="F103" s="50">
        <v>3</v>
      </c>
      <c r="G103" s="50">
        <v>3.2250000000000001E-2</v>
      </c>
      <c r="H103" s="50">
        <v>0.22485937500000006</v>
      </c>
      <c r="I103" s="50">
        <v>-4.6484374999999991</v>
      </c>
      <c r="J103" s="50">
        <v>14.558828125000003</v>
      </c>
      <c r="K103" s="50">
        <v>-0.16029687500000001</v>
      </c>
    </row>
    <row r="104" spans="1:11" ht="12.75" x14ac:dyDescent="0.2">
      <c r="A104" s="49">
        <v>6</v>
      </c>
      <c r="B104" s="49">
        <v>3</v>
      </c>
      <c r="C104" s="49">
        <v>14.879859374999999</v>
      </c>
      <c r="D104" s="49">
        <v>0</v>
      </c>
      <c r="E104" s="49">
        <v>8.65</v>
      </c>
      <c r="F104" s="49">
        <v>3</v>
      </c>
      <c r="G104" s="49">
        <v>4.8953125E-2</v>
      </c>
      <c r="H104" s="49">
        <v>0.180140625</v>
      </c>
      <c r="I104" s="49">
        <v>-10.221874999999995</v>
      </c>
      <c r="J104" s="49">
        <v>47.627171874999995</v>
      </c>
      <c r="K104" s="49">
        <v>-6.8499999999999991E-2</v>
      </c>
    </row>
    <row r="105" spans="1:11" ht="12.75" x14ac:dyDescent="0.2">
      <c r="A105" s="50">
        <v>6</v>
      </c>
      <c r="B105" s="50">
        <v>3</v>
      </c>
      <c r="C105" s="50">
        <v>14.544437499999997</v>
      </c>
      <c r="D105" s="50">
        <v>0</v>
      </c>
      <c r="E105" s="50">
        <v>2.64</v>
      </c>
      <c r="F105" s="50">
        <v>2</v>
      </c>
      <c r="G105" s="50">
        <v>3.2750000000000001E-2</v>
      </c>
      <c r="H105" s="50">
        <v>0.18373437500000006</v>
      </c>
      <c r="I105" s="50">
        <v>-16.826562500000001</v>
      </c>
      <c r="J105" s="50">
        <v>0.73629687499999996</v>
      </c>
      <c r="K105" s="50">
        <v>-7.0046874999999995E-2</v>
      </c>
    </row>
    <row r="106" spans="1:11" ht="12.75" x14ac:dyDescent="0.2">
      <c r="A106" s="51">
        <v>6</v>
      </c>
      <c r="B106" s="51">
        <v>3</v>
      </c>
      <c r="C106" s="51">
        <v>17.184968749999999</v>
      </c>
      <c r="D106" s="51">
        <v>1</v>
      </c>
      <c r="E106" s="51">
        <v>3.97</v>
      </c>
      <c r="F106" s="51">
        <v>2</v>
      </c>
      <c r="G106" s="51">
        <v>2.775E-2</v>
      </c>
      <c r="H106" s="51">
        <v>0.13510937499999998</v>
      </c>
      <c r="I106" s="51">
        <v>-6.4390624999999995</v>
      </c>
      <c r="J106" s="51">
        <v>0</v>
      </c>
      <c r="K106" s="51">
        <v>-0.11723437500000006</v>
      </c>
    </row>
    <row r="107" spans="1:11" ht="12.75" x14ac:dyDescent="0.2">
      <c r="A107" s="48">
        <v>7</v>
      </c>
      <c r="B107" s="48">
        <v>1</v>
      </c>
      <c r="C107" s="48">
        <v>16.781842105263163</v>
      </c>
      <c r="D107" s="48">
        <v>0</v>
      </c>
      <c r="E107" s="48">
        <v>4.5999999999999996</v>
      </c>
      <c r="F107" s="48">
        <v>4</v>
      </c>
      <c r="G107" s="48">
        <v>7.5526315789473681E-3</v>
      </c>
      <c r="H107" s="48">
        <v>0.17921052631578943</v>
      </c>
      <c r="I107" s="48">
        <v>0.25789473684210512</v>
      </c>
      <c r="J107" s="48">
        <v>48.436368421052634</v>
      </c>
      <c r="K107" s="48">
        <v>0.30913157894736842</v>
      </c>
    </row>
    <row r="108" spans="1:11" ht="12.75" x14ac:dyDescent="0.2">
      <c r="A108" s="49">
        <v>7</v>
      </c>
      <c r="B108" s="49">
        <v>1</v>
      </c>
      <c r="C108" s="49">
        <v>11.579421052631579</v>
      </c>
      <c r="D108" s="49">
        <v>1</v>
      </c>
      <c r="E108" s="49">
        <v>7.91</v>
      </c>
      <c r="F108" s="49">
        <v>3</v>
      </c>
      <c r="G108" s="49">
        <v>1.8763157894736843E-2</v>
      </c>
      <c r="H108" s="49">
        <v>0.10997368421052629</v>
      </c>
      <c r="I108" s="49">
        <v>-17.286842105263158</v>
      </c>
      <c r="J108" s="49">
        <v>41.565605263157899</v>
      </c>
      <c r="K108" s="49">
        <v>-0.14244736842105263</v>
      </c>
    </row>
    <row r="109" spans="1:11" ht="12.75" x14ac:dyDescent="0.2">
      <c r="A109" s="50">
        <v>7</v>
      </c>
      <c r="B109" s="50">
        <v>1</v>
      </c>
      <c r="C109" s="50">
        <v>17.060578947368416</v>
      </c>
      <c r="D109" s="50">
        <v>1</v>
      </c>
      <c r="E109" s="50">
        <v>29.1</v>
      </c>
      <c r="F109" s="50">
        <v>3</v>
      </c>
      <c r="G109" s="50">
        <v>0</v>
      </c>
      <c r="H109" s="50">
        <v>0.13034210526315784</v>
      </c>
      <c r="I109" s="50">
        <v>-3.7552631578947366</v>
      </c>
      <c r="J109" s="50">
        <v>17.376973684210526</v>
      </c>
      <c r="K109" s="50">
        <v>-0.17352631578947364</v>
      </c>
    </row>
    <row r="110" spans="1:11" ht="12.75" x14ac:dyDescent="0.2">
      <c r="A110" s="49">
        <v>7</v>
      </c>
      <c r="B110" s="49">
        <v>1</v>
      </c>
      <c r="C110" s="49">
        <v>13.71207894736842</v>
      </c>
      <c r="D110" s="49">
        <v>0</v>
      </c>
      <c r="E110" s="49">
        <v>1.93</v>
      </c>
      <c r="F110" s="49">
        <v>2</v>
      </c>
      <c r="G110" s="49">
        <v>1.4368421052631581E-2</v>
      </c>
      <c r="H110" s="49">
        <v>0.10986842105263157</v>
      </c>
      <c r="I110" s="49">
        <v>-4.9342105263157894</v>
      </c>
      <c r="J110" s="49">
        <v>21.04747368421053</v>
      </c>
      <c r="K110" s="49">
        <v>-0.50460526315789445</v>
      </c>
    </row>
    <row r="111" spans="1:11" ht="12.75" x14ac:dyDescent="0.2">
      <c r="A111" s="53">
        <v>7</v>
      </c>
      <c r="B111" s="53">
        <v>1</v>
      </c>
      <c r="C111" s="53">
        <v>9.577</v>
      </c>
      <c r="D111" s="53">
        <v>0</v>
      </c>
      <c r="E111" s="53">
        <v>2.74</v>
      </c>
      <c r="F111" s="53">
        <v>2</v>
      </c>
      <c r="G111" s="53">
        <v>0</v>
      </c>
      <c r="H111" s="53">
        <v>4.7815789473684207E-2</v>
      </c>
      <c r="I111" s="53">
        <v>0.13947368421052631</v>
      </c>
      <c r="J111" s="53">
        <v>25.685684210526318</v>
      </c>
      <c r="K111" s="53">
        <v>-0.6271052631578945</v>
      </c>
    </row>
    <row r="112" spans="1:11" ht="12.75" x14ac:dyDescent="0.2">
      <c r="A112" s="52">
        <v>7</v>
      </c>
      <c r="B112" s="52">
        <v>2</v>
      </c>
      <c r="C112" s="52">
        <v>14.698911751662976</v>
      </c>
      <c r="D112" s="52">
        <v>0</v>
      </c>
      <c r="E112" s="52">
        <v>8.58</v>
      </c>
      <c r="F112" s="52">
        <v>4</v>
      </c>
      <c r="G112" s="52">
        <v>0</v>
      </c>
      <c r="H112" s="52">
        <v>0.14764079822616452</v>
      </c>
      <c r="I112" s="52">
        <v>-0.5025277161862518</v>
      </c>
      <c r="J112" s="52">
        <v>0</v>
      </c>
      <c r="K112" s="52">
        <v>0.20679689578713975</v>
      </c>
    </row>
    <row r="113" spans="1:11" ht="12.75" x14ac:dyDescent="0.2">
      <c r="A113" s="50">
        <v>7</v>
      </c>
      <c r="B113" s="50">
        <v>2</v>
      </c>
      <c r="C113" s="50">
        <v>16.373646563192924</v>
      </c>
      <c r="D113" s="50">
        <v>0</v>
      </c>
      <c r="E113" s="50">
        <v>6.07</v>
      </c>
      <c r="F113" s="50">
        <v>3</v>
      </c>
      <c r="G113" s="50">
        <v>0</v>
      </c>
      <c r="H113" s="50">
        <v>0.13508691796008682</v>
      </c>
      <c r="I113" s="50">
        <v>3.3791574279379642E-2</v>
      </c>
      <c r="J113" s="50">
        <v>34.046634146341439</v>
      </c>
      <c r="K113" s="50">
        <v>-0.10442527716186262</v>
      </c>
    </row>
    <row r="114" spans="1:11" ht="12.75" x14ac:dyDescent="0.2">
      <c r="A114" s="49">
        <v>7</v>
      </c>
      <c r="B114" s="49">
        <v>2</v>
      </c>
      <c r="C114" s="49">
        <v>18.227105986696266</v>
      </c>
      <c r="D114" s="49">
        <v>0</v>
      </c>
      <c r="E114" s="49">
        <v>3.8</v>
      </c>
      <c r="F114" s="49">
        <v>3</v>
      </c>
      <c r="G114" s="49">
        <v>0</v>
      </c>
      <c r="H114" s="49">
        <v>0.14324301552106511</v>
      </c>
      <c r="I114" s="49">
        <v>-8.6274501108647268</v>
      </c>
      <c r="J114" s="49">
        <v>63.109701995565423</v>
      </c>
      <c r="K114" s="49">
        <v>-0.37025099778270454</v>
      </c>
    </row>
    <row r="115" spans="1:11" ht="12.75" x14ac:dyDescent="0.2">
      <c r="A115" s="50">
        <v>7</v>
      </c>
      <c r="B115" s="50">
        <v>2</v>
      </c>
      <c r="C115" s="50">
        <v>18.512136585365798</v>
      </c>
      <c r="D115" s="50">
        <v>0</v>
      </c>
      <c r="E115" s="50">
        <v>1.4</v>
      </c>
      <c r="F115" s="50">
        <v>2</v>
      </c>
      <c r="G115" s="50">
        <v>0</v>
      </c>
      <c r="H115" s="50">
        <v>0.14412549889135104</v>
      </c>
      <c r="I115" s="50">
        <v>-7.2727272727272974E-2</v>
      </c>
      <c r="J115" s="50">
        <v>39.223954767184033</v>
      </c>
      <c r="K115" s="50">
        <v>-0.21132949002217305</v>
      </c>
    </row>
    <row r="116" spans="1:11" ht="12.75" x14ac:dyDescent="0.2">
      <c r="A116" s="51">
        <v>7</v>
      </c>
      <c r="B116" s="51">
        <v>2</v>
      </c>
      <c r="C116" s="51">
        <v>18.434257649667355</v>
      </c>
      <c r="D116" s="51">
        <v>0</v>
      </c>
      <c r="E116" s="51">
        <v>2.5499999999999998</v>
      </c>
      <c r="F116" s="51">
        <v>2</v>
      </c>
      <c r="G116" s="51">
        <v>0</v>
      </c>
      <c r="H116" s="51">
        <v>0.14005853658536593</v>
      </c>
      <c r="I116" s="51">
        <v>-6.8446119733924871</v>
      </c>
      <c r="J116" s="51">
        <v>104.90115920177392</v>
      </c>
      <c r="K116" s="51">
        <v>-0.5464390243902445</v>
      </c>
    </row>
    <row r="117" spans="1:11" ht="12.75" x14ac:dyDescent="0.2">
      <c r="A117" s="48">
        <v>7</v>
      </c>
      <c r="B117" s="48">
        <v>3</v>
      </c>
      <c r="C117" s="48">
        <v>14.884921052631578</v>
      </c>
      <c r="D117" s="48">
        <v>2</v>
      </c>
      <c r="E117" s="48">
        <v>13.11</v>
      </c>
      <c r="F117" s="48">
        <v>4</v>
      </c>
      <c r="G117" s="48">
        <v>0</v>
      </c>
      <c r="H117" s="48">
        <v>0.15273684210526317</v>
      </c>
      <c r="I117" s="48">
        <v>6.8421052631578938E-2</v>
      </c>
      <c r="J117" s="48">
        <v>0</v>
      </c>
      <c r="K117" s="48">
        <v>-0.42397368421052634</v>
      </c>
    </row>
    <row r="118" spans="1:11" ht="12.75" x14ac:dyDescent="0.2">
      <c r="A118" s="49">
        <v>7</v>
      </c>
      <c r="B118" s="49">
        <v>3</v>
      </c>
      <c r="C118" s="49">
        <v>8.8142368421052648</v>
      </c>
      <c r="D118" s="49">
        <v>0</v>
      </c>
      <c r="E118" s="49">
        <v>5.15</v>
      </c>
      <c r="F118" s="49">
        <v>3</v>
      </c>
      <c r="G118" s="49">
        <v>2.6236842105263159E-2</v>
      </c>
      <c r="H118" s="49">
        <v>8.6868421052631567E-2</v>
      </c>
      <c r="I118" s="49">
        <v>-16.194736842105261</v>
      </c>
      <c r="J118" s="49">
        <v>48.391263157894741</v>
      </c>
      <c r="K118" s="49">
        <v>-0.3411578947368421</v>
      </c>
    </row>
    <row r="119" spans="1:11" ht="12.75" x14ac:dyDescent="0.2">
      <c r="A119" s="50">
        <v>7</v>
      </c>
      <c r="B119" s="50">
        <v>3</v>
      </c>
      <c r="C119" s="50">
        <v>14.910578947368423</v>
      </c>
      <c r="D119" s="50">
        <v>0</v>
      </c>
      <c r="E119" s="50">
        <v>4.18</v>
      </c>
      <c r="F119" s="50">
        <v>3</v>
      </c>
      <c r="G119" s="50">
        <v>2.9868421052631579E-2</v>
      </c>
      <c r="H119" s="50">
        <v>0.16981578947368428</v>
      </c>
      <c r="I119" s="50">
        <v>-3.9973684210526317</v>
      </c>
      <c r="J119" s="50">
        <v>75.922684210526327</v>
      </c>
      <c r="K119" s="50">
        <v>-0.31115789473684219</v>
      </c>
    </row>
    <row r="120" spans="1:11" ht="12.75" x14ac:dyDescent="0.2">
      <c r="A120" s="49">
        <v>7</v>
      </c>
      <c r="B120" s="49">
        <v>3</v>
      </c>
      <c r="C120" s="49">
        <v>14.968394736842107</v>
      </c>
      <c r="D120" s="49">
        <v>1</v>
      </c>
      <c r="E120" s="49">
        <v>6.33</v>
      </c>
      <c r="F120" s="49">
        <v>2</v>
      </c>
      <c r="G120" s="49">
        <v>2.2105263157894735E-2</v>
      </c>
      <c r="H120" s="49">
        <v>0.14173684210526316</v>
      </c>
      <c r="I120" s="49">
        <v>-5.7789473684210506</v>
      </c>
      <c r="J120" s="49">
        <v>52.047184210526325</v>
      </c>
      <c r="K120" s="49">
        <v>-0.65752631578947374</v>
      </c>
    </row>
    <row r="121" spans="1:11" ht="12.75" x14ac:dyDescent="0.2">
      <c r="A121" s="53">
        <v>7</v>
      </c>
      <c r="B121" s="53">
        <v>3</v>
      </c>
      <c r="C121" s="53">
        <v>9.922842105263161</v>
      </c>
      <c r="D121" s="53">
        <v>0</v>
      </c>
      <c r="E121" s="53">
        <v>2.5</v>
      </c>
      <c r="F121" s="53">
        <v>2</v>
      </c>
      <c r="G121" s="53">
        <v>2.3368421052631583E-2</v>
      </c>
      <c r="H121" s="53">
        <v>7.0368421052631566E-2</v>
      </c>
      <c r="I121" s="53">
        <v>-14.892105263157895</v>
      </c>
      <c r="J121" s="53">
        <v>53.800710526315804</v>
      </c>
      <c r="K121" s="53">
        <v>-0.46136842105263176</v>
      </c>
    </row>
    <row r="122" spans="1:11" ht="12.75" x14ac:dyDescent="0.2">
      <c r="A122" s="52">
        <v>8</v>
      </c>
      <c r="B122" s="52">
        <v>1</v>
      </c>
      <c r="C122" s="52">
        <v>14.505961538461538</v>
      </c>
      <c r="D122" s="52">
        <v>0</v>
      </c>
      <c r="E122" s="52">
        <v>5.75</v>
      </c>
      <c r="F122" s="52">
        <v>4</v>
      </c>
      <c r="G122" s="52">
        <v>0</v>
      </c>
      <c r="H122" s="52">
        <v>0.14451923076923079</v>
      </c>
      <c r="I122" s="52">
        <v>0.20576923076923079</v>
      </c>
      <c r="J122" s="52">
        <v>84.348365384615363</v>
      </c>
      <c r="K122" s="52">
        <v>0.25021153846153843</v>
      </c>
    </row>
    <row r="123" spans="1:11" ht="12.75" x14ac:dyDescent="0.2">
      <c r="A123" s="50">
        <v>8</v>
      </c>
      <c r="B123" s="50">
        <v>1</v>
      </c>
      <c r="C123" s="50">
        <v>12.31382692307692</v>
      </c>
      <c r="D123" s="50">
        <v>1</v>
      </c>
      <c r="E123" s="50">
        <v>18.95</v>
      </c>
      <c r="F123" s="50">
        <v>3</v>
      </c>
      <c r="G123" s="50">
        <v>2.5730769230769227E-2</v>
      </c>
      <c r="H123" s="50">
        <v>0.10155769230769232</v>
      </c>
      <c r="I123" s="50">
        <v>-15.898076923076921</v>
      </c>
      <c r="J123" s="50">
        <v>27.123288461538461</v>
      </c>
      <c r="K123" s="50">
        <v>0.11448076923076927</v>
      </c>
    </row>
    <row r="124" spans="1:11" ht="12.75" x14ac:dyDescent="0.2">
      <c r="A124" s="49">
        <v>8</v>
      </c>
      <c r="B124" s="49">
        <v>1</v>
      </c>
      <c r="C124" s="49">
        <v>15.25675</v>
      </c>
      <c r="D124" s="49">
        <v>0</v>
      </c>
      <c r="E124" s="49">
        <v>3.04</v>
      </c>
      <c r="F124" s="49">
        <v>3</v>
      </c>
      <c r="G124" s="49">
        <v>5.3653846153846156E-3</v>
      </c>
      <c r="H124" s="49">
        <v>0.1041538461538461</v>
      </c>
      <c r="I124" s="49">
        <v>-6.6134615384615376</v>
      </c>
      <c r="J124" s="49">
        <v>11.017711538461539</v>
      </c>
      <c r="K124" s="49">
        <v>-0.54619230769230775</v>
      </c>
    </row>
    <row r="125" spans="1:11" ht="12.75" x14ac:dyDescent="0.2">
      <c r="A125" s="50">
        <v>8</v>
      </c>
      <c r="B125" s="50">
        <v>1</v>
      </c>
      <c r="C125" s="50">
        <v>8.8248846153846152</v>
      </c>
      <c r="D125" s="50">
        <v>0</v>
      </c>
      <c r="E125" s="50">
        <v>2.4300000000000002</v>
      </c>
      <c r="F125" s="50">
        <v>2</v>
      </c>
      <c r="G125" s="50">
        <v>4.5499999999999999E-2</v>
      </c>
      <c r="H125" s="50">
        <v>6.9499999999999992E-2</v>
      </c>
      <c r="I125" s="50">
        <v>-0.20961538461538465</v>
      </c>
      <c r="J125" s="50">
        <v>21.517884615384624</v>
      </c>
      <c r="K125" s="50">
        <v>-0.37636538461538477</v>
      </c>
    </row>
    <row r="126" spans="1:11" ht="12.75" x14ac:dyDescent="0.2">
      <c r="A126" s="51">
        <v>8</v>
      </c>
      <c r="B126" s="51">
        <v>1</v>
      </c>
      <c r="C126" s="51">
        <v>3.4714230769230778</v>
      </c>
      <c r="D126" s="51">
        <v>0</v>
      </c>
      <c r="E126" s="51">
        <v>3.11</v>
      </c>
      <c r="F126" s="51">
        <v>2</v>
      </c>
      <c r="G126" s="51">
        <v>4.6884615384615386E-2</v>
      </c>
      <c r="H126" s="51">
        <v>3.1903846153846158E-2</v>
      </c>
      <c r="I126" s="51">
        <v>-17.707692307692302</v>
      </c>
      <c r="J126" s="51">
        <v>45.645461538461532</v>
      </c>
      <c r="K126" s="51">
        <v>0.18923076923076929</v>
      </c>
    </row>
    <row r="127" spans="1:11" ht="12.75" x14ac:dyDescent="0.2">
      <c r="A127" s="48">
        <v>8</v>
      </c>
      <c r="B127" s="48">
        <v>2</v>
      </c>
      <c r="C127" s="48">
        <v>13.319034146341453</v>
      </c>
      <c r="D127" s="48">
        <v>2</v>
      </c>
      <c r="E127" s="48">
        <v>16.96</v>
      </c>
      <c r="F127" s="48">
        <v>4</v>
      </c>
      <c r="G127" s="48">
        <v>0</v>
      </c>
      <c r="H127" s="48">
        <v>0.14295414634146242</v>
      </c>
      <c r="I127" s="48">
        <v>-0.14102439024390434</v>
      </c>
      <c r="J127" s="48">
        <v>25.285427804878051</v>
      </c>
      <c r="K127" s="48">
        <v>0.59911414634146309</v>
      </c>
    </row>
    <row r="128" spans="1:11" ht="12.75" x14ac:dyDescent="0.2">
      <c r="A128" s="49">
        <v>8</v>
      </c>
      <c r="B128" s="49">
        <v>2</v>
      </c>
      <c r="C128" s="49">
        <v>15.471383902439008</v>
      </c>
      <c r="D128" s="49">
        <v>0</v>
      </c>
      <c r="E128" s="49">
        <v>4.18</v>
      </c>
      <c r="F128" s="49">
        <v>3</v>
      </c>
      <c r="G128" s="49">
        <v>0</v>
      </c>
      <c r="H128" s="49">
        <v>0.11217121951219569</v>
      </c>
      <c r="I128" s="49">
        <v>-3.2390243902438928E-2</v>
      </c>
      <c r="J128" s="49">
        <v>0</v>
      </c>
      <c r="K128" s="49">
        <v>0.17283121951219521</v>
      </c>
    </row>
    <row r="129" spans="1:11" ht="12.75" x14ac:dyDescent="0.2">
      <c r="A129" s="50">
        <v>8</v>
      </c>
      <c r="B129" s="50">
        <v>2</v>
      </c>
      <c r="C129" s="50">
        <v>17.859313658536571</v>
      </c>
      <c r="D129" s="50">
        <v>0</v>
      </c>
      <c r="E129" s="50">
        <v>4.54</v>
      </c>
      <c r="F129" s="50">
        <v>3</v>
      </c>
      <c r="G129" s="50">
        <v>0</v>
      </c>
      <c r="H129" s="50">
        <v>0.14277853658536585</v>
      </c>
      <c r="I129" s="50">
        <v>-8.3053658536585431</v>
      </c>
      <c r="J129" s="50">
        <v>0</v>
      </c>
      <c r="K129" s="50">
        <v>-2.8658536585363073E-3</v>
      </c>
    </row>
    <row r="130" spans="1:11" ht="12.75" x14ac:dyDescent="0.2">
      <c r="A130" s="49">
        <v>8</v>
      </c>
      <c r="B130" s="49">
        <v>2</v>
      </c>
      <c r="C130" s="49">
        <v>19.46470097560978</v>
      </c>
      <c r="D130" s="49">
        <v>0</v>
      </c>
      <c r="E130" s="49">
        <v>2.41</v>
      </c>
      <c r="F130" s="49">
        <v>2</v>
      </c>
      <c r="G130" s="49">
        <v>0</v>
      </c>
      <c r="H130" s="49">
        <v>0.17612390243902551</v>
      </c>
      <c r="I130" s="49">
        <v>-1.0513170731707462</v>
      </c>
      <c r="J130" s="49">
        <v>101.36343853658548</v>
      </c>
      <c r="K130" s="49">
        <v>0.37307707317073174</v>
      </c>
    </row>
    <row r="131" spans="1:11" ht="12.75" x14ac:dyDescent="0.2">
      <c r="A131" s="53">
        <v>8</v>
      </c>
      <c r="B131" s="53">
        <v>2</v>
      </c>
      <c r="C131" s="53">
        <v>21.037148780487787</v>
      </c>
      <c r="D131" s="53">
        <v>0</v>
      </c>
      <c r="E131" s="53">
        <v>2.4700000000000002</v>
      </c>
      <c r="F131" s="53">
        <v>2</v>
      </c>
      <c r="G131" s="53">
        <v>0</v>
      </c>
      <c r="H131" s="53">
        <v>0.12960487804877976</v>
      </c>
      <c r="I131" s="53">
        <v>-0.39531707317073145</v>
      </c>
      <c r="J131" s="53">
        <v>151.47205121951211</v>
      </c>
      <c r="K131" s="53">
        <v>-5.8935121951219513E-2</v>
      </c>
    </row>
    <row r="132" spans="1:11" ht="12.75" x14ac:dyDescent="0.2">
      <c r="A132" s="52">
        <v>8</v>
      </c>
      <c r="B132" s="52">
        <v>3</v>
      </c>
      <c r="C132" s="52">
        <v>14.615052631578946</v>
      </c>
      <c r="D132" s="52">
        <v>0</v>
      </c>
      <c r="E132" s="52">
        <v>6.9</v>
      </c>
      <c r="F132" s="52">
        <v>4</v>
      </c>
      <c r="G132" s="52">
        <v>0</v>
      </c>
      <c r="H132" s="52">
        <v>0.17005263157894734</v>
      </c>
      <c r="I132" s="52">
        <v>0.24736842105263163</v>
      </c>
      <c r="J132" s="52">
        <v>0</v>
      </c>
      <c r="K132" s="52">
        <v>-0.33555263157894738</v>
      </c>
    </row>
    <row r="133" spans="1:11" ht="12.75" x14ac:dyDescent="0.2">
      <c r="A133" s="50">
        <v>8</v>
      </c>
      <c r="B133" s="50">
        <v>3</v>
      </c>
      <c r="C133" s="50">
        <v>8.8376842105263176</v>
      </c>
      <c r="D133" s="50">
        <v>0</v>
      </c>
      <c r="E133" s="50">
        <v>4.6399999999999997</v>
      </c>
      <c r="F133" s="50">
        <v>3</v>
      </c>
      <c r="G133" s="50">
        <v>3.9736842105263154E-2</v>
      </c>
      <c r="H133" s="50">
        <v>0.10242105263157894</v>
      </c>
      <c r="I133" s="50">
        <v>-17.352631578947367</v>
      </c>
      <c r="J133" s="50">
        <v>57.24994736842104</v>
      </c>
      <c r="K133" s="50">
        <v>-7.4973684210526317E-2</v>
      </c>
    </row>
    <row r="134" spans="1:11" ht="12.75" x14ac:dyDescent="0.2">
      <c r="A134" s="49">
        <v>8</v>
      </c>
      <c r="B134" s="49">
        <v>3</v>
      </c>
      <c r="C134" s="49">
        <v>11.620368421052634</v>
      </c>
      <c r="D134" s="49">
        <v>0</v>
      </c>
      <c r="E134" s="49">
        <v>3.11</v>
      </c>
      <c r="F134" s="49">
        <v>3</v>
      </c>
      <c r="G134" s="49">
        <v>1.4447368421052632E-2</v>
      </c>
      <c r="H134" s="49">
        <v>0.10549999999999998</v>
      </c>
      <c r="I134" s="49">
        <v>-0.29473684210526313</v>
      </c>
      <c r="J134" s="49">
        <v>72.628499999999988</v>
      </c>
      <c r="K134" s="49">
        <v>8.2894736842105313E-2</v>
      </c>
    </row>
    <row r="135" spans="1:11" ht="12.75" x14ac:dyDescent="0.2">
      <c r="A135" s="50">
        <v>8</v>
      </c>
      <c r="B135" s="50">
        <v>3</v>
      </c>
      <c r="C135" s="50">
        <v>13.855210526315791</v>
      </c>
      <c r="D135" s="50">
        <v>0</v>
      </c>
      <c r="E135" s="50">
        <v>1.81</v>
      </c>
      <c r="F135" s="50">
        <v>2</v>
      </c>
      <c r="G135" s="50">
        <v>4.4631578947368418E-2</v>
      </c>
      <c r="H135" s="50">
        <v>0.16576315789473686</v>
      </c>
      <c r="I135" s="50">
        <v>-9.2947368421052623</v>
      </c>
      <c r="J135" s="50">
        <v>58.606894736842101</v>
      </c>
      <c r="K135" s="50">
        <v>-0.42655263157894735</v>
      </c>
    </row>
    <row r="136" spans="1:11" ht="12.75" x14ac:dyDescent="0.2">
      <c r="A136" s="51">
        <v>8</v>
      </c>
      <c r="B136" s="51">
        <v>3</v>
      </c>
      <c r="C136" s="51">
        <v>10.177289473684212</v>
      </c>
      <c r="D136" s="51">
        <v>0</v>
      </c>
      <c r="E136" s="51">
        <v>2.46</v>
      </c>
      <c r="F136" s="51">
        <v>2</v>
      </c>
      <c r="G136" s="51">
        <v>1.2894736842105263E-2</v>
      </c>
      <c r="H136" s="51">
        <v>4.7684210526315787E-2</v>
      </c>
      <c r="I136" s="51">
        <v>-0.58947368421052648</v>
      </c>
      <c r="J136" s="51">
        <v>58.980131578947386</v>
      </c>
      <c r="K136" s="51">
        <v>-0.45036842105263181</v>
      </c>
    </row>
    <row r="137" spans="1:11" ht="12.75" x14ac:dyDescent="0.2">
      <c r="A137" s="48">
        <v>9</v>
      </c>
      <c r="B137" s="48">
        <v>1</v>
      </c>
      <c r="C137" s="48">
        <v>15.696066666666667</v>
      </c>
      <c r="D137" s="48">
        <v>0</v>
      </c>
      <c r="E137" s="48">
        <v>25.24</v>
      </c>
      <c r="F137" s="48">
        <v>4</v>
      </c>
      <c r="G137" s="48">
        <v>1.755E-2</v>
      </c>
      <c r="H137" s="48">
        <v>0.15078333333333335</v>
      </c>
      <c r="I137" s="48">
        <v>0.54166666666666685</v>
      </c>
      <c r="J137" s="48">
        <v>67.103783333333311</v>
      </c>
      <c r="K137" s="48">
        <v>0.39898333333333319</v>
      </c>
    </row>
    <row r="138" spans="1:11" ht="12.75" x14ac:dyDescent="0.2">
      <c r="A138" s="49">
        <v>9</v>
      </c>
      <c r="B138" s="49">
        <v>1</v>
      </c>
      <c r="C138" s="49">
        <v>16.722316666666668</v>
      </c>
      <c r="D138" s="49">
        <v>0</v>
      </c>
      <c r="E138" s="49">
        <v>6.45</v>
      </c>
      <c r="F138" s="49">
        <v>3</v>
      </c>
      <c r="G138" s="49">
        <v>4.8333333333333327E-3</v>
      </c>
      <c r="H138" s="49">
        <v>0.1955166666666667</v>
      </c>
      <c r="I138" s="49">
        <v>-17.408333333333335</v>
      </c>
      <c r="J138" s="49">
        <v>89.997633333333354</v>
      </c>
      <c r="K138" s="49">
        <v>0.17379999999999995</v>
      </c>
    </row>
    <row r="139" spans="1:11" ht="12.75" x14ac:dyDescent="0.2">
      <c r="A139" s="49">
        <v>9</v>
      </c>
      <c r="B139" s="49">
        <v>1</v>
      </c>
      <c r="C139" s="49">
        <v>15.804366666666668</v>
      </c>
      <c r="D139" s="49">
        <v>0</v>
      </c>
      <c r="E139" s="49">
        <v>12.21</v>
      </c>
      <c r="F139" s="49">
        <v>2</v>
      </c>
      <c r="G139" s="49">
        <v>7.4333333333333343E-3</v>
      </c>
      <c r="H139" s="49">
        <v>0.14145000000000002</v>
      </c>
      <c r="I139" s="49">
        <v>-8.3933333333333326</v>
      </c>
      <c r="J139" s="49">
        <v>53.261533333333333</v>
      </c>
      <c r="K139" s="49">
        <v>0.20244999999999999</v>
      </c>
    </row>
    <row r="140" spans="1:11" ht="12.75" x14ac:dyDescent="0.2">
      <c r="A140" s="53">
        <v>9</v>
      </c>
      <c r="B140" s="53">
        <v>1</v>
      </c>
      <c r="C140" s="53">
        <v>16.662966666666662</v>
      </c>
      <c r="D140" s="53">
        <v>0</v>
      </c>
      <c r="E140" s="53">
        <v>3.24</v>
      </c>
      <c r="F140" s="53">
        <v>2</v>
      </c>
      <c r="G140" s="53">
        <v>2.3033333333333329E-2</v>
      </c>
      <c r="H140" s="53">
        <v>0.17655000000000004</v>
      </c>
      <c r="I140" s="53">
        <v>-12.841666666666667</v>
      </c>
      <c r="J140" s="53">
        <v>2.0240499999999999</v>
      </c>
      <c r="K140" s="53">
        <v>0.26708333333333328</v>
      </c>
    </row>
    <row r="141" spans="1:11" ht="12.75" x14ac:dyDescent="0.2">
      <c r="A141" s="52">
        <v>9</v>
      </c>
      <c r="B141" s="52">
        <v>2</v>
      </c>
      <c r="C141" s="52">
        <v>10.127311529026972</v>
      </c>
      <c r="D141" s="52">
        <v>1</v>
      </c>
      <c r="E141" s="52">
        <v>10.28</v>
      </c>
      <c r="F141" s="52">
        <v>4</v>
      </c>
      <c r="G141" s="52">
        <v>0</v>
      </c>
      <c r="H141" s="52">
        <v>0.11878291087489845</v>
      </c>
      <c r="I141" s="52">
        <v>-6.1488143908422312E-2</v>
      </c>
      <c r="J141" s="52">
        <v>13.419363041700738</v>
      </c>
      <c r="K141" s="52">
        <v>0.8023331970564177</v>
      </c>
    </row>
    <row r="142" spans="1:11" ht="12.75" x14ac:dyDescent="0.2">
      <c r="A142" s="50">
        <v>9</v>
      </c>
      <c r="B142" s="50">
        <v>2</v>
      </c>
      <c r="C142" s="50">
        <v>18.672477923139834</v>
      </c>
      <c r="D142" s="50">
        <v>0</v>
      </c>
      <c r="E142" s="50">
        <v>6.09</v>
      </c>
      <c r="F142" s="50">
        <v>3</v>
      </c>
      <c r="G142" s="50">
        <v>0</v>
      </c>
      <c r="H142" s="50">
        <v>0.1538340147179042</v>
      </c>
      <c r="I142" s="50">
        <v>6.475878986099734E-2</v>
      </c>
      <c r="J142" s="50">
        <v>12.050046197874078</v>
      </c>
      <c r="K142" s="50">
        <v>0.56083524121013872</v>
      </c>
    </row>
    <row r="143" spans="1:11" ht="12.75" x14ac:dyDescent="0.2">
      <c r="A143" s="49">
        <v>9</v>
      </c>
      <c r="B143" s="49">
        <v>2</v>
      </c>
      <c r="C143" s="49">
        <v>20.456005314799643</v>
      </c>
      <c r="D143" s="49">
        <v>0</v>
      </c>
      <c r="E143" s="49">
        <v>4.4000000000000004</v>
      </c>
      <c r="F143" s="49">
        <v>3</v>
      </c>
      <c r="G143" s="49">
        <v>0</v>
      </c>
      <c r="H143" s="49">
        <v>0.16616721177432439</v>
      </c>
      <c r="I143" s="49">
        <v>-7.6947260834014726</v>
      </c>
      <c r="J143" s="49">
        <v>5.4047412101390009</v>
      </c>
      <c r="K143" s="49">
        <v>0.63936426819296865</v>
      </c>
    </row>
    <row r="144" spans="1:11" ht="12.75" x14ac:dyDescent="0.2">
      <c r="A144" s="50">
        <v>9</v>
      </c>
      <c r="B144" s="50">
        <v>2</v>
      </c>
      <c r="C144" s="50">
        <v>21.354136958299254</v>
      </c>
      <c r="D144" s="50">
        <v>0</v>
      </c>
      <c r="E144" s="50">
        <v>3.81</v>
      </c>
      <c r="F144" s="50">
        <v>2</v>
      </c>
      <c r="G144" s="50">
        <v>0</v>
      </c>
      <c r="H144" s="50">
        <v>0.17661692559280429</v>
      </c>
      <c r="I144" s="50">
        <v>4.8814390842191767E-2</v>
      </c>
      <c r="J144" s="50">
        <v>0.27500613246116112</v>
      </c>
      <c r="K144" s="50">
        <v>0.52669419460343436</v>
      </c>
    </row>
    <row r="145" spans="1:11" ht="12.75" x14ac:dyDescent="0.2">
      <c r="A145" s="51">
        <v>9</v>
      </c>
      <c r="B145" s="51">
        <v>2</v>
      </c>
      <c r="C145" s="51">
        <v>20.88450367947673</v>
      </c>
      <c r="D145" s="51">
        <v>0</v>
      </c>
      <c r="E145" s="51">
        <v>3.17</v>
      </c>
      <c r="F145" s="51">
        <v>2</v>
      </c>
      <c r="G145" s="51">
        <v>0</v>
      </c>
      <c r="H145" s="51">
        <v>0.16340760425183826</v>
      </c>
      <c r="I145" s="51">
        <v>-8.0376533115290449</v>
      </c>
      <c r="J145" s="51">
        <v>67.047457890433321</v>
      </c>
      <c r="K145" s="51">
        <v>0.55389452166802977</v>
      </c>
    </row>
    <row r="146" spans="1:11" ht="12.75" x14ac:dyDescent="0.2">
      <c r="A146" s="48">
        <v>9</v>
      </c>
      <c r="B146" s="48">
        <v>3</v>
      </c>
      <c r="C146" s="48">
        <v>10.447785714285711</v>
      </c>
      <c r="D146" s="48">
        <v>0</v>
      </c>
      <c r="E146" s="48">
        <v>5.26</v>
      </c>
      <c r="F146" s="48">
        <v>4</v>
      </c>
      <c r="G146" s="48">
        <v>0</v>
      </c>
      <c r="H146" s="48">
        <v>0.11499999999999998</v>
      </c>
      <c r="I146" s="48">
        <v>-3.0952380952380943E-2</v>
      </c>
      <c r="J146" s="48">
        <v>0</v>
      </c>
      <c r="K146" s="48">
        <v>0.43621428571428567</v>
      </c>
    </row>
    <row r="147" spans="1:11" ht="12.75" x14ac:dyDescent="0.2">
      <c r="A147" s="49">
        <v>9</v>
      </c>
      <c r="B147" s="49">
        <v>3</v>
      </c>
      <c r="C147" s="49">
        <v>7.2987857142857155</v>
      </c>
      <c r="D147" s="49">
        <v>0</v>
      </c>
      <c r="E147" s="49">
        <v>5.54</v>
      </c>
      <c r="F147" s="49">
        <v>3</v>
      </c>
      <c r="G147" s="49">
        <v>0.14507142857142855</v>
      </c>
      <c r="H147" s="49">
        <v>4.9142857142857141E-2</v>
      </c>
      <c r="I147" s="49">
        <v>-21.145238095238096</v>
      </c>
      <c r="J147" s="49">
        <v>7.6451428571428561</v>
      </c>
      <c r="K147" s="49">
        <v>0.92033333333333289</v>
      </c>
    </row>
    <row r="148" spans="1:11" ht="12.75" x14ac:dyDescent="0.2">
      <c r="A148" s="50">
        <v>9</v>
      </c>
      <c r="B148" s="50">
        <v>3</v>
      </c>
      <c r="C148" s="50">
        <v>8.2896428571428569</v>
      </c>
      <c r="D148" s="50">
        <v>1</v>
      </c>
      <c r="E148" s="50">
        <v>2.06</v>
      </c>
      <c r="F148" s="50">
        <v>3</v>
      </c>
      <c r="G148" s="50">
        <v>4.9690476190476195E-2</v>
      </c>
      <c r="H148" s="50">
        <v>9.6833333333333341E-2</v>
      </c>
      <c r="I148" s="50">
        <v>-14.133333333333335</v>
      </c>
      <c r="J148" s="50">
        <v>61.982761904761901</v>
      </c>
      <c r="K148" s="50">
        <v>0.74335714285714294</v>
      </c>
    </row>
    <row r="149" spans="1:11" ht="12.75" x14ac:dyDescent="0.2">
      <c r="A149" s="49">
        <v>9</v>
      </c>
      <c r="B149" s="49">
        <v>3</v>
      </c>
      <c r="C149" s="49">
        <v>14.109404761904759</v>
      </c>
      <c r="D149" s="49">
        <v>1</v>
      </c>
      <c r="E149" s="49">
        <v>3.25</v>
      </c>
      <c r="F149" s="49">
        <v>2</v>
      </c>
      <c r="G149" s="49">
        <v>1.2285714285714285E-2</v>
      </c>
      <c r="H149" s="49">
        <v>0.14992857142857144</v>
      </c>
      <c r="I149" s="49">
        <v>-7.5309523809523808</v>
      </c>
      <c r="J149" s="49">
        <v>46.370738095238089</v>
      </c>
      <c r="K149" s="49">
        <v>0.80469047619047607</v>
      </c>
    </row>
    <row r="150" spans="1:11" ht="12.75" x14ac:dyDescent="0.2">
      <c r="A150" s="53">
        <v>9</v>
      </c>
      <c r="B150" s="53">
        <v>3</v>
      </c>
      <c r="C150" s="53">
        <v>7.7511190476190492</v>
      </c>
      <c r="D150" s="53">
        <v>1</v>
      </c>
      <c r="E150" s="53">
        <v>8.19</v>
      </c>
      <c r="F150" s="53">
        <v>2</v>
      </c>
      <c r="G150" s="53">
        <v>0.14683333333333332</v>
      </c>
      <c r="H150" s="53">
        <v>7.509523809523809E-2</v>
      </c>
      <c r="I150" s="53">
        <v>-1.8214285714285714</v>
      </c>
      <c r="J150" s="53">
        <v>66.414285714285711</v>
      </c>
      <c r="K150" s="53">
        <v>0.34669047619047599</v>
      </c>
    </row>
    <row r="151" spans="1:11" ht="12.75" x14ac:dyDescent="0.2">
      <c r="A151" s="52">
        <v>10</v>
      </c>
      <c r="B151" s="52">
        <v>1</v>
      </c>
      <c r="C151" s="52">
        <v>14.146119047619049</v>
      </c>
      <c r="D151" s="52">
        <v>0</v>
      </c>
      <c r="E151" s="52">
        <v>7.74</v>
      </c>
      <c r="F151" s="52">
        <v>4</v>
      </c>
      <c r="G151" s="52">
        <v>5.261904761904761E-3</v>
      </c>
      <c r="H151" s="52">
        <v>0.14852380952380953</v>
      </c>
      <c r="I151" s="52">
        <v>0.43571428571428555</v>
      </c>
      <c r="J151" s="52">
        <v>107.35461904761902</v>
      </c>
      <c r="K151" s="52">
        <v>0.56850000000000001</v>
      </c>
    </row>
    <row r="152" spans="1:11" ht="12.75" x14ac:dyDescent="0.2">
      <c r="A152" s="50">
        <v>10</v>
      </c>
      <c r="B152" s="50">
        <v>1</v>
      </c>
      <c r="C152" s="50">
        <v>13.871285714285714</v>
      </c>
      <c r="D152" s="50">
        <v>0</v>
      </c>
      <c r="E152" s="50">
        <v>4.9800000000000004</v>
      </c>
      <c r="F152" s="50">
        <v>3</v>
      </c>
      <c r="G152" s="50">
        <v>1.8690476190476188E-2</v>
      </c>
      <c r="H152" s="50">
        <v>0.15307142857142855</v>
      </c>
      <c r="I152" s="50">
        <v>-11.87142857142857</v>
      </c>
      <c r="J152" s="50">
        <v>14.365880952380952</v>
      </c>
      <c r="K152" s="50">
        <v>-3.4333333333333362E-2</v>
      </c>
    </row>
    <row r="153" spans="1:11" ht="12.75" x14ac:dyDescent="0.2">
      <c r="A153" s="49">
        <v>10</v>
      </c>
      <c r="B153" s="49">
        <v>1</v>
      </c>
      <c r="C153" s="49">
        <v>16.344047619047622</v>
      </c>
      <c r="D153" s="49">
        <v>0</v>
      </c>
      <c r="E153" s="49">
        <v>5.12</v>
      </c>
      <c r="F153" s="49">
        <v>3</v>
      </c>
      <c r="G153" s="49">
        <v>0</v>
      </c>
      <c r="H153" s="49">
        <v>0.10169047619047619</v>
      </c>
      <c r="I153" s="49">
        <v>-6.9761904761904763</v>
      </c>
      <c r="J153" s="49">
        <v>0</v>
      </c>
      <c r="K153" s="49">
        <v>0.71723809523809523</v>
      </c>
    </row>
    <row r="154" spans="1:11" ht="12.75" x14ac:dyDescent="0.2">
      <c r="A154" s="50">
        <v>10</v>
      </c>
      <c r="B154" s="50">
        <v>1</v>
      </c>
      <c r="C154" s="50">
        <v>14.988261904761909</v>
      </c>
      <c r="D154" s="50">
        <v>0</v>
      </c>
      <c r="E154" s="50">
        <v>4.2</v>
      </c>
      <c r="F154" s="50">
        <v>2</v>
      </c>
      <c r="G154" s="50">
        <v>0</v>
      </c>
      <c r="H154" s="50">
        <v>0.11428571428571432</v>
      </c>
      <c r="I154" s="50">
        <v>-0.79047619047619089</v>
      </c>
      <c r="J154" s="50">
        <v>8.4364285714285732</v>
      </c>
      <c r="K154" s="50">
        <v>0.196047619047619</v>
      </c>
    </row>
    <row r="155" spans="1:11" ht="12.75" x14ac:dyDescent="0.2">
      <c r="A155" s="51">
        <v>10</v>
      </c>
      <c r="B155" s="51">
        <v>1</v>
      </c>
      <c r="C155" s="51">
        <v>12.014238095238097</v>
      </c>
      <c r="D155" s="51">
        <v>0</v>
      </c>
      <c r="E155" s="51">
        <v>2.76</v>
      </c>
      <c r="F155" s="51">
        <v>2</v>
      </c>
      <c r="G155" s="51">
        <v>1.7119047619047617E-2</v>
      </c>
      <c r="H155" s="51">
        <v>0.12566666666666665</v>
      </c>
      <c r="I155" s="51">
        <v>-15.707142857142859</v>
      </c>
      <c r="J155" s="51">
        <v>20.696428571428573</v>
      </c>
      <c r="K155" s="51">
        <v>-7.047619047619047E-2</v>
      </c>
    </row>
    <row r="156" spans="1:11" ht="12.75" x14ac:dyDescent="0.2">
      <c r="A156" s="48">
        <v>10</v>
      </c>
      <c r="B156" s="48">
        <v>2</v>
      </c>
      <c r="C156" s="48">
        <v>14.181570543702652</v>
      </c>
      <c r="D156" s="48">
        <v>1</v>
      </c>
      <c r="E156" s="48">
        <v>12.24</v>
      </c>
      <c r="F156" s="48">
        <v>4</v>
      </c>
      <c r="G156" s="48">
        <v>0</v>
      </c>
      <c r="H156" s="48">
        <v>0.13664624913970999</v>
      </c>
      <c r="I156" s="48">
        <v>-0.27852718513420849</v>
      </c>
      <c r="J156" s="48">
        <v>11.14174294562973</v>
      </c>
      <c r="K156" s="48">
        <v>0.94688953888506278</v>
      </c>
    </row>
    <row r="157" spans="1:11" ht="12.75" x14ac:dyDescent="0.2">
      <c r="A157" s="49">
        <v>10</v>
      </c>
      <c r="B157" s="49">
        <v>2</v>
      </c>
      <c r="C157" s="49">
        <v>18.402519270474858</v>
      </c>
      <c r="D157" s="49">
        <v>2</v>
      </c>
      <c r="E157" s="49">
        <v>14.48</v>
      </c>
      <c r="F157" s="49">
        <v>3</v>
      </c>
      <c r="G157" s="49">
        <v>0</v>
      </c>
      <c r="H157" s="49">
        <v>0.13380144528561524</v>
      </c>
      <c r="I157" s="49">
        <v>-5.7195801789401184</v>
      </c>
      <c r="J157" s="49">
        <v>68.882732622160958</v>
      </c>
      <c r="K157" s="49">
        <v>0.58880213351686272</v>
      </c>
    </row>
    <row r="158" spans="1:11" ht="12.75" x14ac:dyDescent="0.2">
      <c r="A158" s="50">
        <v>10</v>
      </c>
      <c r="B158" s="50">
        <v>2</v>
      </c>
      <c r="C158" s="50">
        <v>18.075516517549826</v>
      </c>
      <c r="D158" s="50">
        <v>0</v>
      </c>
      <c r="E158" s="50">
        <v>8.67</v>
      </c>
      <c r="F158" s="50">
        <v>3</v>
      </c>
      <c r="G158" s="50">
        <v>0</v>
      </c>
      <c r="H158" s="50">
        <v>0.15413833448038528</v>
      </c>
      <c r="I158" s="50">
        <v>-0.87914659325532774</v>
      </c>
      <c r="J158" s="50">
        <v>8.5168799036476237</v>
      </c>
      <c r="K158" s="50">
        <v>0.49590880935994641</v>
      </c>
    </row>
    <row r="159" spans="1:11" ht="12.75" x14ac:dyDescent="0.2">
      <c r="A159" s="49">
        <v>10</v>
      </c>
      <c r="B159" s="49">
        <v>2</v>
      </c>
      <c r="C159" s="49">
        <v>18.117944941500372</v>
      </c>
      <c r="D159" s="49">
        <v>0</v>
      </c>
      <c r="E159" s="49">
        <v>3.65</v>
      </c>
      <c r="F159" s="49">
        <v>2</v>
      </c>
      <c r="G159" s="49">
        <v>2.2670337233310395E-3</v>
      </c>
      <c r="H159" s="49">
        <v>0.13406434962147207</v>
      </c>
      <c r="I159" s="49">
        <v>-7.0411562284927793</v>
      </c>
      <c r="J159" s="49">
        <v>110.22790467997243</v>
      </c>
      <c r="K159" s="49">
        <v>0.40300550584996608</v>
      </c>
    </row>
    <row r="160" spans="1:11" ht="12.75" x14ac:dyDescent="0.2">
      <c r="A160" s="53">
        <v>10</v>
      </c>
      <c r="B160" s="53">
        <v>2</v>
      </c>
      <c r="C160" s="53">
        <v>17.365099793530671</v>
      </c>
      <c r="D160" s="53">
        <v>0</v>
      </c>
      <c r="E160" s="53">
        <v>4.71</v>
      </c>
      <c r="F160" s="53">
        <v>2</v>
      </c>
      <c r="G160" s="53">
        <v>1.4460426703372321E-2</v>
      </c>
      <c r="H160" s="53">
        <v>0.13854507914659314</v>
      </c>
      <c r="I160" s="53">
        <v>-7.0818995182379413E-2</v>
      </c>
      <c r="J160" s="53">
        <v>94.699694425327138</v>
      </c>
      <c r="K160" s="53">
        <v>0.24894115622849325</v>
      </c>
    </row>
    <row r="161" spans="1:11" ht="12.75" x14ac:dyDescent="0.2">
      <c r="A161" s="52">
        <v>10</v>
      </c>
      <c r="B161" s="52">
        <v>3</v>
      </c>
      <c r="C161" s="52">
        <v>16.088153846153848</v>
      </c>
      <c r="D161" s="52">
        <v>0</v>
      </c>
      <c r="E161" s="52">
        <v>7.21</v>
      </c>
      <c r="F161" s="52">
        <v>4</v>
      </c>
      <c r="G161" s="52">
        <v>0</v>
      </c>
      <c r="H161" s="52">
        <v>0.18930769230769232</v>
      </c>
      <c r="I161" s="52">
        <v>0.24102564102564103</v>
      </c>
      <c r="J161" s="52">
        <v>0</v>
      </c>
      <c r="K161" s="52">
        <v>-0.10264102564102565</v>
      </c>
    </row>
    <row r="162" spans="1:11" ht="12.75" x14ac:dyDescent="0.2">
      <c r="A162" s="50">
        <v>10</v>
      </c>
      <c r="B162" s="50">
        <v>3</v>
      </c>
      <c r="C162" s="50">
        <v>12.649230769230771</v>
      </c>
      <c r="D162" s="50">
        <v>0</v>
      </c>
      <c r="E162" s="50">
        <v>5.38</v>
      </c>
      <c r="F162" s="50">
        <v>3</v>
      </c>
      <c r="G162" s="50">
        <v>4.1461538461538459E-2</v>
      </c>
      <c r="H162" s="50">
        <v>0.13130769230769229</v>
      </c>
      <c r="I162" s="50">
        <v>-17.517948717948709</v>
      </c>
      <c r="J162" s="50">
        <v>30.479435897435906</v>
      </c>
      <c r="K162" s="50">
        <v>0.26469230769230773</v>
      </c>
    </row>
    <row r="163" spans="1:11" ht="12.75" x14ac:dyDescent="0.2">
      <c r="A163" s="49">
        <v>10</v>
      </c>
      <c r="B163" s="49">
        <v>3</v>
      </c>
      <c r="C163" s="49">
        <v>15.210307692307687</v>
      </c>
      <c r="D163" s="49">
        <v>0</v>
      </c>
      <c r="E163" s="49">
        <v>5.52</v>
      </c>
      <c r="F163" s="49">
        <v>3</v>
      </c>
      <c r="G163" s="49">
        <v>0</v>
      </c>
      <c r="H163" s="49">
        <v>0.10694871794871794</v>
      </c>
      <c r="I163" s="49">
        <v>-9.2358974358974368</v>
      </c>
      <c r="J163" s="49">
        <v>6.5324871794871795</v>
      </c>
      <c r="K163" s="49">
        <v>-2.5641025641025664E-2</v>
      </c>
    </row>
    <row r="164" spans="1:11" ht="12.75" x14ac:dyDescent="0.2">
      <c r="A164" s="50">
        <v>10</v>
      </c>
      <c r="B164" s="50">
        <v>3</v>
      </c>
      <c r="C164" s="50">
        <v>15.038051282051283</v>
      </c>
      <c r="D164" s="50">
        <v>0</v>
      </c>
      <c r="E164" s="50">
        <v>3.94</v>
      </c>
      <c r="F164" s="50">
        <v>2</v>
      </c>
      <c r="G164" s="50">
        <v>1.9E-2</v>
      </c>
      <c r="H164" s="50">
        <v>0.11046153846153849</v>
      </c>
      <c r="I164" s="50">
        <v>-16.043589743589745</v>
      </c>
      <c r="J164" s="50">
        <v>4.6249487179487181</v>
      </c>
      <c r="K164" s="50">
        <v>4.9999999999999906E-3</v>
      </c>
    </row>
    <row r="165" spans="1:11" ht="12.75" x14ac:dyDescent="0.2">
      <c r="A165" s="51">
        <v>10</v>
      </c>
      <c r="B165" s="51">
        <v>3</v>
      </c>
      <c r="C165" s="51">
        <v>9.1251282051282043</v>
      </c>
      <c r="D165" s="51">
        <v>0</v>
      </c>
      <c r="E165" s="51">
        <v>4.51</v>
      </c>
      <c r="F165" s="51">
        <v>2</v>
      </c>
      <c r="G165" s="51">
        <v>7.9846153846153844E-2</v>
      </c>
      <c r="H165" s="51">
        <v>9.274358974358976E-2</v>
      </c>
      <c r="I165" s="51">
        <v>1.0717948717948718</v>
      </c>
      <c r="J165" s="51">
        <v>82.758153846153846</v>
      </c>
      <c r="K165" s="51">
        <v>-0.34866666666666662</v>
      </c>
    </row>
    <row r="166" spans="1:11" ht="12.75" x14ac:dyDescent="0.2">
      <c r="A166" s="48">
        <v>11</v>
      </c>
      <c r="B166" s="48">
        <v>1</v>
      </c>
      <c r="C166" s="48">
        <v>15.298696969696969</v>
      </c>
      <c r="D166" s="48">
        <v>1</v>
      </c>
      <c r="E166" s="48">
        <v>16.53</v>
      </c>
      <c r="F166" s="48">
        <v>4</v>
      </c>
      <c r="G166" s="48">
        <v>0</v>
      </c>
      <c r="H166" s="48">
        <v>0.15578787878787881</v>
      </c>
      <c r="I166" s="48">
        <v>0.36666666666666675</v>
      </c>
      <c r="J166" s="48">
        <v>121.78563636363634</v>
      </c>
      <c r="K166" s="48">
        <v>0.17924242424242409</v>
      </c>
    </row>
    <row r="167" spans="1:11" ht="12.75" x14ac:dyDescent="0.2">
      <c r="A167" s="49">
        <v>11</v>
      </c>
      <c r="B167" s="49">
        <v>1</v>
      </c>
      <c r="C167" s="49">
        <v>14.899303030303024</v>
      </c>
      <c r="D167" s="49">
        <v>0</v>
      </c>
      <c r="E167" s="49">
        <v>12.93</v>
      </c>
      <c r="F167" s="49">
        <v>4</v>
      </c>
      <c r="G167" s="49">
        <v>5.787878787878788E-3</v>
      </c>
      <c r="H167" s="49">
        <v>9.0727272727272726E-2</v>
      </c>
      <c r="I167" s="49">
        <v>-15.060606060606061</v>
      </c>
      <c r="J167" s="49">
        <v>93.411757575757562</v>
      </c>
      <c r="K167" s="49">
        <v>4.7818181818181829E-2</v>
      </c>
    </row>
    <row r="168" spans="1:11" ht="12.75" x14ac:dyDescent="0.2">
      <c r="A168" s="50">
        <v>11</v>
      </c>
      <c r="B168" s="50">
        <v>1</v>
      </c>
      <c r="C168" s="50">
        <v>17.628999999999994</v>
      </c>
      <c r="D168" s="50">
        <v>1</v>
      </c>
      <c r="E168" s="50">
        <v>5.13</v>
      </c>
      <c r="F168" s="50">
        <v>3</v>
      </c>
      <c r="G168" s="50">
        <v>0</v>
      </c>
      <c r="H168" s="50">
        <v>0.1863030303030303</v>
      </c>
      <c r="I168" s="50">
        <v>-1.9848484848484849</v>
      </c>
      <c r="J168" s="50">
        <v>71.914272727272717</v>
      </c>
      <c r="K168" s="50">
        <v>0.1745454545454545</v>
      </c>
    </row>
    <row r="169" spans="1:11" ht="12.75" x14ac:dyDescent="0.2">
      <c r="A169" s="49">
        <v>11</v>
      </c>
      <c r="B169" s="49">
        <v>1</v>
      </c>
      <c r="C169" s="49">
        <v>19.570121212121219</v>
      </c>
      <c r="D169" s="49">
        <v>0</v>
      </c>
      <c r="E169" s="49">
        <v>6.18</v>
      </c>
      <c r="F169" s="49">
        <v>3</v>
      </c>
      <c r="G169" s="49">
        <v>9.3939393939393937E-3</v>
      </c>
      <c r="H169" s="49">
        <v>0.14690909090909093</v>
      </c>
      <c r="I169" s="49">
        <v>-8.1696969696969681</v>
      </c>
      <c r="J169" s="49">
        <v>16.189454545454542</v>
      </c>
      <c r="K169" s="49">
        <v>-7.4424242424242434E-2</v>
      </c>
    </row>
    <row r="170" spans="1:11" ht="12.75" x14ac:dyDescent="0.2">
      <c r="A170" s="50">
        <v>11</v>
      </c>
      <c r="B170" s="50">
        <v>1</v>
      </c>
      <c r="C170" s="50">
        <v>12.046272727272727</v>
      </c>
      <c r="D170" s="50">
        <v>2</v>
      </c>
      <c r="E170" s="50">
        <v>8.6199999999999992</v>
      </c>
      <c r="F170" s="50">
        <v>2</v>
      </c>
      <c r="G170" s="50">
        <v>2.290909090909091E-2</v>
      </c>
      <c r="H170" s="50">
        <v>9.9151515151515157E-2</v>
      </c>
      <c r="I170" s="50">
        <v>-1.5060606060606061</v>
      </c>
      <c r="J170" s="50">
        <v>20.941939393939393</v>
      </c>
      <c r="K170" s="50">
        <v>0.41118181818181809</v>
      </c>
    </row>
    <row r="171" spans="1:11" ht="12.75" x14ac:dyDescent="0.2">
      <c r="A171" s="51">
        <v>11</v>
      </c>
      <c r="B171" s="51">
        <v>1</v>
      </c>
      <c r="C171" s="51">
        <v>4.1048181818181817</v>
      </c>
      <c r="D171" s="51">
        <v>0</v>
      </c>
      <c r="E171" s="51">
        <v>3.24</v>
      </c>
      <c r="F171" s="51">
        <v>2</v>
      </c>
      <c r="G171" s="51">
        <v>5.2575757575757567E-2</v>
      </c>
      <c r="H171" s="51">
        <v>5.4696969696969695E-2</v>
      </c>
      <c r="I171" s="51">
        <v>-7.542424242424242</v>
      </c>
      <c r="J171" s="51">
        <v>31.866454545454548</v>
      </c>
      <c r="K171" s="51">
        <v>0.29263636363636375</v>
      </c>
    </row>
    <row r="172" spans="1:11" ht="12.75" x14ac:dyDescent="0.2">
      <c r="A172" s="48">
        <v>11</v>
      </c>
      <c r="B172" s="48">
        <v>2</v>
      </c>
      <c r="C172" s="48">
        <v>15.430051566265048</v>
      </c>
      <c r="D172" s="48">
        <v>0</v>
      </c>
      <c r="E172" s="48">
        <v>18.3</v>
      </c>
      <c r="F172" s="48">
        <v>4</v>
      </c>
      <c r="G172" s="48">
        <v>0</v>
      </c>
      <c r="H172" s="48">
        <v>0.20920626506023976</v>
      </c>
      <c r="I172" s="48">
        <v>-0.68183132530120416</v>
      </c>
      <c r="J172" s="48">
        <v>17.440591325301202</v>
      </c>
      <c r="K172" s="48">
        <v>0.66771132530120503</v>
      </c>
    </row>
    <row r="173" spans="1:11" ht="12.75" x14ac:dyDescent="0.2">
      <c r="A173" s="49">
        <v>11</v>
      </c>
      <c r="B173" s="49">
        <v>2</v>
      </c>
      <c r="C173" s="49">
        <v>18.067065542168621</v>
      </c>
      <c r="D173" s="49">
        <v>3</v>
      </c>
      <c r="E173" s="49">
        <v>18.53</v>
      </c>
      <c r="F173" s="49">
        <v>4</v>
      </c>
      <c r="G173" s="49">
        <v>7.5286746987951831E-3</v>
      </c>
      <c r="H173" s="49">
        <v>0.14606698795180775</v>
      </c>
      <c r="I173" s="49">
        <v>9.7831325301205488E-2</v>
      </c>
      <c r="J173" s="49">
        <v>0</v>
      </c>
      <c r="K173" s="49">
        <v>0.32410746987951833</v>
      </c>
    </row>
    <row r="174" spans="1:11" ht="12.75" x14ac:dyDescent="0.2">
      <c r="A174" s="50">
        <v>11</v>
      </c>
      <c r="B174" s="50">
        <v>2</v>
      </c>
      <c r="C174" s="50">
        <v>23.639258313252959</v>
      </c>
      <c r="D174" s="50">
        <v>0</v>
      </c>
      <c r="E174" s="50">
        <v>5.35</v>
      </c>
      <c r="F174" s="50">
        <v>3</v>
      </c>
      <c r="G174" s="50">
        <v>0</v>
      </c>
      <c r="H174" s="50">
        <v>0.20390650602409602</v>
      </c>
      <c r="I174" s="50">
        <v>-9.2773975903613941</v>
      </c>
      <c r="J174" s="50">
        <v>2.975797108433734</v>
      </c>
      <c r="K174" s="50">
        <v>-0.27295084337349368</v>
      </c>
    </row>
    <row r="175" spans="1:11" ht="12.75" x14ac:dyDescent="0.2">
      <c r="A175" s="49">
        <v>11</v>
      </c>
      <c r="B175" s="49">
        <v>2</v>
      </c>
      <c r="C175" s="49">
        <v>24.686160963855436</v>
      </c>
      <c r="D175" s="49">
        <v>2</v>
      </c>
      <c r="E175" s="49">
        <v>15.63</v>
      </c>
      <c r="F175" s="49">
        <v>3</v>
      </c>
      <c r="G175" s="49">
        <v>0</v>
      </c>
      <c r="H175" s="49">
        <v>0.21801156626505869</v>
      </c>
      <c r="I175" s="49">
        <v>8.3421686746987994E-2</v>
      </c>
      <c r="J175" s="49">
        <v>26.476152289156623</v>
      </c>
      <c r="K175" s="49">
        <v>0.13070891566265072</v>
      </c>
    </row>
    <row r="176" spans="1:11" ht="12.75" x14ac:dyDescent="0.2">
      <c r="A176" s="50">
        <v>11</v>
      </c>
      <c r="B176" s="50">
        <v>2</v>
      </c>
      <c r="C176" s="50">
        <v>18.604495903614431</v>
      </c>
      <c r="D176" s="50">
        <v>0</v>
      </c>
      <c r="E176" s="50">
        <v>4.1399999999999997</v>
      </c>
      <c r="F176" s="50">
        <v>2</v>
      </c>
      <c r="G176" s="50">
        <v>6.2891566265060254E-4</v>
      </c>
      <c r="H176" s="50">
        <v>9.0780240963854342E-2</v>
      </c>
      <c r="I176" s="50">
        <v>-9.6091566265060262</v>
      </c>
      <c r="J176" s="50">
        <v>107.04873927710847</v>
      </c>
      <c r="K176" s="50">
        <v>-0.31998361445783119</v>
      </c>
    </row>
    <row r="177" spans="1:11" ht="12.75" x14ac:dyDescent="0.2">
      <c r="A177" s="51">
        <v>11</v>
      </c>
      <c r="B177" s="51">
        <v>2</v>
      </c>
      <c r="C177" s="51">
        <v>20.167737831325283</v>
      </c>
      <c r="D177" s="51">
        <v>0</v>
      </c>
      <c r="E177" s="51">
        <v>3.09</v>
      </c>
      <c r="F177" s="51">
        <v>2</v>
      </c>
      <c r="G177" s="51">
        <v>0</v>
      </c>
      <c r="H177" s="51">
        <v>0.13133542168674697</v>
      </c>
      <c r="I177" s="51">
        <v>5.2722891566265195E-2</v>
      </c>
      <c r="J177" s="51">
        <v>0</v>
      </c>
      <c r="K177" s="51">
        <v>0.10198216867469882</v>
      </c>
    </row>
    <row r="178" spans="1:11" ht="12.75" x14ac:dyDescent="0.2">
      <c r="A178" s="48">
        <v>11</v>
      </c>
      <c r="B178" s="48">
        <v>3</v>
      </c>
      <c r="C178" s="48">
        <v>13.620303030303029</v>
      </c>
      <c r="D178" s="48">
        <v>0</v>
      </c>
      <c r="E178" s="48">
        <v>5.79</v>
      </c>
      <c r="F178" s="48">
        <v>4</v>
      </c>
      <c r="G178" s="48">
        <v>0</v>
      </c>
      <c r="H178" s="48">
        <v>0.17369696969696977</v>
      </c>
      <c r="I178" s="48">
        <v>0.64242424242424234</v>
      </c>
      <c r="J178" s="48">
        <v>0</v>
      </c>
      <c r="K178" s="48">
        <v>0.58269696969696971</v>
      </c>
    </row>
    <row r="179" spans="1:11" ht="12.75" x14ac:dyDescent="0.2">
      <c r="A179" s="49">
        <v>11</v>
      </c>
      <c r="B179" s="49">
        <v>3</v>
      </c>
      <c r="C179" s="49">
        <v>10.615484848484845</v>
      </c>
      <c r="D179" s="49">
        <v>2</v>
      </c>
      <c r="E179" s="49">
        <v>14.14</v>
      </c>
      <c r="F179" s="49">
        <v>4</v>
      </c>
      <c r="G179" s="49">
        <v>4.8515151515151511E-2</v>
      </c>
      <c r="H179" s="49">
        <v>8.5454545454545464E-2</v>
      </c>
      <c r="I179" s="49">
        <v>-15.633333333333333</v>
      </c>
      <c r="J179" s="49">
        <v>20.092696969696973</v>
      </c>
      <c r="K179" s="49">
        <v>0.58530303030303021</v>
      </c>
    </row>
    <row r="180" spans="1:11" ht="12.75" x14ac:dyDescent="0.2">
      <c r="A180" s="50">
        <v>11</v>
      </c>
      <c r="B180" s="50">
        <v>3</v>
      </c>
      <c r="C180" s="50">
        <v>14.20009090909091</v>
      </c>
      <c r="D180" s="50">
        <v>1</v>
      </c>
      <c r="E180" s="50">
        <v>8.86</v>
      </c>
      <c r="F180" s="50">
        <v>3</v>
      </c>
      <c r="G180" s="50">
        <v>3.3636363636363631E-2</v>
      </c>
      <c r="H180" s="50">
        <v>0.14681818181818179</v>
      </c>
      <c r="I180" s="50">
        <v>0.74545454545454537</v>
      </c>
      <c r="J180" s="50">
        <v>0</v>
      </c>
      <c r="K180" s="50">
        <v>-0.16066666666666662</v>
      </c>
    </row>
    <row r="181" spans="1:11" ht="12.75" x14ac:dyDescent="0.2">
      <c r="A181" s="49">
        <v>11</v>
      </c>
      <c r="B181" s="49">
        <v>3</v>
      </c>
      <c r="C181" s="49">
        <v>14.174454545454545</v>
      </c>
      <c r="D181" s="49">
        <v>0</v>
      </c>
      <c r="E181" s="49">
        <v>9.1199999999999992</v>
      </c>
      <c r="F181" s="49">
        <v>3</v>
      </c>
      <c r="G181" s="49">
        <v>0</v>
      </c>
      <c r="H181" s="49">
        <v>0.15193939393939399</v>
      </c>
      <c r="I181" s="49">
        <v>-11.375757575757577</v>
      </c>
      <c r="J181" s="49">
        <v>64.069515151515148</v>
      </c>
      <c r="K181" s="49">
        <v>-0.27290909090909093</v>
      </c>
    </row>
    <row r="182" spans="1:11" ht="12.75" x14ac:dyDescent="0.2">
      <c r="A182" s="50">
        <v>11</v>
      </c>
      <c r="B182" s="50">
        <v>3</v>
      </c>
      <c r="C182" s="50">
        <v>14.73881818181818</v>
      </c>
      <c r="D182" s="50">
        <v>1</v>
      </c>
      <c r="E182" s="50">
        <v>5.17</v>
      </c>
      <c r="F182" s="50">
        <v>2</v>
      </c>
      <c r="G182" s="50">
        <v>3.1787878787878789E-2</v>
      </c>
      <c r="H182" s="50">
        <v>0.15624242424242424</v>
      </c>
      <c r="I182" s="50">
        <v>-1.0272727272727273</v>
      </c>
      <c r="J182" s="50">
        <v>55.175969696969702</v>
      </c>
      <c r="K182" s="50">
        <v>0.18554545454545454</v>
      </c>
    </row>
    <row r="183" spans="1:11" ht="12.75" x14ac:dyDescent="0.2">
      <c r="A183" s="51">
        <v>11</v>
      </c>
      <c r="B183" s="51">
        <v>3</v>
      </c>
      <c r="C183" s="51">
        <v>7.6552121212121227</v>
      </c>
      <c r="D183" s="51">
        <v>0</v>
      </c>
      <c r="E183" s="51">
        <v>5.67</v>
      </c>
      <c r="F183" s="51">
        <v>2</v>
      </c>
      <c r="G183" s="51">
        <v>5.2727272727272727E-2</v>
      </c>
      <c r="H183" s="51">
        <v>8.5242424242424245E-2</v>
      </c>
      <c r="I183" s="51">
        <v>-13.463636363636363</v>
      </c>
      <c r="J183" s="51">
        <v>85.761545454545455</v>
      </c>
      <c r="K183" s="51">
        <v>0.35363636363636342</v>
      </c>
    </row>
    <row r="184" spans="1:11" ht="12.75" x14ac:dyDescent="0.2">
      <c r="A184" s="48">
        <v>12</v>
      </c>
      <c r="B184" s="48">
        <v>1</v>
      </c>
      <c r="C184" s="48">
        <v>18.459147058823532</v>
      </c>
      <c r="D184" s="48">
        <v>0</v>
      </c>
      <c r="E184" s="48">
        <v>6.93</v>
      </c>
      <c r="F184" s="48">
        <v>4</v>
      </c>
      <c r="G184" s="48">
        <v>0</v>
      </c>
      <c r="H184" s="48">
        <v>0.28541176470588231</v>
      </c>
      <c r="I184" s="48">
        <v>8.8235294117647078E-2</v>
      </c>
      <c r="J184" s="48">
        <v>47.453705882352949</v>
      </c>
      <c r="K184" s="48">
        <v>-0.16194117647058826</v>
      </c>
    </row>
    <row r="185" spans="1:11" ht="12.75" x14ac:dyDescent="0.2">
      <c r="A185" s="49">
        <v>12</v>
      </c>
      <c r="B185" s="49">
        <v>1</v>
      </c>
      <c r="C185" s="49">
        <v>10.228294117647058</v>
      </c>
      <c r="D185" s="49">
        <v>0</v>
      </c>
      <c r="E185" s="49">
        <v>11.15</v>
      </c>
      <c r="F185" s="49">
        <v>4</v>
      </c>
      <c r="G185" s="49">
        <v>5.864705882352942E-2</v>
      </c>
      <c r="H185" s="49">
        <v>6.9999999999999979E-2</v>
      </c>
      <c r="I185" s="49">
        <v>-4.7705882352941176</v>
      </c>
      <c r="J185" s="49">
        <v>34.217470588235294</v>
      </c>
      <c r="K185" s="49">
        <v>0.14767647058823524</v>
      </c>
    </row>
    <row r="186" spans="1:11" ht="12.75" x14ac:dyDescent="0.2">
      <c r="A186" s="50">
        <v>12</v>
      </c>
      <c r="B186" s="50">
        <v>1</v>
      </c>
      <c r="C186" s="50">
        <v>19.553441176470585</v>
      </c>
      <c r="D186" s="50">
        <v>0</v>
      </c>
      <c r="E186" s="50">
        <v>6.3</v>
      </c>
      <c r="F186" s="50">
        <v>3</v>
      </c>
      <c r="G186" s="50">
        <v>0</v>
      </c>
      <c r="H186" s="50">
        <v>0.28429411764705881</v>
      </c>
      <c r="I186" s="50">
        <v>-14.067647058823528</v>
      </c>
      <c r="J186" s="50">
        <v>0.74820588235294117</v>
      </c>
      <c r="K186" s="50">
        <v>-0.72435294117647064</v>
      </c>
    </row>
    <row r="187" spans="1:11" ht="12.75" x14ac:dyDescent="0.2">
      <c r="A187" s="49">
        <v>12</v>
      </c>
      <c r="B187" s="49">
        <v>1</v>
      </c>
      <c r="C187" s="49">
        <v>21.292941176470585</v>
      </c>
      <c r="D187" s="49">
        <v>0</v>
      </c>
      <c r="E187" s="49">
        <v>3.73</v>
      </c>
      <c r="F187" s="49">
        <v>3</v>
      </c>
      <c r="G187" s="49">
        <v>5.4411764705882349E-3</v>
      </c>
      <c r="H187" s="49">
        <v>0.13976470588235296</v>
      </c>
      <c r="I187" s="49">
        <v>-6.4558823529411757</v>
      </c>
      <c r="J187" s="49">
        <v>39.667676470588241</v>
      </c>
      <c r="K187" s="49">
        <v>-0.37852941176470584</v>
      </c>
    </row>
    <row r="188" spans="1:11" ht="12.75" x14ac:dyDescent="0.2">
      <c r="A188" s="50">
        <v>12</v>
      </c>
      <c r="B188" s="50">
        <v>1</v>
      </c>
      <c r="C188" s="50">
        <v>9.2062941176470598</v>
      </c>
      <c r="D188" s="50">
        <v>1</v>
      </c>
      <c r="E188" s="50">
        <v>4.68</v>
      </c>
      <c r="F188" s="50">
        <v>2</v>
      </c>
      <c r="G188" s="50">
        <v>3.2088235294117647E-2</v>
      </c>
      <c r="H188" s="50">
        <v>5.1911764705882352E-2</v>
      </c>
      <c r="I188" s="50">
        <v>-2.1411764705882357</v>
      </c>
      <c r="J188" s="50">
        <v>13.302294117647056</v>
      </c>
      <c r="K188" s="50">
        <v>2.5823529411764721E-2</v>
      </c>
    </row>
    <row r="189" spans="1:11" ht="12.75" x14ac:dyDescent="0.2">
      <c r="A189" s="51">
        <v>12</v>
      </c>
      <c r="B189" s="51">
        <v>1</v>
      </c>
      <c r="C189" s="51">
        <v>10.612264705882357</v>
      </c>
      <c r="D189" s="51">
        <v>0</v>
      </c>
      <c r="E189" s="51">
        <v>2.98</v>
      </c>
      <c r="F189" s="51">
        <v>2</v>
      </c>
      <c r="G189" s="51">
        <v>1.1941176470588235E-2</v>
      </c>
      <c r="H189" s="51">
        <v>0.13685294117647057</v>
      </c>
      <c r="I189" s="51">
        <v>-27.347058823529412</v>
      </c>
      <c r="J189" s="51">
        <v>28.522058823529413</v>
      </c>
      <c r="K189" s="51">
        <v>-2.2470588235294117E-2</v>
      </c>
    </row>
    <row r="190" spans="1:11" ht="12.75" x14ac:dyDescent="0.2">
      <c r="A190" s="48">
        <v>12</v>
      </c>
      <c r="B190" s="48">
        <v>2</v>
      </c>
      <c r="C190" s="48">
        <v>15.994008849557513</v>
      </c>
      <c r="D190" s="48">
        <v>0</v>
      </c>
      <c r="E190" s="48">
        <v>3.04</v>
      </c>
      <c r="F190" s="48">
        <v>4</v>
      </c>
      <c r="G190" s="48">
        <v>0</v>
      </c>
      <c r="H190" s="48">
        <v>0.22343805309734466</v>
      </c>
      <c r="I190" s="48">
        <v>-0.43279867256637111</v>
      </c>
      <c r="J190" s="48">
        <v>25.735555309734508</v>
      </c>
      <c r="K190" s="48">
        <v>0.34684292035398123</v>
      </c>
    </row>
    <row r="191" spans="1:11" ht="12.75" x14ac:dyDescent="0.2">
      <c r="A191" s="49">
        <v>12</v>
      </c>
      <c r="B191" s="49">
        <v>2</v>
      </c>
      <c r="C191" s="49">
        <v>21.409877765486705</v>
      </c>
      <c r="D191" s="49">
        <v>1</v>
      </c>
      <c r="E191" s="49">
        <v>9.09</v>
      </c>
      <c r="F191" s="49">
        <v>4</v>
      </c>
      <c r="G191" s="49">
        <v>0</v>
      </c>
      <c r="H191" s="49">
        <v>0.17061504424778515</v>
      </c>
      <c r="I191" s="49">
        <v>-4.2311946902654794E-2</v>
      </c>
      <c r="J191" s="49">
        <v>0</v>
      </c>
      <c r="K191" s="49">
        <v>-5.9587942477875716E-2</v>
      </c>
    </row>
    <row r="192" spans="1:11" ht="12.75" x14ac:dyDescent="0.2">
      <c r="A192" s="50">
        <v>12</v>
      </c>
      <c r="B192" s="50">
        <v>2</v>
      </c>
      <c r="C192" s="50">
        <v>19.523138827433623</v>
      </c>
      <c r="D192" s="50">
        <v>0</v>
      </c>
      <c r="E192" s="50">
        <v>3.55</v>
      </c>
      <c r="F192" s="50">
        <v>3</v>
      </c>
      <c r="G192" s="50">
        <v>0</v>
      </c>
      <c r="H192" s="50">
        <v>0.14620298672566293</v>
      </c>
      <c r="I192" s="50">
        <v>-10.500000000000039</v>
      </c>
      <c r="J192" s="50">
        <v>0</v>
      </c>
      <c r="K192" s="50">
        <v>-0.26937665929203569</v>
      </c>
    </row>
    <row r="193" spans="1:11" ht="12.75" x14ac:dyDescent="0.2">
      <c r="A193" s="49">
        <v>12</v>
      </c>
      <c r="B193" s="49">
        <v>2</v>
      </c>
      <c r="C193" s="49">
        <v>23.688831305309741</v>
      </c>
      <c r="D193" s="49">
        <v>0</v>
      </c>
      <c r="E193" s="49">
        <v>4.1399999999999997</v>
      </c>
      <c r="F193" s="49">
        <v>3</v>
      </c>
      <c r="G193" s="49">
        <v>0</v>
      </c>
      <c r="H193" s="49">
        <v>0.24657356194690422</v>
      </c>
      <c r="I193" s="49">
        <v>-8.2300884955752884E-2</v>
      </c>
      <c r="J193" s="49">
        <v>0</v>
      </c>
      <c r="K193" s="49">
        <v>-0.27158241150442475</v>
      </c>
    </row>
    <row r="194" spans="1:11" ht="12.75" x14ac:dyDescent="0.2">
      <c r="A194" s="50">
        <v>12</v>
      </c>
      <c r="B194" s="50">
        <v>2</v>
      </c>
      <c r="C194" s="50">
        <v>25.565670907079664</v>
      </c>
      <c r="D194" s="50">
        <v>0</v>
      </c>
      <c r="E194" s="50">
        <v>3.6</v>
      </c>
      <c r="F194" s="50">
        <v>2</v>
      </c>
      <c r="G194" s="50">
        <v>0</v>
      </c>
      <c r="H194" s="50">
        <v>0.22928097345132642</v>
      </c>
      <c r="I194" s="50">
        <v>-6.9200774336282995</v>
      </c>
      <c r="J194" s="50">
        <v>0</v>
      </c>
      <c r="K194" s="50">
        <v>-5.1699115044247602E-2</v>
      </c>
    </row>
    <row r="195" spans="1:11" ht="12.75" x14ac:dyDescent="0.2">
      <c r="A195" s="51">
        <v>12</v>
      </c>
      <c r="B195" s="51">
        <v>2</v>
      </c>
      <c r="C195" s="51">
        <v>27.82659845132736</v>
      </c>
      <c r="D195" s="51">
        <v>0</v>
      </c>
      <c r="E195" s="51">
        <v>1.78</v>
      </c>
      <c r="F195" s="51">
        <v>2</v>
      </c>
      <c r="G195" s="51">
        <v>0</v>
      </c>
      <c r="H195" s="51">
        <v>0.29848506637168254</v>
      </c>
      <c r="I195" s="51">
        <v>-3.8657632743362811</v>
      </c>
      <c r="J195" s="51">
        <v>25.087951327433622</v>
      </c>
      <c r="K195" s="51">
        <v>-0.34136559734513289</v>
      </c>
    </row>
    <row r="196" spans="1:11" ht="12.75" x14ac:dyDescent="0.2">
      <c r="A196" s="48">
        <v>12</v>
      </c>
      <c r="B196" s="48">
        <v>3</v>
      </c>
      <c r="C196" s="48">
        <v>16.035777777777778</v>
      </c>
      <c r="D196" s="48">
        <v>0</v>
      </c>
      <c r="E196" s="48">
        <v>3.98</v>
      </c>
      <c r="F196" s="48">
        <v>4</v>
      </c>
      <c r="G196" s="48">
        <v>0</v>
      </c>
      <c r="H196" s="48">
        <v>0.27200000000000002</v>
      </c>
      <c r="I196" s="48">
        <v>-1.8518518518518504E-2</v>
      </c>
      <c r="J196" s="48">
        <v>0</v>
      </c>
      <c r="K196" s="48">
        <v>-0.28259259259259256</v>
      </c>
    </row>
    <row r="197" spans="1:11" ht="12.75" x14ac:dyDescent="0.2">
      <c r="A197" s="49">
        <v>12</v>
      </c>
      <c r="B197" s="49">
        <v>3</v>
      </c>
      <c r="C197" s="49">
        <v>11.684185185185187</v>
      </c>
      <c r="D197" s="49">
        <v>0</v>
      </c>
      <c r="E197" s="49">
        <v>4.72</v>
      </c>
      <c r="F197" s="49">
        <v>4</v>
      </c>
      <c r="G197" s="49">
        <v>0.13837037037037037</v>
      </c>
      <c r="H197" s="49">
        <v>5.7666666666666679E-2</v>
      </c>
      <c r="I197" s="49">
        <v>-0.52962962962962967</v>
      </c>
      <c r="J197" s="49">
        <v>7.4265925925925922</v>
      </c>
      <c r="K197" s="49">
        <v>-3.0111111111111151E-2</v>
      </c>
    </row>
    <row r="198" spans="1:11" ht="12.75" x14ac:dyDescent="0.2">
      <c r="A198" s="50">
        <v>12</v>
      </c>
      <c r="B198" s="50">
        <v>3</v>
      </c>
      <c r="C198" s="50">
        <v>16.472592592592594</v>
      </c>
      <c r="D198" s="50">
        <v>1</v>
      </c>
      <c r="E198" s="50">
        <v>6.01</v>
      </c>
      <c r="F198" s="50">
        <v>3</v>
      </c>
      <c r="G198" s="50">
        <v>0</v>
      </c>
      <c r="H198" s="50">
        <v>0.28129629629629621</v>
      </c>
      <c r="I198" s="50">
        <v>-20.107407407407408</v>
      </c>
      <c r="J198" s="50">
        <v>59.471296296296295</v>
      </c>
      <c r="K198" s="50">
        <v>0.2844444444444445</v>
      </c>
    </row>
    <row r="199" spans="1:11" ht="12.75" x14ac:dyDescent="0.2">
      <c r="A199" s="49">
        <v>12</v>
      </c>
      <c r="B199" s="49">
        <v>3</v>
      </c>
      <c r="C199" s="49">
        <v>16.595740740740737</v>
      </c>
      <c r="D199" s="49">
        <v>0</v>
      </c>
      <c r="E199" s="49">
        <v>4.99</v>
      </c>
      <c r="F199" s="49">
        <v>3</v>
      </c>
      <c r="G199" s="49">
        <v>3.1259259259259257E-2</v>
      </c>
      <c r="H199" s="49">
        <v>0.15870370370370368</v>
      </c>
      <c r="I199" s="49">
        <v>-11.348148148148148</v>
      </c>
      <c r="J199" s="49">
        <v>1.7234814814814814</v>
      </c>
      <c r="K199" s="49">
        <v>-0.28985185185185181</v>
      </c>
    </row>
    <row r="200" spans="1:11" ht="12.75" x14ac:dyDescent="0.2">
      <c r="A200" s="50">
        <v>12</v>
      </c>
      <c r="B200" s="50">
        <v>3</v>
      </c>
      <c r="C200" s="50">
        <v>14.175740740740743</v>
      </c>
      <c r="D200" s="50">
        <v>0</v>
      </c>
      <c r="E200" s="50">
        <v>2.0299999999999998</v>
      </c>
      <c r="F200" s="50">
        <v>2</v>
      </c>
      <c r="G200" s="50">
        <v>3.3296296296296296E-2</v>
      </c>
      <c r="H200" s="50">
        <v>0.128</v>
      </c>
      <c r="I200" s="50">
        <v>-2.6111111111111094</v>
      </c>
      <c r="J200" s="50">
        <v>29.385185185185179</v>
      </c>
      <c r="K200" s="50">
        <v>-0.25414814814814823</v>
      </c>
    </row>
    <row r="201" spans="1:11" ht="12.75" x14ac:dyDescent="0.2">
      <c r="A201" s="51">
        <v>12</v>
      </c>
      <c r="B201" s="51">
        <v>3</v>
      </c>
      <c r="C201" s="51">
        <v>9.1939259259259281</v>
      </c>
      <c r="D201" s="51">
        <v>0</v>
      </c>
      <c r="E201" s="51">
        <v>3.54</v>
      </c>
      <c r="F201" s="51">
        <v>2</v>
      </c>
      <c r="G201" s="51">
        <v>3.3037037037037031E-2</v>
      </c>
      <c r="H201" s="51">
        <v>7.637037037037038E-2</v>
      </c>
      <c r="I201" s="51">
        <v>-6.1407407407407408</v>
      </c>
      <c r="J201" s="51">
        <v>33.056481481481484</v>
      </c>
      <c r="K201" s="51">
        <v>-3.1407407407407328E-2</v>
      </c>
    </row>
    <row r="202" spans="1:11" ht="12.75" x14ac:dyDescent="0.2">
      <c r="A202" s="48">
        <v>13</v>
      </c>
      <c r="B202" s="48">
        <v>1</v>
      </c>
      <c r="C202" s="48">
        <v>18.273315789473688</v>
      </c>
      <c r="D202" s="48">
        <v>1</v>
      </c>
      <c r="E202" s="48">
        <v>23.44</v>
      </c>
      <c r="F202" s="48">
        <v>4</v>
      </c>
      <c r="G202" s="48">
        <v>1.5552631578947368E-2</v>
      </c>
      <c r="H202" s="48">
        <v>0.28568421052631582</v>
      </c>
      <c r="I202" s="48">
        <v>-0.21052631578947362</v>
      </c>
      <c r="J202" s="48">
        <v>20.577578947368419</v>
      </c>
      <c r="K202" s="48">
        <v>-0.24634210526315781</v>
      </c>
    </row>
    <row r="203" spans="1:11" ht="12.75" x14ac:dyDescent="0.2">
      <c r="A203" s="49">
        <v>13</v>
      </c>
      <c r="B203" s="49">
        <v>1</v>
      </c>
      <c r="C203" s="49">
        <v>9.6676578947368412</v>
      </c>
      <c r="D203" s="49">
        <v>0</v>
      </c>
      <c r="E203" s="49">
        <v>8.4</v>
      </c>
      <c r="F203" s="49">
        <v>4</v>
      </c>
      <c r="G203" s="49">
        <v>0.10068421052631578</v>
      </c>
      <c r="H203" s="49">
        <v>0.10828947368421053</v>
      </c>
      <c r="I203" s="49">
        <v>-13.397368421052631</v>
      </c>
      <c r="J203" s="49">
        <v>30.919921052631576</v>
      </c>
      <c r="K203" s="49">
        <v>6.2684210526315787E-2</v>
      </c>
    </row>
    <row r="204" spans="1:11" ht="12.75" x14ac:dyDescent="0.2">
      <c r="A204" s="50">
        <v>13</v>
      </c>
      <c r="B204" s="50">
        <v>1</v>
      </c>
      <c r="C204" s="50">
        <v>25.787736842105264</v>
      </c>
      <c r="D204" s="50">
        <v>0</v>
      </c>
      <c r="E204" s="50">
        <v>3.4</v>
      </c>
      <c r="F204" s="50">
        <v>3</v>
      </c>
      <c r="G204" s="50">
        <v>2.3684210526315788E-4</v>
      </c>
      <c r="H204" s="50">
        <v>0.56984210526315759</v>
      </c>
      <c r="I204" s="50">
        <v>-10.168421052631579</v>
      </c>
      <c r="J204" s="50">
        <v>35.480710526315782</v>
      </c>
      <c r="K204" s="50">
        <v>-0.1658421052631579</v>
      </c>
    </row>
    <row r="205" spans="1:11" ht="12.75" x14ac:dyDescent="0.2">
      <c r="A205" s="49">
        <v>13</v>
      </c>
      <c r="B205" s="49">
        <v>1</v>
      </c>
      <c r="C205" s="49">
        <v>13.587026315789471</v>
      </c>
      <c r="D205" s="49">
        <v>0</v>
      </c>
      <c r="E205" s="49">
        <v>3.32</v>
      </c>
      <c r="F205" s="49">
        <v>3</v>
      </c>
      <c r="G205" s="49">
        <v>2.8131578947368421E-2</v>
      </c>
      <c r="H205" s="49">
        <v>4.4947368421052639E-2</v>
      </c>
      <c r="I205" s="49">
        <v>-4.210526315789475E-2</v>
      </c>
      <c r="J205" s="49">
        <v>28.544289473684206</v>
      </c>
      <c r="K205" s="49">
        <v>-0.35678947368421049</v>
      </c>
    </row>
    <row r="206" spans="1:11" ht="12.75" x14ac:dyDescent="0.2">
      <c r="A206" s="50">
        <v>13</v>
      </c>
      <c r="B206" s="50">
        <v>1</v>
      </c>
      <c r="C206" s="50">
        <v>9.1019736842105257</v>
      </c>
      <c r="D206" s="50">
        <v>0</v>
      </c>
      <c r="E206" s="50">
        <v>3.29</v>
      </c>
      <c r="F206" s="50">
        <v>2</v>
      </c>
      <c r="G206" s="50">
        <v>2.5052631578947368E-2</v>
      </c>
      <c r="H206" s="50">
        <v>8.8710526315789476E-2</v>
      </c>
      <c r="I206" s="50">
        <v>-19.38684210526316</v>
      </c>
      <c r="J206" s="50">
        <v>23.890421052631574</v>
      </c>
      <c r="K206" s="50">
        <v>-4.9210526315788374E-3</v>
      </c>
    </row>
    <row r="207" spans="1:11" ht="12.75" x14ac:dyDescent="0.2">
      <c r="A207" s="51">
        <v>13</v>
      </c>
      <c r="B207" s="51">
        <v>1</v>
      </c>
      <c r="C207" s="51">
        <v>8.6891052631578933</v>
      </c>
      <c r="D207" s="51">
        <v>0</v>
      </c>
      <c r="E207" s="51">
        <v>1.78</v>
      </c>
      <c r="F207" s="51">
        <v>2</v>
      </c>
      <c r="G207" s="51">
        <v>0</v>
      </c>
      <c r="H207" s="51">
        <v>5.4210526315789466E-2</v>
      </c>
      <c r="I207" s="51">
        <v>7.8947368421052613E-2</v>
      </c>
      <c r="J207" s="51">
        <v>24.728000000000002</v>
      </c>
      <c r="K207" s="51">
        <v>-0.3738157894736841</v>
      </c>
    </row>
    <row r="208" spans="1:11" ht="12.75" x14ac:dyDescent="0.2">
      <c r="A208" s="48">
        <v>13</v>
      </c>
      <c r="B208" s="48">
        <v>2</v>
      </c>
      <c r="C208" s="48">
        <v>19.933105840846732</v>
      </c>
      <c r="D208" s="48">
        <v>0</v>
      </c>
      <c r="E208" s="48">
        <v>8.0500000000000007</v>
      </c>
      <c r="F208" s="48">
        <v>4</v>
      </c>
      <c r="G208" s="48">
        <v>0</v>
      </c>
      <c r="H208" s="48">
        <v>0.26322148177185128</v>
      </c>
      <c r="I208" s="48">
        <v>0.34982359858878953</v>
      </c>
      <c r="J208" s="48">
        <v>26.721153273226189</v>
      </c>
      <c r="K208" s="48">
        <v>0.23525362602900701</v>
      </c>
    </row>
    <row r="209" spans="1:11" ht="12.75" x14ac:dyDescent="0.2">
      <c r="A209" s="49">
        <v>13</v>
      </c>
      <c r="B209" s="49">
        <v>2</v>
      </c>
      <c r="C209" s="49">
        <v>27.225206193649527</v>
      </c>
      <c r="D209" s="49">
        <v>0</v>
      </c>
      <c r="E209" s="49">
        <v>3.79</v>
      </c>
      <c r="F209" s="49">
        <v>4</v>
      </c>
      <c r="G209" s="49">
        <v>0</v>
      </c>
      <c r="H209" s="49">
        <v>0.27621364170913382</v>
      </c>
      <c r="I209" s="49">
        <v>-7.702626421011403</v>
      </c>
      <c r="J209" s="49">
        <v>0</v>
      </c>
      <c r="K209" s="49">
        <v>-4.984868678949423E-2</v>
      </c>
    </row>
    <row r="210" spans="1:11" ht="12.75" x14ac:dyDescent="0.2">
      <c r="A210" s="50">
        <v>13</v>
      </c>
      <c r="B210" s="50">
        <v>2</v>
      </c>
      <c r="C210" s="50">
        <v>29.883654645237183</v>
      </c>
      <c r="D210" s="50">
        <v>0</v>
      </c>
      <c r="E210" s="50">
        <v>3.85</v>
      </c>
      <c r="F210" s="50">
        <v>3</v>
      </c>
      <c r="G210" s="50">
        <v>0</v>
      </c>
      <c r="H210" s="50">
        <v>0.30622971383771092</v>
      </c>
      <c r="I210" s="50">
        <v>-6.8502156017248099</v>
      </c>
      <c r="J210" s="50">
        <v>36.791608780870227</v>
      </c>
      <c r="K210" s="50">
        <v>0.20424068992551983</v>
      </c>
    </row>
    <row r="211" spans="1:11" ht="12.75" x14ac:dyDescent="0.2">
      <c r="A211" s="49">
        <v>13</v>
      </c>
      <c r="B211" s="49">
        <v>2</v>
      </c>
      <c r="C211" s="49">
        <v>30.349644845158814</v>
      </c>
      <c r="D211" s="49">
        <v>1</v>
      </c>
      <c r="E211" s="49">
        <v>4.7</v>
      </c>
      <c r="F211" s="49">
        <v>3</v>
      </c>
      <c r="G211" s="49">
        <v>0</v>
      </c>
      <c r="H211" s="49">
        <v>0.29343551548412183</v>
      </c>
      <c r="I211" s="49">
        <v>-1.5155233241865953</v>
      </c>
      <c r="J211" s="49">
        <v>98.428974519796213</v>
      </c>
      <c r="K211" s="49">
        <v>-3.5732653861230868E-2</v>
      </c>
    </row>
    <row r="212" spans="1:11" ht="12.75" x14ac:dyDescent="0.2">
      <c r="A212" s="50">
        <v>13</v>
      </c>
      <c r="B212" s="50">
        <v>2</v>
      </c>
      <c r="C212" s="50">
        <v>30.212862406899525</v>
      </c>
      <c r="D212" s="50">
        <v>0</v>
      </c>
      <c r="E212" s="50">
        <v>3.03</v>
      </c>
      <c r="F212" s="50">
        <v>2</v>
      </c>
      <c r="G212" s="50">
        <v>0</v>
      </c>
      <c r="H212" s="50">
        <v>0.29945433163465618</v>
      </c>
      <c r="I212" s="50">
        <v>-8.3555076440612268</v>
      </c>
      <c r="J212" s="50">
        <v>39.535020384163055</v>
      </c>
      <c r="K212" s="50">
        <v>-3.064994119952957E-2</v>
      </c>
    </row>
    <row r="213" spans="1:11" ht="12.75" x14ac:dyDescent="0.2">
      <c r="A213" s="51">
        <v>13</v>
      </c>
      <c r="B213" s="51">
        <v>2</v>
      </c>
      <c r="C213" s="51">
        <v>27.665030576244611</v>
      </c>
      <c r="D213" s="51">
        <v>2</v>
      </c>
      <c r="E213" s="51">
        <v>6.34</v>
      </c>
      <c r="F213" s="51">
        <v>2</v>
      </c>
      <c r="G213" s="51">
        <v>6.3354370834966561E-2</v>
      </c>
      <c r="H213" s="51">
        <v>0.31743159545276239</v>
      </c>
      <c r="I213" s="51">
        <v>-8.392042336338692</v>
      </c>
      <c r="J213" s="51">
        <v>0</v>
      </c>
      <c r="K213" s="51">
        <v>-8.5713053704429651E-2</v>
      </c>
    </row>
    <row r="214" spans="1:11" ht="12.75" x14ac:dyDescent="0.2">
      <c r="A214" s="48">
        <v>13</v>
      </c>
      <c r="B214" s="48">
        <v>3</v>
      </c>
      <c r="C214" s="48">
        <v>17.403621621621621</v>
      </c>
      <c r="D214" s="48">
        <v>0</v>
      </c>
      <c r="E214" s="48">
        <v>3.62</v>
      </c>
      <c r="F214" s="48">
        <v>4</v>
      </c>
      <c r="G214" s="48">
        <v>0</v>
      </c>
      <c r="H214" s="48">
        <v>0.23883783783783788</v>
      </c>
      <c r="I214" s="48">
        <v>-14.718918918918913</v>
      </c>
      <c r="J214" s="48">
        <v>0</v>
      </c>
      <c r="K214" s="48">
        <v>-0.35105405405405404</v>
      </c>
    </row>
    <row r="215" spans="1:11" ht="12.75" x14ac:dyDescent="0.2">
      <c r="A215" s="49">
        <v>13</v>
      </c>
      <c r="B215" s="49">
        <v>3</v>
      </c>
      <c r="C215" s="49">
        <v>11.28427027027027</v>
      </c>
      <c r="D215" s="49">
        <v>0</v>
      </c>
      <c r="E215" s="49">
        <v>5.58</v>
      </c>
      <c r="F215" s="49">
        <v>4</v>
      </c>
      <c r="G215" s="49">
        <v>5.4108108108108115E-2</v>
      </c>
      <c r="H215" s="49">
        <v>0.14708108108108114</v>
      </c>
      <c r="I215" s="49">
        <v>-14.581081081081072</v>
      </c>
      <c r="J215" s="49">
        <v>16.060243243243242</v>
      </c>
      <c r="K215" s="49">
        <v>-1.2594594594594581E-2</v>
      </c>
    </row>
    <row r="216" spans="1:11" ht="12.75" x14ac:dyDescent="0.2">
      <c r="A216" s="50">
        <v>13</v>
      </c>
      <c r="B216" s="50">
        <v>3</v>
      </c>
      <c r="C216" s="50">
        <v>17.910513513513514</v>
      </c>
      <c r="D216" s="50">
        <v>0</v>
      </c>
      <c r="E216" s="50">
        <v>5.75</v>
      </c>
      <c r="F216" s="50">
        <v>3</v>
      </c>
      <c r="G216" s="50">
        <v>3.491891891891892E-2</v>
      </c>
      <c r="H216" s="50">
        <v>0.21345945945945941</v>
      </c>
      <c r="I216" s="50">
        <v>-8.9054054054054053</v>
      </c>
      <c r="J216" s="50">
        <v>17.10729729729729</v>
      </c>
      <c r="K216" s="50">
        <v>-0.45689189189189183</v>
      </c>
    </row>
    <row r="217" spans="1:11" ht="12.75" x14ac:dyDescent="0.2">
      <c r="A217" s="49">
        <v>13</v>
      </c>
      <c r="B217" s="49">
        <v>3</v>
      </c>
      <c r="C217" s="49">
        <v>14.07254054054054</v>
      </c>
      <c r="D217" s="49">
        <v>0</v>
      </c>
      <c r="E217" s="49">
        <v>2.88</v>
      </c>
      <c r="F217" s="49">
        <v>3</v>
      </c>
      <c r="G217" s="49">
        <v>4.6216216216216209E-2</v>
      </c>
      <c r="H217" s="49">
        <v>0.15194594594594593</v>
      </c>
      <c r="I217" s="49">
        <v>0.95135135135135118</v>
      </c>
      <c r="J217" s="49">
        <v>20.765351351351352</v>
      </c>
      <c r="K217" s="49">
        <v>-0.36581081081081079</v>
      </c>
    </row>
    <row r="218" spans="1:11" ht="12.75" x14ac:dyDescent="0.2">
      <c r="A218" s="50">
        <v>13</v>
      </c>
      <c r="B218" s="50">
        <v>3</v>
      </c>
      <c r="C218" s="50">
        <v>11.960324324324322</v>
      </c>
      <c r="D218" s="50">
        <v>0</v>
      </c>
      <c r="E218" s="50">
        <v>3.37</v>
      </c>
      <c r="F218" s="50">
        <v>2</v>
      </c>
      <c r="G218" s="50">
        <v>3.2675675675675669E-2</v>
      </c>
      <c r="H218" s="50">
        <v>0.17605405405405408</v>
      </c>
      <c r="I218" s="50">
        <v>-14.854054054054052</v>
      </c>
      <c r="J218" s="50">
        <v>33.691621621621621</v>
      </c>
      <c r="K218" s="50">
        <v>-0.2884594594594595</v>
      </c>
    </row>
    <row r="219" spans="1:11" ht="12.75" x14ac:dyDescent="0.2">
      <c r="A219" s="51">
        <v>13</v>
      </c>
      <c r="B219" s="51">
        <v>3</v>
      </c>
      <c r="C219" s="51">
        <v>13.169675675675679</v>
      </c>
      <c r="D219" s="51">
        <v>0</v>
      </c>
      <c r="E219" s="51">
        <v>2.57</v>
      </c>
      <c r="F219" s="51">
        <v>2</v>
      </c>
      <c r="G219" s="51">
        <v>6.0756756756756763E-2</v>
      </c>
      <c r="H219" s="51">
        <v>0.23740540540540542</v>
      </c>
      <c r="I219" s="51">
        <v>-5.4189189189189237</v>
      </c>
      <c r="J219" s="51">
        <v>62.120891891891894</v>
      </c>
      <c r="K219" s="51">
        <v>-5.7135135135135122E-2</v>
      </c>
    </row>
    <row r="220" spans="1:11" ht="12.75" x14ac:dyDescent="0.2">
      <c r="A220" s="48">
        <v>14</v>
      </c>
      <c r="B220" s="48">
        <v>1</v>
      </c>
      <c r="C220" s="48">
        <v>14.786185185185181</v>
      </c>
      <c r="D220" s="48">
        <v>1</v>
      </c>
      <c r="E220" s="48">
        <v>11.7</v>
      </c>
      <c r="F220" s="48">
        <v>4</v>
      </c>
      <c r="G220" s="48">
        <v>0</v>
      </c>
      <c r="H220" s="48">
        <v>0.14379629629629631</v>
      </c>
      <c r="I220" s="48">
        <v>-0.20740740740740743</v>
      </c>
      <c r="J220" s="48">
        <v>8.8787777777777777</v>
      </c>
      <c r="K220" s="48">
        <v>-0.30853703703703705</v>
      </c>
    </row>
    <row r="221" spans="1:11" ht="12.75" x14ac:dyDescent="0.2">
      <c r="A221" s="49">
        <v>14</v>
      </c>
      <c r="B221" s="49">
        <v>1</v>
      </c>
      <c r="C221" s="49">
        <v>5.1504074074074069</v>
      </c>
      <c r="D221" s="49">
        <v>0</v>
      </c>
      <c r="E221" s="49">
        <v>5.2</v>
      </c>
      <c r="F221" s="49">
        <v>4</v>
      </c>
      <c r="G221" s="49">
        <v>0.16351851851851856</v>
      </c>
      <c r="H221" s="49">
        <v>6.1388888888888889E-2</v>
      </c>
      <c r="I221" s="49">
        <v>-11.642592592592594</v>
      </c>
      <c r="J221" s="49">
        <v>13.54511111111111</v>
      </c>
      <c r="K221" s="49">
        <v>0.32700000000000007</v>
      </c>
    </row>
    <row r="222" spans="1:11" ht="12.75" x14ac:dyDescent="0.2">
      <c r="A222" s="50">
        <v>14</v>
      </c>
      <c r="B222" s="50">
        <v>1</v>
      </c>
      <c r="C222" s="50">
        <v>17.469888888888892</v>
      </c>
      <c r="D222" s="50">
        <v>0</v>
      </c>
      <c r="E222" s="50">
        <v>6.79</v>
      </c>
      <c r="F222" s="50">
        <v>3</v>
      </c>
      <c r="G222" s="50">
        <v>0</v>
      </c>
      <c r="H222" s="50">
        <v>0.15640740740740741</v>
      </c>
      <c r="I222" s="50">
        <v>-5.840740740740741</v>
      </c>
      <c r="J222" s="50">
        <v>8.5067037037037032</v>
      </c>
      <c r="K222" s="50">
        <v>-0.10716666666666665</v>
      </c>
    </row>
    <row r="223" spans="1:11" ht="12.75" x14ac:dyDescent="0.2">
      <c r="A223" s="49">
        <v>14</v>
      </c>
      <c r="B223" s="49">
        <v>1</v>
      </c>
      <c r="C223" s="49">
        <v>11.793388888888886</v>
      </c>
      <c r="D223" s="49">
        <v>0</v>
      </c>
      <c r="E223" s="49">
        <v>3.79</v>
      </c>
      <c r="F223" s="49">
        <v>3</v>
      </c>
      <c r="G223" s="49">
        <v>3.861111111111111E-2</v>
      </c>
      <c r="H223" s="49">
        <v>9.1259259259259262E-2</v>
      </c>
      <c r="I223" s="49">
        <v>-0.48518518518518522</v>
      </c>
      <c r="J223" s="49">
        <v>42.866814814814816</v>
      </c>
      <c r="K223" s="49">
        <v>-0.28051851851851856</v>
      </c>
    </row>
    <row r="224" spans="1:11" ht="12.75" x14ac:dyDescent="0.2">
      <c r="A224" s="50">
        <v>14</v>
      </c>
      <c r="B224" s="50">
        <v>1</v>
      </c>
      <c r="C224" s="50">
        <v>12.173185185185186</v>
      </c>
      <c r="D224" s="50">
        <v>1</v>
      </c>
      <c r="E224" s="50">
        <v>2.86</v>
      </c>
      <c r="F224" s="50">
        <v>2</v>
      </c>
      <c r="G224" s="50">
        <v>0</v>
      </c>
      <c r="H224" s="50">
        <v>0.10733333333333332</v>
      </c>
      <c r="I224" s="50">
        <v>-11.659259259259251</v>
      </c>
      <c r="J224" s="50">
        <v>43.04646296296297</v>
      </c>
      <c r="K224" s="50">
        <v>-0.47096296296296292</v>
      </c>
    </row>
    <row r="225" spans="1:11" ht="12.75" x14ac:dyDescent="0.2">
      <c r="A225" s="51">
        <v>14</v>
      </c>
      <c r="B225" s="51">
        <v>1</v>
      </c>
      <c r="C225" s="51">
        <v>13.990851851851849</v>
      </c>
      <c r="D225" s="51">
        <v>2</v>
      </c>
      <c r="E225" s="51">
        <v>6.02</v>
      </c>
      <c r="F225" s="51">
        <v>2</v>
      </c>
      <c r="G225" s="51">
        <v>2.0555555555555553E-3</v>
      </c>
      <c r="H225" s="51">
        <v>0.15066666666666664</v>
      </c>
      <c r="I225" s="51">
        <v>-10.318518518518518</v>
      </c>
      <c r="J225" s="51">
        <v>2.1810740740740737</v>
      </c>
      <c r="K225" s="51">
        <v>-0.25155555555555553</v>
      </c>
    </row>
    <row r="226" spans="1:11" ht="12.75" x14ac:dyDescent="0.2">
      <c r="A226" s="48">
        <v>14</v>
      </c>
      <c r="B226" s="48">
        <v>2</v>
      </c>
      <c r="C226" s="48">
        <v>15.992269357495891</v>
      </c>
      <c r="D226" s="48">
        <v>0</v>
      </c>
      <c r="E226" s="48">
        <v>4.43</v>
      </c>
      <c r="F226" s="48">
        <v>4</v>
      </c>
      <c r="G226" s="48">
        <v>4.6945222405271728E-2</v>
      </c>
      <c r="H226" s="48">
        <v>0.170506589785833</v>
      </c>
      <c r="I226" s="48">
        <v>-1.4360790774299863</v>
      </c>
      <c r="J226" s="48">
        <v>14.139497940691921</v>
      </c>
      <c r="K226" s="48">
        <v>0.4063381383855027</v>
      </c>
    </row>
    <row r="227" spans="1:11" ht="12.75" x14ac:dyDescent="0.2">
      <c r="A227" s="49">
        <v>14</v>
      </c>
      <c r="B227" s="49">
        <v>2</v>
      </c>
      <c r="C227" s="49">
        <v>19.168800658978519</v>
      </c>
      <c r="D227" s="49">
        <v>0</v>
      </c>
      <c r="E227" s="49">
        <v>5.33</v>
      </c>
      <c r="F227" s="49">
        <v>4</v>
      </c>
      <c r="G227" s="49">
        <v>0</v>
      </c>
      <c r="H227" s="49">
        <v>0.15994810543657198</v>
      </c>
      <c r="I227" s="49">
        <v>-3.3569604612850106</v>
      </c>
      <c r="J227" s="49">
        <v>3.3291227347611203</v>
      </c>
      <c r="K227" s="49">
        <v>-5.7153212520592918E-2</v>
      </c>
    </row>
    <row r="228" spans="1:11" ht="12.75" x14ac:dyDescent="0.2">
      <c r="A228" s="50">
        <v>14</v>
      </c>
      <c r="B228" s="50">
        <v>2</v>
      </c>
      <c r="C228" s="50">
        <v>21.825616556836916</v>
      </c>
      <c r="D228" s="50">
        <v>0</v>
      </c>
      <c r="E228" s="50">
        <v>3.01</v>
      </c>
      <c r="F228" s="50">
        <v>3</v>
      </c>
      <c r="G228" s="50">
        <v>0</v>
      </c>
      <c r="H228" s="50">
        <v>0.20019398682042899</v>
      </c>
      <c r="I228" s="50">
        <v>-4.4156507413509098</v>
      </c>
      <c r="J228" s="50">
        <v>0</v>
      </c>
      <c r="K228" s="50">
        <v>-0.16583813838550274</v>
      </c>
    </row>
    <row r="229" spans="1:11" ht="12.75" x14ac:dyDescent="0.2">
      <c r="A229" s="49">
        <v>14</v>
      </c>
      <c r="B229" s="49">
        <v>2</v>
      </c>
      <c r="C229" s="49">
        <v>22.301613673805658</v>
      </c>
      <c r="D229" s="49">
        <v>0</v>
      </c>
      <c r="E229" s="49">
        <v>4.8499999999999996</v>
      </c>
      <c r="F229" s="49">
        <v>3</v>
      </c>
      <c r="G229" s="49">
        <v>0</v>
      </c>
      <c r="H229" s="49">
        <v>0.18955766062602972</v>
      </c>
      <c r="I229" s="49">
        <v>-5.6340609555189376</v>
      </c>
      <c r="J229" s="49">
        <v>32.521109555189433</v>
      </c>
      <c r="K229" s="49">
        <v>-4.5200576606260374E-2</v>
      </c>
    </row>
    <row r="230" spans="1:11" ht="12.75" x14ac:dyDescent="0.2">
      <c r="A230" s="50">
        <v>14</v>
      </c>
      <c r="B230" s="50">
        <v>2</v>
      </c>
      <c r="C230" s="50">
        <v>21.699088550247147</v>
      </c>
      <c r="D230" s="50">
        <v>1</v>
      </c>
      <c r="E230" s="50">
        <v>8.02</v>
      </c>
      <c r="F230" s="50">
        <v>2</v>
      </c>
      <c r="G230" s="50">
        <v>0</v>
      </c>
      <c r="H230" s="50">
        <v>0.1678200164744641</v>
      </c>
      <c r="I230" s="50">
        <v>-2.5752471169686935</v>
      </c>
      <c r="J230" s="50">
        <v>121.37443739703437</v>
      </c>
      <c r="K230" s="50">
        <v>-0.20670716639209244</v>
      </c>
    </row>
    <row r="231" spans="1:11" ht="12.75" x14ac:dyDescent="0.2">
      <c r="A231" s="51">
        <v>14</v>
      </c>
      <c r="B231" s="51">
        <v>2</v>
      </c>
      <c r="C231" s="51">
        <v>22.166595963756148</v>
      </c>
      <c r="D231" s="51">
        <v>0</v>
      </c>
      <c r="E231" s="51">
        <v>2.92</v>
      </c>
      <c r="F231" s="51">
        <v>2</v>
      </c>
      <c r="G231" s="51">
        <v>0</v>
      </c>
      <c r="H231" s="51">
        <v>0.18076235584843589</v>
      </c>
      <c r="I231" s="51">
        <v>-4.8994233937397107</v>
      </c>
      <c r="J231" s="51">
        <v>0.9717557660626025</v>
      </c>
      <c r="K231" s="51">
        <v>3.2667215815486018E-2</v>
      </c>
    </row>
    <row r="232" spans="1:11" ht="12.75" x14ac:dyDescent="0.2">
      <c r="A232" s="48">
        <v>14</v>
      </c>
      <c r="B232" s="48">
        <v>3</v>
      </c>
      <c r="C232" s="48">
        <v>14.96792156862745</v>
      </c>
      <c r="D232" s="48">
        <v>0</v>
      </c>
      <c r="E232" s="48">
        <v>3.9</v>
      </c>
      <c r="F232" s="48">
        <v>4</v>
      </c>
      <c r="G232" s="48">
        <v>0</v>
      </c>
      <c r="H232" s="48">
        <v>0.15254901960784312</v>
      </c>
      <c r="I232" s="48">
        <v>-0.14117647058823521</v>
      </c>
      <c r="J232" s="48">
        <v>1.6688039215686277</v>
      </c>
      <c r="K232" s="48">
        <v>-0.26335294117647051</v>
      </c>
    </row>
    <row r="233" spans="1:11" ht="12.75" x14ac:dyDescent="0.2">
      <c r="A233" s="49">
        <v>14</v>
      </c>
      <c r="B233" s="49">
        <v>3</v>
      </c>
      <c r="C233" s="49">
        <v>11.192411764705884</v>
      </c>
      <c r="D233" s="49">
        <v>0</v>
      </c>
      <c r="E233" s="49">
        <v>10.02</v>
      </c>
      <c r="F233" s="49">
        <v>4</v>
      </c>
      <c r="G233" s="49">
        <v>4.0529411764705883E-2</v>
      </c>
      <c r="H233" s="49">
        <v>0.10990196078431375</v>
      </c>
      <c r="I233" s="49">
        <v>-39.080392156862736</v>
      </c>
      <c r="J233" s="49">
        <v>13.378196078431372</v>
      </c>
      <c r="K233" s="49">
        <v>7.7823529411764666E-2</v>
      </c>
    </row>
    <row r="234" spans="1:11" ht="12.75" x14ac:dyDescent="0.2">
      <c r="A234" s="50">
        <v>14</v>
      </c>
      <c r="B234" s="50">
        <v>3</v>
      </c>
      <c r="C234" s="50">
        <v>13.444647058823527</v>
      </c>
      <c r="D234" s="50">
        <v>0</v>
      </c>
      <c r="E234" s="50">
        <v>7.95</v>
      </c>
      <c r="F234" s="50">
        <v>3</v>
      </c>
      <c r="G234" s="50">
        <v>2.627450980392157E-2</v>
      </c>
      <c r="H234" s="50">
        <v>0.13717647058823534</v>
      </c>
      <c r="I234" s="50">
        <v>-6.9686274509803932</v>
      </c>
      <c r="J234" s="50">
        <v>28.825803921568628</v>
      </c>
      <c r="K234" s="50">
        <v>-0.53862745098039211</v>
      </c>
    </row>
    <row r="235" spans="1:11" ht="12.75" x14ac:dyDescent="0.2">
      <c r="A235" s="49">
        <v>14</v>
      </c>
      <c r="B235" s="49">
        <v>3</v>
      </c>
      <c r="C235" s="49">
        <v>8.0896862745098037</v>
      </c>
      <c r="D235" s="49">
        <v>0</v>
      </c>
      <c r="E235" s="49">
        <v>5.61</v>
      </c>
      <c r="F235" s="49">
        <v>3</v>
      </c>
      <c r="G235" s="49">
        <v>0.13868627450980392</v>
      </c>
      <c r="H235" s="49">
        <v>5.8294117647058823E-2</v>
      </c>
      <c r="I235" s="49">
        <v>-9.264705882352942</v>
      </c>
      <c r="J235" s="49">
        <v>35.425666666666665</v>
      </c>
      <c r="K235" s="49">
        <v>-0.41768627450980372</v>
      </c>
    </row>
    <row r="236" spans="1:11" ht="12.75" x14ac:dyDescent="0.2">
      <c r="A236" s="50">
        <v>14</v>
      </c>
      <c r="B236" s="50">
        <v>3</v>
      </c>
      <c r="C236" s="50">
        <v>11.462470588235297</v>
      </c>
      <c r="D236" s="50">
        <v>0</v>
      </c>
      <c r="E236" s="50">
        <v>2.23</v>
      </c>
      <c r="F236" s="50">
        <v>2</v>
      </c>
      <c r="G236" s="50">
        <v>4.3254901960784312E-2</v>
      </c>
      <c r="H236" s="50">
        <v>0.14315686274509806</v>
      </c>
      <c r="I236" s="50">
        <v>-2.7666666666666648</v>
      </c>
      <c r="J236" s="50">
        <v>1.2577647058823529</v>
      </c>
      <c r="K236" s="50">
        <v>-0.60988235294117621</v>
      </c>
    </row>
    <row r="237" spans="1:11" ht="12.75" x14ac:dyDescent="0.2">
      <c r="A237" s="51">
        <v>14</v>
      </c>
      <c r="B237" s="51">
        <v>3</v>
      </c>
      <c r="C237" s="51">
        <v>10.312980392156863</v>
      </c>
      <c r="D237" s="51">
        <v>0</v>
      </c>
      <c r="E237" s="51">
        <v>3.02</v>
      </c>
      <c r="F237" s="51">
        <v>2</v>
      </c>
      <c r="G237" s="51">
        <v>0.1185686274509804</v>
      </c>
      <c r="H237" s="51">
        <v>0.10133333333333333</v>
      </c>
      <c r="I237" s="51">
        <v>-12.196078431372557</v>
      </c>
      <c r="J237" s="51">
        <v>0</v>
      </c>
      <c r="K237" s="51">
        <v>0.19241176470588239</v>
      </c>
    </row>
    <row r="238" spans="1:11" ht="12.75" x14ac:dyDescent="0.2">
      <c r="A238" s="48">
        <v>15</v>
      </c>
      <c r="B238" s="48">
        <v>1</v>
      </c>
      <c r="C238" s="48">
        <v>19.774093023255812</v>
      </c>
      <c r="D238" s="48">
        <v>0</v>
      </c>
      <c r="E238" s="48">
        <v>5.37</v>
      </c>
      <c r="F238" s="48">
        <v>4</v>
      </c>
      <c r="G238" s="48">
        <v>5.0697674418604651E-3</v>
      </c>
      <c r="H238" s="48">
        <v>0.23599999999999996</v>
      </c>
      <c r="I238" s="48">
        <v>-6.976744186046528E-3</v>
      </c>
      <c r="J238" s="48">
        <v>122.51660465116279</v>
      </c>
      <c r="K238" s="48">
        <v>0.24697674418604657</v>
      </c>
    </row>
    <row r="239" spans="1:11" ht="12.75" x14ac:dyDescent="0.2">
      <c r="A239" s="49">
        <v>15</v>
      </c>
      <c r="B239" s="49">
        <v>1</v>
      </c>
      <c r="C239" s="49">
        <v>18.423674418604651</v>
      </c>
      <c r="D239" s="49">
        <v>0</v>
      </c>
      <c r="E239" s="49">
        <v>4.05</v>
      </c>
      <c r="F239" s="49">
        <v>4</v>
      </c>
      <c r="G239" s="49">
        <v>2.4627906976744184E-2</v>
      </c>
      <c r="H239" s="49">
        <v>0.22200000000000003</v>
      </c>
      <c r="I239" s="49">
        <v>-16.513953488372085</v>
      </c>
      <c r="J239" s="49">
        <v>1.3378604651162791</v>
      </c>
      <c r="K239" s="49">
        <v>0.2752325581395349</v>
      </c>
    </row>
    <row r="240" spans="1:11" ht="12.75" x14ac:dyDescent="0.2">
      <c r="A240" s="50">
        <v>15</v>
      </c>
      <c r="B240" s="50">
        <v>1</v>
      </c>
      <c r="C240" s="50">
        <v>17.850837209302327</v>
      </c>
      <c r="D240" s="50">
        <v>0</v>
      </c>
      <c r="E240" s="50">
        <v>5.43</v>
      </c>
      <c r="F240" s="50">
        <v>3</v>
      </c>
      <c r="G240" s="50">
        <v>1.5534883720930232E-2</v>
      </c>
      <c r="H240" s="50">
        <v>0.11695348837209302</v>
      </c>
      <c r="I240" s="50">
        <v>-5.1348837209302323</v>
      </c>
      <c r="J240" s="50">
        <v>15.708953488372094</v>
      </c>
      <c r="K240" s="50">
        <v>-0.1797674418604652</v>
      </c>
    </row>
    <row r="241" spans="1:11" ht="12.75" x14ac:dyDescent="0.2">
      <c r="A241" s="49">
        <v>15</v>
      </c>
      <c r="B241" s="49">
        <v>1</v>
      </c>
      <c r="C241" s="49">
        <v>7.5917674418604655</v>
      </c>
      <c r="D241" s="49">
        <v>0</v>
      </c>
      <c r="E241" s="49">
        <v>3.21</v>
      </c>
      <c r="F241" s="49">
        <v>3</v>
      </c>
      <c r="G241" s="49">
        <v>1.4325581395348837E-2</v>
      </c>
      <c r="H241" s="49">
        <v>7.244186046511629E-2</v>
      </c>
      <c r="I241" s="49">
        <v>-18.304651162790698</v>
      </c>
      <c r="J241" s="49">
        <v>55.528465116279072</v>
      </c>
      <c r="K241" s="49">
        <v>0.13060465116279071</v>
      </c>
    </row>
    <row r="242" spans="1:11" ht="12.75" x14ac:dyDescent="0.2">
      <c r="A242" s="50">
        <v>15</v>
      </c>
      <c r="B242" s="50">
        <v>1</v>
      </c>
      <c r="C242" s="50">
        <v>16.257348837209303</v>
      </c>
      <c r="D242" s="50">
        <v>1</v>
      </c>
      <c r="E242" s="50">
        <v>13.4</v>
      </c>
      <c r="F242" s="50">
        <v>2</v>
      </c>
      <c r="G242" s="50">
        <v>2.8604651162790696E-2</v>
      </c>
      <c r="H242" s="50">
        <v>0.12348837209302323</v>
      </c>
      <c r="I242" s="50">
        <v>0.16976744186046508</v>
      </c>
      <c r="J242" s="50">
        <v>140.78190697674415</v>
      </c>
      <c r="K242" s="50">
        <v>0.13806976744186042</v>
      </c>
    </row>
    <row r="243" spans="1:11" ht="12.75" x14ac:dyDescent="0.2">
      <c r="A243" s="51">
        <v>15</v>
      </c>
      <c r="B243" s="51">
        <v>1</v>
      </c>
      <c r="C243" s="51">
        <v>8.3150232558139514</v>
      </c>
      <c r="D243" s="51">
        <v>0</v>
      </c>
      <c r="E243" s="51">
        <v>2.69</v>
      </c>
      <c r="F243" s="51">
        <v>2</v>
      </c>
      <c r="G243" s="51">
        <v>2.0883720930232556E-2</v>
      </c>
      <c r="H243" s="51">
        <v>0.11067441860465117</v>
      </c>
      <c r="I243" s="51">
        <v>-8.804651162790698</v>
      </c>
      <c r="J243" s="51">
        <v>52.994465116279073</v>
      </c>
      <c r="K243" s="51">
        <v>0.35765116279069775</v>
      </c>
    </row>
    <row r="244" spans="1:11" ht="12.75" x14ac:dyDescent="0.2">
      <c r="A244" s="48">
        <v>15</v>
      </c>
      <c r="B244" s="48">
        <v>2</v>
      </c>
      <c r="C244" s="48">
        <v>11.397116673084321</v>
      </c>
      <c r="D244" s="48">
        <v>0</v>
      </c>
      <c r="E244" s="48">
        <v>4.46</v>
      </c>
      <c r="F244" s="48">
        <v>4</v>
      </c>
      <c r="G244" s="48">
        <v>1.1551790527531768E-6</v>
      </c>
      <c r="H244" s="48">
        <v>0.13852791682710788</v>
      </c>
      <c r="I244" s="48">
        <v>-0.53296110897189042</v>
      </c>
      <c r="J244" s="48">
        <v>13.219548710050057</v>
      </c>
      <c r="K244" s="48">
        <v>0.68178090103966349</v>
      </c>
    </row>
    <row r="245" spans="1:11" ht="12.75" x14ac:dyDescent="0.2">
      <c r="A245" s="49">
        <v>15</v>
      </c>
      <c r="B245" s="49">
        <v>2</v>
      </c>
      <c r="C245" s="49">
        <v>23.394082787832112</v>
      </c>
      <c r="D245" s="49">
        <v>0</v>
      </c>
      <c r="E245" s="49">
        <v>6.31</v>
      </c>
      <c r="F245" s="49">
        <v>4</v>
      </c>
      <c r="G245" s="49">
        <v>0</v>
      </c>
      <c r="H245" s="49">
        <v>0.23117096649980629</v>
      </c>
      <c r="I245" s="49">
        <v>-4.8642664613015008</v>
      </c>
      <c r="J245" s="49">
        <v>0</v>
      </c>
      <c r="K245" s="49">
        <v>0.28345128994994173</v>
      </c>
    </row>
    <row r="246" spans="1:11" ht="12.75" x14ac:dyDescent="0.2">
      <c r="A246" s="50">
        <v>15</v>
      </c>
      <c r="B246" s="50">
        <v>2</v>
      </c>
      <c r="C246" s="50">
        <v>26.535988448209494</v>
      </c>
      <c r="D246" s="50">
        <v>0</v>
      </c>
      <c r="E246" s="50">
        <v>3.6</v>
      </c>
      <c r="F246" s="50">
        <v>3</v>
      </c>
      <c r="G246" s="50">
        <v>0</v>
      </c>
      <c r="H246" s="50">
        <v>0.25641932999614758</v>
      </c>
      <c r="I246" s="50">
        <v>-2.4956488255679536</v>
      </c>
      <c r="J246" s="50">
        <v>0</v>
      </c>
      <c r="K246" s="50">
        <v>-1.9850211782826154E-2</v>
      </c>
    </row>
    <row r="247" spans="1:11" ht="12.75" x14ac:dyDescent="0.2">
      <c r="A247" s="49">
        <v>15</v>
      </c>
      <c r="B247" s="49">
        <v>2</v>
      </c>
      <c r="C247" s="49">
        <v>25.051827878321159</v>
      </c>
      <c r="D247" s="49">
        <v>1</v>
      </c>
      <c r="E247" s="49">
        <v>8.1300000000000008</v>
      </c>
      <c r="F247" s="49">
        <v>3</v>
      </c>
      <c r="G247" s="49">
        <v>0</v>
      </c>
      <c r="H247" s="49">
        <v>0.21901193685021336</v>
      </c>
      <c r="I247" s="49">
        <v>-7.4490180978051814</v>
      </c>
      <c r="J247" s="49">
        <v>75.462857142857118</v>
      </c>
      <c r="K247" s="49">
        <v>-5.1649980747015607E-2</v>
      </c>
    </row>
    <row r="248" spans="1:11" ht="12.75" x14ac:dyDescent="0.2">
      <c r="A248" s="50">
        <v>15</v>
      </c>
      <c r="B248" s="50">
        <v>2</v>
      </c>
      <c r="C248" s="50">
        <v>27.485547169811259</v>
      </c>
      <c r="D248" s="50">
        <v>1</v>
      </c>
      <c r="E248" s="50">
        <v>6.08</v>
      </c>
      <c r="F248" s="50">
        <v>2</v>
      </c>
      <c r="G248" s="50">
        <v>0</v>
      </c>
      <c r="H248" s="50">
        <v>0.20461301501732729</v>
      </c>
      <c r="I248" s="50">
        <v>-5.1814786291875174</v>
      </c>
      <c r="J248" s="50">
        <v>19.991112437427809</v>
      </c>
      <c r="K248" s="50">
        <v>2.58144012321916E-2</v>
      </c>
    </row>
    <row r="249" spans="1:11" ht="12.75" x14ac:dyDescent="0.2">
      <c r="A249" s="51">
        <v>15</v>
      </c>
      <c r="B249" s="51">
        <v>2</v>
      </c>
      <c r="C249" s="51">
        <v>27.045571813631167</v>
      </c>
      <c r="D249" s="51">
        <v>0</v>
      </c>
      <c r="E249" s="51">
        <v>5.17</v>
      </c>
      <c r="F249" s="51">
        <v>2</v>
      </c>
      <c r="G249" s="51">
        <v>3.2033885252214102E-2</v>
      </c>
      <c r="H249" s="51">
        <v>0.29301694262610595</v>
      </c>
      <c r="I249" s="51">
        <v>-1.3725067385444714</v>
      </c>
      <c r="J249" s="51">
        <v>10.350082402772427</v>
      </c>
      <c r="K249" s="51">
        <v>-0.14599576434347331</v>
      </c>
    </row>
    <row r="250" spans="1:11" ht="12.75" x14ac:dyDescent="0.2">
      <c r="A250" s="48">
        <v>15</v>
      </c>
      <c r="B250" s="48">
        <v>3</v>
      </c>
      <c r="C250" s="48">
        <v>15.213500000000003</v>
      </c>
      <c r="D250" s="48">
        <v>0</v>
      </c>
      <c r="E250" s="48">
        <v>6.01</v>
      </c>
      <c r="F250" s="48">
        <v>4</v>
      </c>
      <c r="G250" s="48">
        <v>4.0500000000000001E-2</v>
      </c>
      <c r="H250" s="48">
        <v>0.18718000000000007</v>
      </c>
      <c r="I250" s="48">
        <v>0.67200000000000004</v>
      </c>
      <c r="J250" s="48">
        <v>6.52468</v>
      </c>
      <c r="K250" s="48">
        <v>1.3539999999999964E-2</v>
      </c>
    </row>
    <row r="251" spans="1:11" ht="12.75" x14ac:dyDescent="0.2">
      <c r="A251" s="49">
        <v>15</v>
      </c>
      <c r="B251" s="49">
        <v>3</v>
      </c>
      <c r="C251" s="49">
        <v>16.185919999999999</v>
      </c>
      <c r="D251" s="49">
        <v>0</v>
      </c>
      <c r="E251" s="49">
        <v>6.09</v>
      </c>
      <c r="F251" s="49">
        <v>4</v>
      </c>
      <c r="G251" s="49">
        <v>1.5700000000000002E-2</v>
      </c>
      <c r="H251" s="49">
        <v>0.23871999999999999</v>
      </c>
      <c r="I251" s="49">
        <v>-13.980000000000002</v>
      </c>
      <c r="J251" s="49">
        <v>34.922499999999992</v>
      </c>
      <c r="K251" s="49">
        <v>0.56229999999999991</v>
      </c>
    </row>
    <row r="252" spans="1:11" ht="12.75" x14ac:dyDescent="0.2">
      <c r="A252" s="50">
        <v>15</v>
      </c>
      <c r="B252" s="50">
        <v>3</v>
      </c>
      <c r="C252" s="50">
        <v>14.031140000000001</v>
      </c>
      <c r="D252" s="50">
        <v>1</v>
      </c>
      <c r="E252" s="50">
        <v>16.579999999999998</v>
      </c>
      <c r="F252" s="50">
        <v>3</v>
      </c>
      <c r="G252" s="50">
        <v>6.1340000000000006E-2</v>
      </c>
      <c r="H252" s="50">
        <v>0.15998000000000004</v>
      </c>
      <c r="I252" s="50">
        <v>-4.6639999999999997</v>
      </c>
      <c r="J252" s="50">
        <v>21.009880000000003</v>
      </c>
      <c r="K252" s="50">
        <v>-4.4059999999999988E-2</v>
      </c>
    </row>
    <row r="253" spans="1:11" ht="12.75" x14ac:dyDescent="0.2">
      <c r="A253" s="49">
        <v>15</v>
      </c>
      <c r="B253" s="49">
        <v>3</v>
      </c>
      <c r="C253" s="49">
        <v>14.978619999999994</v>
      </c>
      <c r="D253" s="49">
        <v>0</v>
      </c>
      <c r="E253" s="49">
        <v>5.13</v>
      </c>
      <c r="F253" s="49">
        <v>3</v>
      </c>
      <c r="G253" s="49">
        <v>5.9579999999999994E-2</v>
      </c>
      <c r="H253" s="49">
        <v>0.20381999999999997</v>
      </c>
      <c r="I253" s="49">
        <v>-9.0839999999999943</v>
      </c>
      <c r="J253" s="49">
        <v>99.133039999999994</v>
      </c>
      <c r="K253" s="49">
        <v>0.17757999999999996</v>
      </c>
    </row>
    <row r="254" spans="1:11" ht="12.75" x14ac:dyDescent="0.2">
      <c r="A254" s="50">
        <v>15</v>
      </c>
      <c r="B254" s="50">
        <v>3</v>
      </c>
      <c r="C254" s="50">
        <v>14.507260000000004</v>
      </c>
      <c r="D254" s="50">
        <v>1</v>
      </c>
      <c r="E254" s="50">
        <v>5.24</v>
      </c>
      <c r="F254" s="50">
        <v>2</v>
      </c>
      <c r="G254" s="50">
        <v>6.0200000000000002E-3</v>
      </c>
      <c r="H254" s="50">
        <v>0.13114000000000001</v>
      </c>
      <c r="I254" s="50">
        <v>-11.638</v>
      </c>
      <c r="J254" s="50">
        <v>89.400659999999988</v>
      </c>
      <c r="K254" s="50">
        <v>4.3639999999999998E-2</v>
      </c>
    </row>
    <row r="255" spans="1:11" ht="12.75" x14ac:dyDescent="0.2">
      <c r="A255" s="51">
        <v>15</v>
      </c>
      <c r="B255" s="51">
        <v>3</v>
      </c>
      <c r="C255" s="51">
        <v>7.9502400000000009</v>
      </c>
      <c r="D255" s="51">
        <v>1</v>
      </c>
      <c r="E255" s="51">
        <v>8.1300000000000008</v>
      </c>
      <c r="F255" s="51">
        <v>2</v>
      </c>
      <c r="G255" s="51">
        <v>5.7960000000000005E-2</v>
      </c>
      <c r="H255" s="51">
        <v>0.14586000000000002</v>
      </c>
      <c r="I255" s="51">
        <v>-15.325999999999999</v>
      </c>
      <c r="J255" s="51">
        <v>43.217979999999997</v>
      </c>
      <c r="K255" s="51">
        <v>0.1414</v>
      </c>
    </row>
    <row r="256" spans="1:11" ht="12.75" x14ac:dyDescent="0.2">
      <c r="A256" s="48">
        <v>16</v>
      </c>
      <c r="B256" s="48">
        <v>1</v>
      </c>
      <c r="C256" s="48">
        <v>16.922615384615384</v>
      </c>
      <c r="D256" s="48">
        <v>1</v>
      </c>
      <c r="E256" s="48">
        <v>12.75</v>
      </c>
      <c r="F256" s="48">
        <v>4</v>
      </c>
      <c r="G256" s="48">
        <v>8.9230769230769225E-3</v>
      </c>
      <c r="H256" s="48">
        <v>0.19366666666666665</v>
      </c>
      <c r="I256" s="48">
        <v>0.62820512820512853</v>
      </c>
      <c r="J256" s="48">
        <v>34.274794871794867</v>
      </c>
      <c r="K256" s="48">
        <v>0.910205128205128</v>
      </c>
    </row>
    <row r="257" spans="1:11" ht="12.75" x14ac:dyDescent="0.2">
      <c r="A257" s="49">
        <v>16</v>
      </c>
      <c r="B257" s="49">
        <v>1</v>
      </c>
      <c r="C257" s="49">
        <v>12.551435897435896</v>
      </c>
      <c r="D257" s="49">
        <v>0</v>
      </c>
      <c r="E257" s="49">
        <v>7.37</v>
      </c>
      <c r="F257" s="49">
        <v>4</v>
      </c>
      <c r="G257" s="49">
        <v>2.4512820512820516E-2</v>
      </c>
      <c r="H257" s="49">
        <v>0.17974358974358975</v>
      </c>
      <c r="I257" s="49">
        <v>-11.682051282051283</v>
      </c>
      <c r="J257" s="49">
        <v>53.215666666666657</v>
      </c>
      <c r="K257" s="49">
        <v>0.41066666666666662</v>
      </c>
    </row>
    <row r="258" spans="1:11" ht="12.75" x14ac:dyDescent="0.2">
      <c r="A258" s="50">
        <v>16</v>
      </c>
      <c r="B258" s="50">
        <v>1</v>
      </c>
      <c r="C258" s="50">
        <v>17.409410256410254</v>
      </c>
      <c r="D258" s="50">
        <v>0</v>
      </c>
      <c r="E258" s="50">
        <v>5.54</v>
      </c>
      <c r="F258" s="50">
        <v>3</v>
      </c>
      <c r="G258" s="50">
        <v>4.4615384615384619E-2</v>
      </c>
      <c r="H258" s="50">
        <v>0.22528205128205123</v>
      </c>
      <c r="I258" s="50">
        <v>2.5282051282051294</v>
      </c>
      <c r="J258" s="50">
        <v>17.328512820512824</v>
      </c>
      <c r="K258" s="50">
        <v>0.6886923076923076</v>
      </c>
    </row>
    <row r="259" spans="1:11" ht="12.75" x14ac:dyDescent="0.2">
      <c r="A259" s="49">
        <v>16</v>
      </c>
      <c r="B259" s="49">
        <v>1</v>
      </c>
      <c r="C259" s="49">
        <v>13.412589743589741</v>
      </c>
      <c r="D259" s="49">
        <v>0</v>
      </c>
      <c r="E259" s="49">
        <v>4.74</v>
      </c>
      <c r="F259" s="49">
        <v>3</v>
      </c>
      <c r="G259" s="49">
        <v>2.3076923076923079E-3</v>
      </c>
      <c r="H259" s="49">
        <v>5.5948717948717967E-2</v>
      </c>
      <c r="I259" s="49">
        <v>-1.5974358974358978</v>
      </c>
      <c r="J259" s="49">
        <v>21.072051282051277</v>
      </c>
      <c r="K259" s="49">
        <v>0.39997435897435901</v>
      </c>
    </row>
    <row r="260" spans="1:11" ht="12.75" x14ac:dyDescent="0.2">
      <c r="A260" s="50">
        <v>16</v>
      </c>
      <c r="B260" s="50">
        <v>1</v>
      </c>
      <c r="C260" s="50">
        <v>9.382820512820512</v>
      </c>
      <c r="D260" s="50">
        <v>1</v>
      </c>
      <c r="E260" s="50">
        <v>7.23</v>
      </c>
      <c r="F260" s="50">
        <v>2</v>
      </c>
      <c r="G260" s="50">
        <v>1.9820512820512819E-2</v>
      </c>
      <c r="H260" s="50">
        <v>9.166666666666666E-2</v>
      </c>
      <c r="I260" s="50">
        <v>-12.566666666666666</v>
      </c>
      <c r="J260" s="50">
        <v>19.152025641025642</v>
      </c>
      <c r="K260" s="50">
        <v>0.34676923076923072</v>
      </c>
    </row>
    <row r="261" spans="1:11" ht="12.75" x14ac:dyDescent="0.2">
      <c r="A261" s="51">
        <v>16</v>
      </c>
      <c r="B261" s="51">
        <v>1</v>
      </c>
      <c r="C261" s="51">
        <v>15.403794871794871</v>
      </c>
      <c r="D261" s="51">
        <v>0</v>
      </c>
      <c r="E261" s="51">
        <v>1.96</v>
      </c>
      <c r="F261" s="51">
        <v>2</v>
      </c>
      <c r="G261" s="51">
        <v>1.3461538461538459E-2</v>
      </c>
      <c r="H261" s="51">
        <v>0.12912820512820511</v>
      </c>
      <c r="I261" s="51">
        <v>0.33076923076923082</v>
      </c>
      <c r="J261" s="51">
        <v>28.564717948717945</v>
      </c>
      <c r="K261" s="51">
        <v>0.50902564102564107</v>
      </c>
    </row>
    <row r="262" spans="1:11" ht="12.75" x14ac:dyDescent="0.2">
      <c r="A262" s="48">
        <v>16</v>
      </c>
      <c r="B262" s="48">
        <v>2</v>
      </c>
      <c r="C262" s="48">
        <v>21.317959030837006</v>
      </c>
      <c r="D262" s="48">
        <v>0</v>
      </c>
      <c r="E262" s="48">
        <v>3.28</v>
      </c>
      <c r="F262" s="48">
        <v>4</v>
      </c>
      <c r="G262" s="48">
        <v>0</v>
      </c>
      <c r="H262" s="48">
        <v>0.37450704845815164</v>
      </c>
      <c r="I262" s="48">
        <v>-1.5373127753303937</v>
      </c>
      <c r="J262" s="48">
        <v>15.740704845814975</v>
      </c>
      <c r="K262" s="48">
        <v>0.93881233480176418</v>
      </c>
    </row>
    <row r="263" spans="1:11" ht="12.75" x14ac:dyDescent="0.2">
      <c r="A263" s="49">
        <v>16</v>
      </c>
      <c r="B263" s="49">
        <v>2</v>
      </c>
      <c r="C263" s="49">
        <v>27.027283259911879</v>
      </c>
      <c r="D263" s="49">
        <v>1</v>
      </c>
      <c r="E263" s="49">
        <v>10.46</v>
      </c>
      <c r="F263" s="49">
        <v>4</v>
      </c>
      <c r="G263" s="49">
        <v>6.7427312775330461E-3</v>
      </c>
      <c r="H263" s="49">
        <v>0.18702555066079177</v>
      </c>
      <c r="I263" s="49">
        <v>-7.8757709251101158</v>
      </c>
      <c r="J263" s="49">
        <v>0</v>
      </c>
      <c r="K263" s="49">
        <v>0.83082951541850203</v>
      </c>
    </row>
    <row r="264" spans="1:11" ht="12.75" x14ac:dyDescent="0.2">
      <c r="A264" s="50">
        <v>16</v>
      </c>
      <c r="B264" s="50">
        <v>2</v>
      </c>
      <c r="C264" s="50">
        <v>22.604150220264327</v>
      </c>
      <c r="D264" s="50">
        <v>0</v>
      </c>
      <c r="E264" s="50">
        <v>3.8</v>
      </c>
      <c r="F264" s="50">
        <v>3</v>
      </c>
      <c r="G264" s="50">
        <v>0</v>
      </c>
      <c r="H264" s="50">
        <v>0.23164008810572737</v>
      </c>
      <c r="I264" s="50">
        <v>-0.45246696035242134</v>
      </c>
      <c r="J264" s="50">
        <v>0</v>
      </c>
      <c r="K264" s="50">
        <v>0.64873480176211362</v>
      </c>
    </row>
    <row r="265" spans="1:11" ht="12.75" x14ac:dyDescent="0.2">
      <c r="A265" s="49">
        <v>16</v>
      </c>
      <c r="B265" s="49">
        <v>2</v>
      </c>
      <c r="C265" s="49">
        <v>21.866848017621127</v>
      </c>
      <c r="D265" s="49">
        <v>1</v>
      </c>
      <c r="E265" s="49">
        <v>6.43</v>
      </c>
      <c r="F265" s="49">
        <v>3</v>
      </c>
      <c r="G265" s="49">
        <v>0</v>
      </c>
      <c r="H265" s="49">
        <v>0.20689691629955986</v>
      </c>
      <c r="I265" s="49">
        <v>-8.5306167400881066</v>
      </c>
      <c r="J265" s="49">
        <v>22.425866079295162</v>
      </c>
      <c r="K265" s="49">
        <v>0.92045110132158747</v>
      </c>
    </row>
    <row r="266" spans="1:11" ht="12.75" x14ac:dyDescent="0.2">
      <c r="A266" s="50">
        <v>16</v>
      </c>
      <c r="B266" s="50">
        <v>2</v>
      </c>
      <c r="C266" s="50">
        <v>23.848130837004394</v>
      </c>
      <c r="D266" s="50">
        <v>2</v>
      </c>
      <c r="E266" s="50">
        <v>9.5</v>
      </c>
      <c r="F266" s="50">
        <v>2</v>
      </c>
      <c r="G266" s="50">
        <v>0</v>
      </c>
      <c r="H266" s="50">
        <v>0.22036519823788586</v>
      </c>
      <c r="I266" s="50">
        <v>-0.21453744493392127</v>
      </c>
      <c r="J266" s="50">
        <v>0</v>
      </c>
      <c r="K266" s="50">
        <v>0.54748502202643134</v>
      </c>
    </row>
    <row r="267" spans="1:11" ht="12.75" x14ac:dyDescent="0.2">
      <c r="A267" s="51">
        <v>16</v>
      </c>
      <c r="B267" s="51">
        <v>2</v>
      </c>
      <c r="C267" s="51">
        <v>20.090640088105708</v>
      </c>
      <c r="D267" s="51">
        <v>2</v>
      </c>
      <c r="E267" s="51">
        <v>13.58</v>
      </c>
      <c r="F267" s="51">
        <v>2</v>
      </c>
      <c r="G267" s="51">
        <v>0</v>
      </c>
      <c r="H267" s="51">
        <v>0.13711674008810604</v>
      </c>
      <c r="I267" s="51">
        <v>-8.7307048458149623</v>
      </c>
      <c r="J267" s="51">
        <v>22.698274008810589</v>
      </c>
      <c r="K267" s="51">
        <v>0.26754096916299525</v>
      </c>
    </row>
    <row r="268" spans="1:11" ht="12.75" x14ac:dyDescent="0.2">
      <c r="A268" s="48">
        <v>16</v>
      </c>
      <c r="B268" s="48">
        <v>3</v>
      </c>
      <c r="C268" s="48">
        <v>14.727099999999998</v>
      </c>
      <c r="D268" s="48">
        <v>0</v>
      </c>
      <c r="E268" s="48">
        <v>4.47</v>
      </c>
      <c r="F268" s="48">
        <v>4</v>
      </c>
      <c r="G268" s="48">
        <v>2.7939999999999996E-2</v>
      </c>
      <c r="H268" s="48">
        <v>0.1522</v>
      </c>
      <c r="I268" s="48">
        <v>0.50399999999999989</v>
      </c>
      <c r="J268" s="48">
        <v>14.238900000000001</v>
      </c>
      <c r="K268" s="48">
        <v>0.55393999999999988</v>
      </c>
    </row>
    <row r="269" spans="1:11" ht="12.75" x14ac:dyDescent="0.2">
      <c r="A269" s="49">
        <v>16</v>
      </c>
      <c r="B269" s="49">
        <v>3</v>
      </c>
      <c r="C269" s="49">
        <v>12.155919999999998</v>
      </c>
      <c r="D269" s="49">
        <v>0</v>
      </c>
      <c r="E269" s="49">
        <v>3.76</v>
      </c>
      <c r="F269" s="49">
        <v>4</v>
      </c>
      <c r="G269" s="49">
        <v>1.6239999999999997E-2</v>
      </c>
      <c r="H269" s="49">
        <v>0.15790000000000001</v>
      </c>
      <c r="I269" s="49">
        <v>-11.202000000000005</v>
      </c>
      <c r="J269" s="49">
        <v>40.587439999999994</v>
      </c>
      <c r="K269" s="49">
        <v>0.66412000000000004</v>
      </c>
    </row>
    <row r="270" spans="1:11" ht="12.75" x14ac:dyDescent="0.2">
      <c r="A270" s="50">
        <v>16</v>
      </c>
      <c r="B270" s="50">
        <v>3</v>
      </c>
      <c r="C270" s="50">
        <v>15.545859999999999</v>
      </c>
      <c r="D270" s="50">
        <v>1</v>
      </c>
      <c r="E270" s="50">
        <v>9.08</v>
      </c>
      <c r="F270" s="50">
        <v>3</v>
      </c>
      <c r="G270" s="50">
        <v>9.7199999999999995E-3</v>
      </c>
      <c r="H270" s="50">
        <v>0.13901999999999998</v>
      </c>
      <c r="I270" s="50">
        <v>-6.4660000000000011</v>
      </c>
      <c r="J270" s="50">
        <v>40.228180000000002</v>
      </c>
      <c r="K270" s="50">
        <v>0.44238000000000005</v>
      </c>
    </row>
    <row r="271" spans="1:11" ht="12.75" x14ac:dyDescent="0.2">
      <c r="A271" s="49">
        <v>16</v>
      </c>
      <c r="B271" s="49">
        <v>3</v>
      </c>
      <c r="C271" s="49">
        <v>10.736580000000002</v>
      </c>
      <c r="D271" s="49">
        <v>0</v>
      </c>
      <c r="E271" s="49">
        <v>3.68</v>
      </c>
      <c r="F271" s="49">
        <v>3</v>
      </c>
      <c r="G271" s="49">
        <v>5.21E-2</v>
      </c>
      <c r="H271" s="49">
        <v>0.11045999999999999</v>
      </c>
      <c r="I271" s="49">
        <v>-9.6779999999999973</v>
      </c>
      <c r="J271" s="49">
        <v>59.099040000000002</v>
      </c>
      <c r="K271" s="49">
        <v>0.37265999999999999</v>
      </c>
    </row>
    <row r="272" spans="1:11" ht="12.75" x14ac:dyDescent="0.2">
      <c r="A272" s="50">
        <v>16</v>
      </c>
      <c r="B272" s="50">
        <v>3</v>
      </c>
      <c r="C272" s="50">
        <v>12.106219999999999</v>
      </c>
      <c r="D272" s="50">
        <v>0</v>
      </c>
      <c r="E272" s="50">
        <v>9.25</v>
      </c>
      <c r="F272" s="50">
        <v>2</v>
      </c>
      <c r="G272" s="50">
        <v>3.2840000000000001E-2</v>
      </c>
      <c r="H272" s="50">
        <v>0.18575999999999998</v>
      </c>
      <c r="I272" s="50">
        <v>-10.162000000000006</v>
      </c>
      <c r="J272" s="50">
        <v>71.966859999999983</v>
      </c>
      <c r="K272" s="50">
        <v>0.14652000000000004</v>
      </c>
    </row>
    <row r="273" spans="1:11" ht="12.75" x14ac:dyDescent="0.2">
      <c r="A273" s="51">
        <v>16</v>
      </c>
      <c r="B273" s="51">
        <v>3</v>
      </c>
      <c r="C273" s="51">
        <v>10.872180000000004</v>
      </c>
      <c r="D273" s="51">
        <v>1</v>
      </c>
      <c r="E273" s="51">
        <v>7.32</v>
      </c>
      <c r="F273" s="51">
        <v>2</v>
      </c>
      <c r="G273" s="51">
        <v>4.548E-2</v>
      </c>
      <c r="H273" s="51">
        <v>7.415999999999999E-2</v>
      </c>
      <c r="I273" s="51">
        <v>1.0440000000000011</v>
      </c>
      <c r="J273" s="51">
        <v>3.6884200000000003</v>
      </c>
      <c r="K273" s="51">
        <v>0.35993999999999998</v>
      </c>
    </row>
    <row r="274" spans="1:11" ht="12.75" x14ac:dyDescent="0.2">
      <c r="A274" s="48">
        <v>17</v>
      </c>
      <c r="B274" s="48">
        <v>1</v>
      </c>
      <c r="C274" s="48">
        <v>17.595763636363639</v>
      </c>
      <c r="D274" s="48">
        <v>0</v>
      </c>
      <c r="E274" s="48">
        <v>13.94</v>
      </c>
      <c r="F274" s="48">
        <v>4</v>
      </c>
      <c r="G274" s="48">
        <v>2.758181818181818E-2</v>
      </c>
      <c r="H274" s="48">
        <v>0.17300000000000004</v>
      </c>
      <c r="I274" s="48">
        <v>4.181818181818181E-2</v>
      </c>
      <c r="J274" s="48">
        <v>88.96074545454546</v>
      </c>
      <c r="K274" s="48">
        <v>-0.15489090909090911</v>
      </c>
    </row>
    <row r="275" spans="1:11" ht="12.75" x14ac:dyDescent="0.2">
      <c r="A275" s="49">
        <v>17</v>
      </c>
      <c r="B275" s="49">
        <v>1</v>
      </c>
      <c r="C275" s="49">
        <v>18.218381818181822</v>
      </c>
      <c r="D275" s="49">
        <v>1</v>
      </c>
      <c r="E275" s="49">
        <v>10.67</v>
      </c>
      <c r="F275" s="49">
        <v>4</v>
      </c>
      <c r="G275" s="49">
        <v>3.9090909090909089E-3</v>
      </c>
      <c r="H275" s="49">
        <v>0.20570909090909095</v>
      </c>
      <c r="I275" s="49">
        <v>-20.945454545454549</v>
      </c>
      <c r="J275" s="49">
        <v>3.4247272727272731</v>
      </c>
      <c r="K275" s="49">
        <v>-0.15054545454545454</v>
      </c>
    </row>
    <row r="276" spans="1:11" ht="12.75" x14ac:dyDescent="0.2">
      <c r="A276" s="50">
        <v>17</v>
      </c>
      <c r="B276" s="50">
        <v>1</v>
      </c>
      <c r="C276" s="50">
        <v>12.506727272727275</v>
      </c>
      <c r="D276" s="50">
        <v>1</v>
      </c>
      <c r="E276" s="50">
        <v>19.57</v>
      </c>
      <c r="F276" s="50">
        <v>3</v>
      </c>
      <c r="G276" s="50">
        <v>2.1054545454545458E-2</v>
      </c>
      <c r="H276" s="50">
        <v>7.0490909090909076E-2</v>
      </c>
      <c r="I276" s="50">
        <v>-0.48000000000000009</v>
      </c>
      <c r="J276" s="50">
        <v>30.608163636363635</v>
      </c>
      <c r="K276" s="50">
        <v>-0.64150909090909114</v>
      </c>
    </row>
    <row r="277" spans="1:11" ht="12.75" x14ac:dyDescent="0.2">
      <c r="A277" s="49">
        <v>17</v>
      </c>
      <c r="B277" s="49">
        <v>1</v>
      </c>
      <c r="C277" s="49">
        <v>10.979781818181815</v>
      </c>
      <c r="D277" s="49">
        <v>0</v>
      </c>
      <c r="E277" s="49">
        <v>2.64</v>
      </c>
      <c r="F277" s="49">
        <v>3</v>
      </c>
      <c r="G277" s="49">
        <v>0</v>
      </c>
      <c r="H277" s="49">
        <v>9.1763636363636381E-2</v>
      </c>
      <c r="I277" s="49">
        <v>-10.879999999999997</v>
      </c>
      <c r="J277" s="49">
        <v>31.75223636363636</v>
      </c>
      <c r="K277" s="49">
        <v>-0.52698181818181822</v>
      </c>
    </row>
    <row r="278" spans="1:11" ht="12.75" x14ac:dyDescent="0.2">
      <c r="A278" s="50">
        <v>17</v>
      </c>
      <c r="B278" s="50">
        <v>1</v>
      </c>
      <c r="C278" s="50">
        <v>13.053672727272728</v>
      </c>
      <c r="D278" s="50">
        <v>0</v>
      </c>
      <c r="E278" s="50">
        <v>5.77</v>
      </c>
      <c r="F278" s="50">
        <v>2</v>
      </c>
      <c r="G278" s="50">
        <v>7.1636363636363642E-3</v>
      </c>
      <c r="H278" s="50">
        <v>0.13185454545454547</v>
      </c>
      <c r="I278" s="50">
        <v>-9.18</v>
      </c>
      <c r="J278" s="50">
        <v>12.149800000000001</v>
      </c>
      <c r="K278" s="50">
        <v>-0.64427272727272755</v>
      </c>
    </row>
    <row r="279" spans="1:11" ht="12.75" x14ac:dyDescent="0.2">
      <c r="A279" s="51">
        <v>17</v>
      </c>
      <c r="B279" s="51">
        <v>1</v>
      </c>
      <c r="C279" s="51">
        <v>15.957763636363639</v>
      </c>
      <c r="D279" s="51">
        <v>0</v>
      </c>
      <c r="E279" s="51">
        <v>4.1399999999999997</v>
      </c>
      <c r="F279" s="51">
        <v>2</v>
      </c>
      <c r="G279" s="51">
        <v>2.7818181818181817E-3</v>
      </c>
      <c r="H279" s="51">
        <v>0.1309818181818182</v>
      </c>
      <c r="I279" s="51">
        <v>-9.3181818181818201</v>
      </c>
      <c r="J279" s="51">
        <v>0</v>
      </c>
      <c r="K279" s="51">
        <v>-0.4078181818181818</v>
      </c>
    </row>
    <row r="280" spans="1:11" ht="12.75" x14ac:dyDescent="0.2">
      <c r="A280" s="48">
        <v>17</v>
      </c>
      <c r="B280" s="48">
        <v>2</v>
      </c>
      <c r="C280" s="48">
        <v>17.236979999999988</v>
      </c>
      <c r="D280" s="48">
        <v>0</v>
      </c>
      <c r="E280" s="48">
        <v>6.78</v>
      </c>
      <c r="F280" s="48">
        <v>4</v>
      </c>
      <c r="G280" s="48">
        <v>0</v>
      </c>
      <c r="H280" s="48">
        <v>0.22278238095238084</v>
      </c>
      <c r="I280" s="48">
        <v>-0.49076190476190751</v>
      </c>
      <c r="J280" s="48">
        <v>22.6847038095238</v>
      </c>
      <c r="K280" s="48">
        <v>0.16036666666666671</v>
      </c>
    </row>
    <row r="281" spans="1:11" ht="12.75" x14ac:dyDescent="0.2">
      <c r="A281" s="49">
        <v>17</v>
      </c>
      <c r="B281" s="49">
        <v>2</v>
      </c>
      <c r="C281" s="49">
        <v>23.091540476190588</v>
      </c>
      <c r="D281" s="49">
        <v>0</v>
      </c>
      <c r="E281" s="49">
        <v>5.36</v>
      </c>
      <c r="F281" s="49">
        <v>4</v>
      </c>
      <c r="G281" s="49">
        <v>0</v>
      </c>
      <c r="H281" s="49">
        <v>0.18504047619047526</v>
      </c>
      <c r="I281" s="49">
        <v>-3.7037619047619046</v>
      </c>
      <c r="J281" s="49">
        <v>0</v>
      </c>
      <c r="K281" s="49">
        <v>-0.61723999999999979</v>
      </c>
    </row>
    <row r="282" spans="1:11" ht="12.75" x14ac:dyDescent="0.2">
      <c r="A282" s="50">
        <v>17</v>
      </c>
      <c r="B282" s="50">
        <v>2</v>
      </c>
      <c r="C282" s="50">
        <v>22.146053809523782</v>
      </c>
      <c r="D282" s="50">
        <v>1</v>
      </c>
      <c r="E282" s="50">
        <v>10.98</v>
      </c>
      <c r="F282" s="50">
        <v>3</v>
      </c>
      <c r="G282" s="50">
        <v>0</v>
      </c>
      <c r="H282" s="50">
        <v>0.17624333333333367</v>
      </c>
      <c r="I282" s="50">
        <v>-5.1362380952380899</v>
      </c>
      <c r="J282" s="50">
        <v>0</v>
      </c>
      <c r="K282" s="50">
        <v>-0.55152238095238015</v>
      </c>
    </row>
    <row r="283" spans="1:11" ht="12.75" x14ac:dyDescent="0.2">
      <c r="A283" s="49">
        <v>17</v>
      </c>
      <c r="B283" s="49">
        <v>2</v>
      </c>
      <c r="C283" s="49">
        <v>22.649106190476154</v>
      </c>
      <c r="D283" s="49">
        <v>0</v>
      </c>
      <c r="E283" s="49">
        <v>6.6</v>
      </c>
      <c r="F283" s="49">
        <v>3</v>
      </c>
      <c r="G283" s="49">
        <v>0</v>
      </c>
      <c r="H283" s="49">
        <v>0.18945238095238182</v>
      </c>
      <c r="I283" s="49">
        <v>-0.82280952380952399</v>
      </c>
      <c r="J283" s="49">
        <v>0</v>
      </c>
      <c r="K283" s="49">
        <v>-0.49533095238095237</v>
      </c>
    </row>
    <row r="284" spans="1:11" ht="12.75" x14ac:dyDescent="0.2">
      <c r="A284" s="50">
        <v>17</v>
      </c>
      <c r="B284" s="50">
        <v>2</v>
      </c>
      <c r="C284" s="50">
        <v>22.993639523809552</v>
      </c>
      <c r="D284" s="50">
        <v>1</v>
      </c>
      <c r="E284" s="50">
        <v>11.16</v>
      </c>
      <c r="F284" s="50">
        <v>2</v>
      </c>
      <c r="G284" s="50">
        <v>0</v>
      </c>
      <c r="H284" s="50">
        <v>0.18177571428571165</v>
      </c>
      <c r="I284" s="50">
        <v>-8.6276190476190671</v>
      </c>
      <c r="J284" s="50">
        <v>0</v>
      </c>
      <c r="K284" s="50">
        <v>-0.76909666666666898</v>
      </c>
    </row>
    <row r="285" spans="1:11" ht="12.75" x14ac:dyDescent="0.2">
      <c r="A285" s="51">
        <v>17</v>
      </c>
      <c r="B285" s="51">
        <v>2</v>
      </c>
      <c r="C285" s="51">
        <v>22.514301904761865</v>
      </c>
      <c r="D285" s="51">
        <v>0</v>
      </c>
      <c r="E285" s="51">
        <v>3.31</v>
      </c>
      <c r="F285" s="51">
        <v>2</v>
      </c>
      <c r="G285" s="51">
        <v>0</v>
      </c>
      <c r="H285" s="51">
        <v>0.18500380952381296</v>
      </c>
      <c r="I285" s="51">
        <v>1.4476190476190452E-2</v>
      </c>
      <c r="J285" s="51">
        <v>0</v>
      </c>
      <c r="K285" s="51">
        <v>-0.51941714285714369</v>
      </c>
    </row>
    <row r="286" spans="1:11" ht="12.75" x14ac:dyDescent="0.2">
      <c r="A286" s="48">
        <v>17</v>
      </c>
      <c r="B286" s="48">
        <v>3</v>
      </c>
      <c r="C286" s="48">
        <v>16.488711111111112</v>
      </c>
      <c r="D286" s="48">
        <v>0</v>
      </c>
      <c r="E286" s="48">
        <v>3.96</v>
      </c>
      <c r="F286" s="48">
        <v>4</v>
      </c>
      <c r="G286" s="48">
        <v>4.8755555555555552E-2</v>
      </c>
      <c r="H286" s="48">
        <v>0.18791111111111114</v>
      </c>
      <c r="I286" s="48">
        <v>0.20222222222222225</v>
      </c>
      <c r="J286" s="48">
        <v>1.8900888888888892</v>
      </c>
      <c r="K286" s="48">
        <v>-0.32282222222222218</v>
      </c>
    </row>
    <row r="287" spans="1:11" ht="12.75" x14ac:dyDescent="0.2">
      <c r="A287" s="49">
        <v>17</v>
      </c>
      <c r="B287" s="49">
        <v>3</v>
      </c>
      <c r="C287" s="49">
        <v>5.5054444444444455</v>
      </c>
      <c r="D287" s="49">
        <v>1</v>
      </c>
      <c r="E287" s="49">
        <v>8.67</v>
      </c>
      <c r="F287" s="49">
        <v>4</v>
      </c>
      <c r="G287" s="49">
        <v>7.3444444444444451E-2</v>
      </c>
      <c r="H287" s="49">
        <v>9.2066666666666658E-2</v>
      </c>
      <c r="I287" s="49">
        <v>-14.824444444444445</v>
      </c>
      <c r="J287" s="49">
        <v>36.296533333333336</v>
      </c>
      <c r="K287" s="49">
        <v>-0.45871111111111124</v>
      </c>
    </row>
    <row r="288" spans="1:11" ht="12.75" x14ac:dyDescent="0.2">
      <c r="A288" s="50">
        <v>17</v>
      </c>
      <c r="B288" s="50">
        <v>3</v>
      </c>
      <c r="C288" s="50">
        <v>17.035977777777777</v>
      </c>
      <c r="D288" s="50">
        <v>0</v>
      </c>
      <c r="E288" s="50">
        <v>7.04</v>
      </c>
      <c r="F288" s="50">
        <v>3</v>
      </c>
      <c r="G288" s="50">
        <v>3.9933333333333335E-2</v>
      </c>
      <c r="H288" s="50">
        <v>0.18526666666666669</v>
      </c>
      <c r="I288" s="50">
        <v>-7.471111111111111</v>
      </c>
      <c r="J288" s="50">
        <v>49.278044444444447</v>
      </c>
      <c r="K288" s="50">
        <v>-0.5381111111111111</v>
      </c>
    </row>
    <row r="289" spans="1:11" ht="12.75" x14ac:dyDescent="0.2">
      <c r="A289" s="49">
        <v>17</v>
      </c>
      <c r="B289" s="49">
        <v>3</v>
      </c>
      <c r="C289" s="49">
        <v>10.889088888888889</v>
      </c>
      <c r="D289" s="49">
        <v>0</v>
      </c>
      <c r="E289" s="49">
        <v>2.78</v>
      </c>
      <c r="F289" s="49">
        <v>3</v>
      </c>
      <c r="G289" s="49">
        <v>4.3377777777777772E-2</v>
      </c>
      <c r="H289" s="49">
        <v>0.1133111111111111</v>
      </c>
      <c r="I289" s="49">
        <v>0.31777777777777771</v>
      </c>
      <c r="J289" s="49">
        <v>41.731444444444442</v>
      </c>
      <c r="K289" s="49">
        <v>-0.58731111111111112</v>
      </c>
    </row>
    <row r="290" spans="1:11" ht="12.75" x14ac:dyDescent="0.2">
      <c r="A290" s="50">
        <v>17</v>
      </c>
      <c r="B290" s="50">
        <v>3</v>
      </c>
      <c r="C290" s="50">
        <v>8.6810222222222215</v>
      </c>
      <c r="D290" s="50">
        <v>0</v>
      </c>
      <c r="E290" s="50">
        <v>2.73</v>
      </c>
      <c r="F290" s="50">
        <v>2</v>
      </c>
      <c r="G290" s="50">
        <v>0.11820000000000001</v>
      </c>
      <c r="H290" s="50">
        <v>0.12577777777777777</v>
      </c>
      <c r="I290" s="50">
        <v>-11.857777777777775</v>
      </c>
      <c r="J290" s="50">
        <v>31.779377777777782</v>
      </c>
      <c r="K290" s="50">
        <v>-0.41513333333333335</v>
      </c>
    </row>
    <row r="291" spans="1:11" ht="12.75" x14ac:dyDescent="0.2">
      <c r="A291" s="51">
        <v>17</v>
      </c>
      <c r="B291" s="51">
        <v>3</v>
      </c>
      <c r="C291" s="51">
        <v>11.081044444444446</v>
      </c>
      <c r="D291" s="51">
        <v>1</v>
      </c>
      <c r="E291" s="51">
        <v>4.78</v>
      </c>
      <c r="F291" s="51">
        <v>2</v>
      </c>
      <c r="G291" s="51">
        <v>0.14440000000000003</v>
      </c>
      <c r="H291" s="51">
        <v>0.1327777777777778</v>
      </c>
      <c r="I291" s="51">
        <v>-10.908888888888889</v>
      </c>
      <c r="J291" s="51">
        <v>1.097</v>
      </c>
      <c r="K291" s="51">
        <v>-0.92235555555555504</v>
      </c>
    </row>
    <row r="292" spans="1:11" ht="15.75" customHeight="1" x14ac:dyDescent="0.2">
      <c r="A292" s="48">
        <v>18</v>
      </c>
      <c r="B292" s="48">
        <v>1</v>
      </c>
      <c r="C292" s="48">
        <v>14.104256410256413</v>
      </c>
      <c r="D292" s="48">
        <v>1</v>
      </c>
      <c r="E292" s="48">
        <v>24</v>
      </c>
      <c r="F292" s="48">
        <v>4</v>
      </c>
      <c r="G292" s="48">
        <v>0</v>
      </c>
      <c r="H292" s="48">
        <v>0.12941025641025641</v>
      </c>
      <c r="I292" s="48">
        <v>7.9487179487179399E-2</v>
      </c>
      <c r="J292" s="48">
        <v>0</v>
      </c>
      <c r="K292" s="48">
        <v>0.408205128205128</v>
      </c>
    </row>
    <row r="293" spans="1:11" ht="15.75" customHeight="1" x14ac:dyDescent="0.2">
      <c r="A293" s="49">
        <v>18</v>
      </c>
      <c r="B293" s="49">
        <v>1</v>
      </c>
      <c r="C293" s="49">
        <v>12.373589743589745</v>
      </c>
      <c r="D293" s="49">
        <v>0</v>
      </c>
      <c r="E293" s="49">
        <v>40.9</v>
      </c>
      <c r="F293" s="49">
        <v>4</v>
      </c>
      <c r="G293" s="49">
        <v>0</v>
      </c>
      <c r="H293" s="49">
        <v>8.5999999999999979E-2</v>
      </c>
      <c r="I293" s="49">
        <v>-12.42820512820513</v>
      </c>
      <c r="J293" s="49">
        <v>44.722410256410257</v>
      </c>
      <c r="K293" s="49">
        <v>0.11933333333333331</v>
      </c>
    </row>
    <row r="294" spans="1:11" ht="15.75" customHeight="1" x14ac:dyDescent="0.2">
      <c r="A294" s="50">
        <v>18</v>
      </c>
      <c r="B294" s="50">
        <v>1</v>
      </c>
      <c r="C294" s="50">
        <v>16.273564102564098</v>
      </c>
      <c r="D294" s="50">
        <v>0</v>
      </c>
      <c r="E294" s="50">
        <v>23.14</v>
      </c>
      <c r="F294" s="50">
        <v>3</v>
      </c>
      <c r="G294" s="50">
        <v>0</v>
      </c>
      <c r="H294" s="50">
        <v>0.16197435897435902</v>
      </c>
      <c r="I294" s="50">
        <v>-2.5871794871794873</v>
      </c>
      <c r="J294" s="50">
        <v>0</v>
      </c>
      <c r="K294" s="50">
        <v>-0.1315897435897436</v>
      </c>
    </row>
    <row r="295" spans="1:11" ht="15.75" customHeight="1" x14ac:dyDescent="0.2">
      <c r="A295" s="49">
        <v>18</v>
      </c>
      <c r="B295" s="49">
        <v>1</v>
      </c>
      <c r="C295" s="49">
        <v>14.872153846153843</v>
      </c>
      <c r="D295" s="49">
        <v>0</v>
      </c>
      <c r="E295" s="49">
        <v>10.46</v>
      </c>
      <c r="F295" s="49">
        <v>3</v>
      </c>
      <c r="G295" s="49">
        <v>0</v>
      </c>
      <c r="H295" s="49">
        <v>6.246153846153845E-2</v>
      </c>
      <c r="I295" s="49">
        <v>-5.2128205128205121</v>
      </c>
      <c r="J295" s="49">
        <v>21.149153846153848</v>
      </c>
      <c r="K295" s="49">
        <v>0.18148717948717946</v>
      </c>
    </row>
    <row r="296" spans="1:11" ht="15.75" customHeight="1" x14ac:dyDescent="0.2">
      <c r="A296" s="50">
        <v>18</v>
      </c>
      <c r="B296" s="50">
        <v>1</v>
      </c>
      <c r="C296" s="50">
        <v>9.9739487179487174</v>
      </c>
      <c r="D296" s="50">
        <v>0</v>
      </c>
      <c r="E296" s="50">
        <v>2.4300000000000002</v>
      </c>
      <c r="F296" s="50">
        <v>2</v>
      </c>
      <c r="G296" s="50">
        <v>3.0512820512820513E-3</v>
      </c>
      <c r="H296" s="50">
        <v>5.6769230769230759E-2</v>
      </c>
      <c r="I296" s="50">
        <v>-0.12820512820512822</v>
      </c>
      <c r="J296" s="50">
        <v>19.272871794871794</v>
      </c>
      <c r="K296" s="50">
        <v>3.1538461538461536E-2</v>
      </c>
    </row>
    <row r="297" spans="1:11" ht="15.75" customHeight="1" x14ac:dyDescent="0.2">
      <c r="A297" s="51">
        <v>18</v>
      </c>
      <c r="B297" s="51">
        <v>1</v>
      </c>
      <c r="C297" s="51">
        <v>7.1576923076923071</v>
      </c>
      <c r="D297" s="51">
        <v>1</v>
      </c>
      <c r="E297" s="51">
        <v>2.78</v>
      </c>
      <c r="F297" s="51">
        <v>2</v>
      </c>
      <c r="G297" s="51">
        <v>5.6948717948717954E-2</v>
      </c>
      <c r="H297" s="51">
        <v>9.0461538461538454E-2</v>
      </c>
      <c r="I297" s="51">
        <v>-18.528205128205123</v>
      </c>
      <c r="J297" s="51">
        <v>57.902743589743572</v>
      </c>
      <c r="K297" s="51">
        <v>0.24397435897435898</v>
      </c>
    </row>
    <row r="298" spans="1:11" ht="15.75" customHeight="1" x14ac:dyDescent="0.2">
      <c r="A298" s="48">
        <v>18</v>
      </c>
      <c r="B298" s="48">
        <v>2</v>
      </c>
      <c r="C298" s="48">
        <v>18.741435483871015</v>
      </c>
      <c r="D298" s="48">
        <v>0</v>
      </c>
      <c r="E298" s="48">
        <v>5.66</v>
      </c>
      <c r="F298" s="48">
        <v>4</v>
      </c>
      <c r="G298" s="48">
        <v>0</v>
      </c>
      <c r="H298" s="48">
        <v>0.26572119815668277</v>
      </c>
      <c r="I298" s="48">
        <v>7.0852534562206009E-3</v>
      </c>
      <c r="J298" s="48">
        <v>26.193767281105988</v>
      </c>
      <c r="K298" s="48">
        <v>0.75551785714285824</v>
      </c>
    </row>
    <row r="299" spans="1:11" ht="15.75" customHeight="1" x14ac:dyDescent="0.2">
      <c r="A299" s="49">
        <v>18</v>
      </c>
      <c r="B299" s="49">
        <v>2</v>
      </c>
      <c r="C299" s="49">
        <v>21.423135944700515</v>
      </c>
      <c r="D299" s="49">
        <v>0</v>
      </c>
      <c r="E299" s="49">
        <v>8.16</v>
      </c>
      <c r="F299" s="49">
        <v>4</v>
      </c>
      <c r="G299" s="49">
        <v>0</v>
      </c>
      <c r="H299" s="49">
        <v>0.17698847926267158</v>
      </c>
      <c r="I299" s="49">
        <v>-0.27206221198156461</v>
      </c>
      <c r="J299" s="49">
        <v>0</v>
      </c>
      <c r="K299" s="49">
        <v>0.80184447004608406</v>
      </c>
    </row>
    <row r="300" spans="1:11" ht="15.75" customHeight="1" x14ac:dyDescent="0.2">
      <c r="A300" s="50">
        <v>18</v>
      </c>
      <c r="B300" s="50">
        <v>2</v>
      </c>
      <c r="C300" s="50">
        <v>21.089228110599095</v>
      </c>
      <c r="D300" s="50">
        <v>0</v>
      </c>
      <c r="E300" s="50">
        <v>4.43</v>
      </c>
      <c r="F300" s="50">
        <v>3</v>
      </c>
      <c r="G300" s="50">
        <v>0</v>
      </c>
      <c r="H300" s="50">
        <v>0.1705334101382471</v>
      </c>
      <c r="I300" s="50">
        <v>-10.446889400921618</v>
      </c>
      <c r="J300" s="50">
        <v>0</v>
      </c>
      <c r="K300" s="50">
        <v>-4.6634216589861721E-2</v>
      </c>
    </row>
    <row r="301" spans="1:11" ht="15.75" customHeight="1" x14ac:dyDescent="0.2">
      <c r="A301" s="49">
        <v>18</v>
      </c>
      <c r="B301" s="49">
        <v>2</v>
      </c>
      <c r="C301" s="49">
        <v>23.924858294930885</v>
      </c>
      <c r="D301" s="49">
        <v>0</v>
      </c>
      <c r="E301" s="49">
        <v>8.09</v>
      </c>
      <c r="F301" s="49">
        <v>3</v>
      </c>
      <c r="G301" s="49">
        <v>0</v>
      </c>
      <c r="H301" s="49">
        <v>0.24581912442396325</v>
      </c>
      <c r="I301" s="49">
        <v>-8.7442396313364826E-2</v>
      </c>
      <c r="J301" s="49">
        <v>0</v>
      </c>
      <c r="K301" s="49">
        <v>0.53524366359446995</v>
      </c>
    </row>
    <row r="302" spans="1:11" ht="15.75" customHeight="1" x14ac:dyDescent="0.2">
      <c r="A302" s="50">
        <v>18</v>
      </c>
      <c r="B302" s="50">
        <v>2</v>
      </c>
      <c r="C302" s="50">
        <v>23.81245852534564</v>
      </c>
      <c r="D302" s="50">
        <v>0</v>
      </c>
      <c r="E302" s="50">
        <v>2.5099999999999998</v>
      </c>
      <c r="F302" s="50">
        <v>2</v>
      </c>
      <c r="G302" s="50">
        <v>0</v>
      </c>
      <c r="H302" s="50">
        <v>0.12115956221198212</v>
      </c>
      <c r="I302" s="50">
        <v>-5.7109447004608223</v>
      </c>
      <c r="J302" s="50">
        <v>0</v>
      </c>
      <c r="K302" s="50">
        <v>0.23188767281106001</v>
      </c>
    </row>
    <row r="303" spans="1:11" ht="15.75" customHeight="1" x14ac:dyDescent="0.2">
      <c r="A303" s="51">
        <v>18</v>
      </c>
      <c r="B303" s="51">
        <v>2</v>
      </c>
      <c r="C303" s="51">
        <v>17.789839285714265</v>
      </c>
      <c r="D303" s="51">
        <v>0</v>
      </c>
      <c r="E303" s="51">
        <v>1.47</v>
      </c>
      <c r="F303" s="51">
        <v>2</v>
      </c>
      <c r="G303" s="51">
        <v>0</v>
      </c>
      <c r="H303" s="51">
        <v>0.17117569124423915</v>
      </c>
      <c r="I303" s="51">
        <v>-5.5616935483871135</v>
      </c>
      <c r="J303" s="51">
        <v>0</v>
      </c>
      <c r="K303" s="51">
        <v>6.4192396313364153E-2</v>
      </c>
    </row>
    <row r="304" spans="1:11" ht="15.75" customHeight="1" x14ac:dyDescent="0.2">
      <c r="A304" s="48">
        <v>18</v>
      </c>
      <c r="B304" s="48">
        <v>2</v>
      </c>
      <c r="C304" s="48">
        <v>15.222307692307689</v>
      </c>
      <c r="D304" s="48">
        <v>0</v>
      </c>
      <c r="E304" s="48">
        <v>5.66</v>
      </c>
      <c r="F304" s="48">
        <v>4</v>
      </c>
      <c r="G304" s="48">
        <v>0</v>
      </c>
      <c r="H304" s="48">
        <v>0.16007692307692303</v>
      </c>
      <c r="I304" s="48">
        <v>0.13846153846153847</v>
      </c>
      <c r="J304" s="48">
        <v>0.98846153846153839</v>
      </c>
      <c r="K304" s="48">
        <v>6.3179487179487168E-2</v>
      </c>
    </row>
    <row r="305" spans="1:11" ht="15.75" customHeight="1" x14ac:dyDescent="0.2">
      <c r="A305" s="49">
        <v>18</v>
      </c>
      <c r="B305" s="49">
        <v>2</v>
      </c>
      <c r="C305" s="49">
        <v>13.242769230769232</v>
      </c>
      <c r="D305" s="49">
        <v>0</v>
      </c>
      <c r="E305" s="49">
        <v>8.16</v>
      </c>
      <c r="F305" s="49">
        <v>4</v>
      </c>
      <c r="G305" s="49">
        <v>1.4025641025641026E-2</v>
      </c>
      <c r="H305" s="49">
        <v>0.12087179487179488</v>
      </c>
      <c r="I305" s="49">
        <v>-19.120512820512825</v>
      </c>
      <c r="J305" s="49">
        <v>4.3700769230769225</v>
      </c>
      <c r="K305" s="49">
        <v>0.1955641025641027</v>
      </c>
    </row>
    <row r="306" spans="1:11" ht="15.75" customHeight="1" x14ac:dyDescent="0.2">
      <c r="A306" s="50">
        <v>18</v>
      </c>
      <c r="B306" s="50">
        <v>2</v>
      </c>
      <c r="C306" s="50">
        <v>14.103564102564102</v>
      </c>
      <c r="D306" s="50">
        <v>0</v>
      </c>
      <c r="E306" s="50">
        <v>4.43</v>
      </c>
      <c r="F306" s="50">
        <v>3</v>
      </c>
      <c r="G306" s="50">
        <v>2.0358974358974359E-2</v>
      </c>
      <c r="H306" s="50">
        <v>0.13925641025641028</v>
      </c>
      <c r="I306" s="50">
        <v>-7.9435897435897456</v>
      </c>
      <c r="J306" s="50">
        <v>39.923794871794875</v>
      </c>
      <c r="K306" s="50">
        <v>0.37151282051282059</v>
      </c>
    </row>
    <row r="307" spans="1:11" ht="15.75" customHeight="1" x14ac:dyDescent="0.2">
      <c r="A307" s="49">
        <v>18</v>
      </c>
      <c r="B307" s="49">
        <v>2</v>
      </c>
      <c r="C307" s="49">
        <v>14.874846153846152</v>
      </c>
      <c r="D307" s="49">
        <v>0</v>
      </c>
      <c r="E307" s="49">
        <v>8.09</v>
      </c>
      <c r="F307" s="49">
        <v>3</v>
      </c>
      <c r="G307" s="49">
        <v>9.1333333333333336E-2</v>
      </c>
      <c r="H307" s="49">
        <v>0.15902564102564104</v>
      </c>
      <c r="I307" s="49">
        <v>-2.9589743589743578</v>
      </c>
      <c r="J307" s="49">
        <v>55.344179487179495</v>
      </c>
      <c r="K307" s="49">
        <v>-2.5384615384615401E-2</v>
      </c>
    </row>
    <row r="308" spans="1:11" ht="15.75" customHeight="1" x14ac:dyDescent="0.2">
      <c r="A308" s="50">
        <v>18</v>
      </c>
      <c r="B308" s="50">
        <v>2</v>
      </c>
      <c r="C308" s="50">
        <v>10.664076923076923</v>
      </c>
      <c r="D308" s="50">
        <v>0</v>
      </c>
      <c r="E308" s="50">
        <v>2.5099999999999998</v>
      </c>
      <c r="F308" s="50">
        <v>2</v>
      </c>
      <c r="G308" s="50">
        <v>6.4384615384615387E-2</v>
      </c>
      <c r="H308" s="50">
        <v>0.14856410256410255</v>
      </c>
      <c r="I308" s="50">
        <v>-16.720512820512823</v>
      </c>
      <c r="J308" s="50">
        <v>103.35030769230768</v>
      </c>
      <c r="K308" s="50">
        <v>0.39058974358974363</v>
      </c>
    </row>
    <row r="309" spans="1:11" ht="15.75" customHeight="1" x14ac:dyDescent="0.2">
      <c r="A309" s="51">
        <v>18</v>
      </c>
      <c r="B309" s="51">
        <v>2</v>
      </c>
      <c r="C309" s="51">
        <v>9.900205128205128</v>
      </c>
      <c r="D309" s="51">
        <v>0</v>
      </c>
      <c r="E309" s="51">
        <v>1.47</v>
      </c>
      <c r="F309" s="51">
        <v>2</v>
      </c>
      <c r="G309" s="51">
        <v>0.18148717948717949</v>
      </c>
      <c r="H309" s="51">
        <v>0.11617948717948721</v>
      </c>
      <c r="I309" s="51">
        <v>-0.46153846153846134</v>
      </c>
      <c r="J309" s="51">
        <v>90.765076923076919</v>
      </c>
      <c r="K309" s="51">
        <v>1.3820512820512828E-2</v>
      </c>
    </row>
    <row r="310" spans="1:11" ht="15.75" customHeight="1" x14ac:dyDescent="0.2">
      <c r="A310" s="48">
        <v>19</v>
      </c>
      <c r="B310" s="48">
        <v>1</v>
      </c>
      <c r="C310" s="48">
        <v>16.818769230769231</v>
      </c>
      <c r="D310" s="48">
        <v>0</v>
      </c>
      <c r="E310" s="48">
        <v>7.59</v>
      </c>
      <c r="F310" s="48">
        <v>4</v>
      </c>
      <c r="G310" s="48">
        <v>8.4871794871794869E-3</v>
      </c>
      <c r="H310" s="48">
        <v>0.17612820512820515</v>
      </c>
      <c r="I310" s="48">
        <v>1.1487179487179491</v>
      </c>
      <c r="J310" s="48">
        <v>109.74579487179486</v>
      </c>
      <c r="K310" s="48">
        <v>0.82825641025641028</v>
      </c>
    </row>
    <row r="311" spans="1:11" ht="15.75" customHeight="1" x14ac:dyDescent="0.2">
      <c r="A311" s="49">
        <v>19</v>
      </c>
      <c r="B311" s="49">
        <v>1</v>
      </c>
      <c r="C311" s="49">
        <v>15.453538461538459</v>
      </c>
      <c r="D311" s="49">
        <v>0</v>
      </c>
      <c r="E311" s="49">
        <v>10.7</v>
      </c>
      <c r="F311" s="49">
        <v>4</v>
      </c>
      <c r="G311" s="49">
        <v>8.1794871794871795E-3</v>
      </c>
      <c r="H311" s="49">
        <v>0.21758974358974362</v>
      </c>
      <c r="I311" s="49">
        <v>-12.835897435897438</v>
      </c>
      <c r="J311" s="49">
        <v>52.596615384615376</v>
      </c>
      <c r="K311" s="49">
        <v>0.86999999999999977</v>
      </c>
    </row>
    <row r="312" spans="1:11" ht="15.75" customHeight="1" x14ac:dyDescent="0.2">
      <c r="A312" s="50">
        <v>19</v>
      </c>
      <c r="B312" s="50">
        <v>1</v>
      </c>
      <c r="C312" s="50">
        <v>23.250025641025641</v>
      </c>
      <c r="D312" s="50">
        <v>1</v>
      </c>
      <c r="E312" s="50">
        <v>6.79</v>
      </c>
      <c r="F312" s="50">
        <v>3</v>
      </c>
      <c r="G312" s="50">
        <v>6.9230769230769237E-4</v>
      </c>
      <c r="H312" s="50">
        <v>0.18117948717948718</v>
      </c>
      <c r="I312" s="50">
        <v>-8.2025641025641018</v>
      </c>
      <c r="J312" s="50">
        <v>22.039974358974355</v>
      </c>
      <c r="K312" s="50">
        <v>0.41089743589743588</v>
      </c>
    </row>
    <row r="313" spans="1:11" ht="15.75" customHeight="1" x14ac:dyDescent="0.2">
      <c r="A313" s="49">
        <v>19</v>
      </c>
      <c r="B313" s="49">
        <v>1</v>
      </c>
      <c r="C313" s="49">
        <v>10.675615384615384</v>
      </c>
      <c r="D313" s="49">
        <v>0</v>
      </c>
      <c r="E313" s="49">
        <v>4.25</v>
      </c>
      <c r="F313" s="49">
        <v>3</v>
      </c>
      <c r="G313" s="49">
        <v>3.205128205128205E-3</v>
      </c>
      <c r="H313" s="49">
        <v>5.1076923076923075E-2</v>
      </c>
      <c r="I313" s="49">
        <v>-0.47179487179487184</v>
      </c>
      <c r="J313" s="49">
        <v>34.757435897435897</v>
      </c>
      <c r="K313" s="49">
        <v>0.67730769230769239</v>
      </c>
    </row>
    <row r="314" spans="1:11" ht="15.75" customHeight="1" x14ac:dyDescent="0.2">
      <c r="A314" s="50">
        <v>19</v>
      </c>
      <c r="B314" s="50">
        <v>1</v>
      </c>
      <c r="C314" s="50">
        <v>7.9432820512820514</v>
      </c>
      <c r="D314" s="50">
        <v>0</v>
      </c>
      <c r="E314" s="50">
        <v>3.65</v>
      </c>
      <c r="F314" s="50">
        <v>2</v>
      </c>
      <c r="G314" s="50">
        <v>4.4153846153846155E-2</v>
      </c>
      <c r="H314" s="50">
        <v>0.17066666666666666</v>
      </c>
      <c r="I314" s="50">
        <v>-54.246153846153831</v>
      </c>
      <c r="J314" s="50">
        <v>39.049307692307693</v>
      </c>
      <c r="K314" s="50">
        <v>0.44305128205128202</v>
      </c>
    </row>
    <row r="315" spans="1:11" ht="15.75" customHeight="1" x14ac:dyDescent="0.2">
      <c r="A315" s="51">
        <v>19</v>
      </c>
      <c r="B315" s="51">
        <v>1</v>
      </c>
      <c r="C315" s="51">
        <v>11.425205128205132</v>
      </c>
      <c r="D315" s="51">
        <v>1</v>
      </c>
      <c r="E315" s="51">
        <v>8.9700000000000006</v>
      </c>
      <c r="F315" s="51">
        <v>2</v>
      </c>
      <c r="G315" s="51">
        <v>7.8205128205128208E-3</v>
      </c>
      <c r="H315" s="51">
        <v>8.7717948717948732E-2</v>
      </c>
      <c r="I315" s="51">
        <v>0.19230769230769232</v>
      </c>
      <c r="J315" s="51">
        <v>23.414897435897441</v>
      </c>
      <c r="K315" s="51">
        <v>0.48197435897435909</v>
      </c>
    </row>
    <row r="316" spans="1:11" ht="15.75" customHeight="1" x14ac:dyDescent="0.2">
      <c r="A316" s="48">
        <v>19</v>
      </c>
      <c r="B316" s="48">
        <v>2</v>
      </c>
      <c r="C316" s="48">
        <v>19.822164847161559</v>
      </c>
      <c r="D316" s="48">
        <v>1</v>
      </c>
      <c r="E316" s="48">
        <v>5.25</v>
      </c>
      <c r="F316" s="48">
        <v>4</v>
      </c>
      <c r="G316" s="48">
        <v>0</v>
      </c>
      <c r="H316" s="48">
        <v>0.3754792576419233</v>
      </c>
      <c r="I316" s="48">
        <v>4.1211790393012857E-2</v>
      </c>
      <c r="J316" s="48">
        <v>11.296673580786029</v>
      </c>
      <c r="K316" s="48">
        <v>0.58859497816594053</v>
      </c>
    </row>
    <row r="317" spans="1:11" ht="15.75" customHeight="1" x14ac:dyDescent="0.2">
      <c r="A317" s="49">
        <v>19</v>
      </c>
      <c r="B317" s="49">
        <v>2</v>
      </c>
      <c r="C317" s="49">
        <v>28.961786572052386</v>
      </c>
      <c r="D317" s="49">
        <v>0</v>
      </c>
      <c r="E317" s="49">
        <v>5.49</v>
      </c>
      <c r="F317" s="49">
        <v>4</v>
      </c>
      <c r="G317" s="49">
        <v>0</v>
      </c>
      <c r="H317" s="49">
        <v>0.266130458515282</v>
      </c>
      <c r="I317" s="49">
        <v>-6.8228165938864596</v>
      </c>
      <c r="J317" s="49">
        <v>0</v>
      </c>
      <c r="K317" s="49">
        <v>0.81907914847161611</v>
      </c>
    </row>
    <row r="318" spans="1:11" ht="15.75" customHeight="1" x14ac:dyDescent="0.2">
      <c r="A318" s="50">
        <v>19</v>
      </c>
      <c r="B318" s="50">
        <v>2</v>
      </c>
      <c r="C318" s="50">
        <v>27.46155567685582</v>
      </c>
      <c r="D318" s="50">
        <v>1</v>
      </c>
      <c r="E318" s="50">
        <v>7.55</v>
      </c>
      <c r="F318" s="50">
        <v>3</v>
      </c>
      <c r="G318" s="50">
        <v>0</v>
      </c>
      <c r="H318" s="50">
        <v>0.24467358078602663</v>
      </c>
      <c r="I318" s="50">
        <v>-3.7569323144104851</v>
      </c>
      <c r="J318" s="50">
        <v>0</v>
      </c>
      <c r="K318" s="50">
        <v>0.41871397379912617</v>
      </c>
    </row>
    <row r="319" spans="1:11" ht="15.75" customHeight="1" x14ac:dyDescent="0.2">
      <c r="A319" s="49">
        <v>19</v>
      </c>
      <c r="B319" s="49">
        <v>2</v>
      </c>
      <c r="C319" s="49">
        <v>24.801215065502198</v>
      </c>
      <c r="D319" s="49">
        <v>2</v>
      </c>
      <c r="E319" s="49">
        <v>9.07</v>
      </c>
      <c r="F319" s="49">
        <v>3</v>
      </c>
      <c r="G319" s="49">
        <v>0</v>
      </c>
      <c r="H319" s="49">
        <v>0.19519213973799193</v>
      </c>
      <c r="I319" s="49">
        <v>-3.6396288209606977</v>
      </c>
      <c r="J319" s="49">
        <v>0</v>
      </c>
      <c r="K319" s="49">
        <v>0.49241757641921363</v>
      </c>
    </row>
    <row r="320" spans="1:11" ht="15.75" customHeight="1" x14ac:dyDescent="0.2">
      <c r="A320" s="50">
        <v>19</v>
      </c>
      <c r="B320" s="50">
        <v>2</v>
      </c>
      <c r="C320" s="50">
        <v>22.830448144104828</v>
      </c>
      <c r="D320" s="50">
        <v>0</v>
      </c>
      <c r="E320" s="50">
        <v>5.66</v>
      </c>
      <c r="F320" s="50">
        <v>2</v>
      </c>
      <c r="G320" s="50">
        <v>0</v>
      </c>
      <c r="H320" s="50">
        <v>0.17652401746724783</v>
      </c>
      <c r="I320" s="50">
        <v>-6.9070960698689952</v>
      </c>
      <c r="J320" s="50">
        <v>0</v>
      </c>
      <c r="K320" s="50">
        <v>0.27856058951965051</v>
      </c>
    </row>
    <row r="321" spans="1:11" ht="15.75" customHeight="1" x14ac:dyDescent="0.2">
      <c r="A321" s="51">
        <v>19</v>
      </c>
      <c r="B321" s="51">
        <v>2</v>
      </c>
      <c r="C321" s="51">
        <v>26.440415393013161</v>
      </c>
      <c r="D321" s="51">
        <v>2</v>
      </c>
      <c r="E321" s="51">
        <v>6.94</v>
      </c>
      <c r="F321" s="51">
        <v>2</v>
      </c>
      <c r="G321" s="51">
        <v>3.3459061135371164E-2</v>
      </c>
      <c r="H321" s="51">
        <v>0.25925545851528364</v>
      </c>
      <c r="I321" s="51">
        <v>5.736899563318807E-2</v>
      </c>
      <c r="J321" s="51">
        <v>0</v>
      </c>
      <c r="K321" s="51">
        <v>0.46748307860262034</v>
      </c>
    </row>
    <row r="322" spans="1:11" ht="15.75" customHeight="1" x14ac:dyDescent="0.2">
      <c r="A322" s="48">
        <v>19</v>
      </c>
      <c r="B322" s="48">
        <v>3</v>
      </c>
      <c r="C322" s="48">
        <v>17.030571428571427</v>
      </c>
      <c r="D322" s="48">
        <v>0</v>
      </c>
      <c r="E322" s="48">
        <v>9.26</v>
      </c>
      <c r="F322" s="48">
        <v>4</v>
      </c>
      <c r="G322" s="48">
        <v>0</v>
      </c>
      <c r="H322" s="48">
        <v>0.23188571428571428</v>
      </c>
      <c r="I322" s="48">
        <v>1.7142857142857182E-2</v>
      </c>
      <c r="J322" s="48">
        <v>13.1624</v>
      </c>
      <c r="K322" s="48">
        <v>0.17220000000000002</v>
      </c>
    </row>
    <row r="323" spans="1:11" ht="15.75" customHeight="1" x14ac:dyDescent="0.2">
      <c r="A323" s="49">
        <v>19</v>
      </c>
      <c r="B323" s="49">
        <v>3</v>
      </c>
      <c r="C323" s="49">
        <v>10.617571428571427</v>
      </c>
      <c r="D323" s="49">
        <v>1</v>
      </c>
      <c r="E323" s="49">
        <v>5.2</v>
      </c>
      <c r="F323" s="49">
        <v>4</v>
      </c>
      <c r="G323" s="49">
        <v>5.4571428571428576E-2</v>
      </c>
      <c r="H323" s="49">
        <v>0.11762857142857143</v>
      </c>
      <c r="I323" s="49">
        <v>-20.074285714285704</v>
      </c>
      <c r="J323" s="49">
        <v>22.450428571428567</v>
      </c>
      <c r="K323" s="49">
        <v>-0.18137142857142863</v>
      </c>
    </row>
    <row r="324" spans="1:11" ht="15.75" customHeight="1" x14ac:dyDescent="0.2">
      <c r="A324" s="50">
        <v>19</v>
      </c>
      <c r="B324" s="50">
        <v>3</v>
      </c>
      <c r="C324" s="50">
        <v>15.705628571428567</v>
      </c>
      <c r="D324" s="50">
        <v>0</v>
      </c>
      <c r="E324" s="50">
        <v>4.99</v>
      </c>
      <c r="F324" s="50">
        <v>3</v>
      </c>
      <c r="G324" s="50">
        <v>2.7028571428571426E-2</v>
      </c>
      <c r="H324" s="50">
        <v>0.20391428571428569</v>
      </c>
      <c r="I324" s="50">
        <v>-4.92</v>
      </c>
      <c r="J324" s="50">
        <v>42.452428571428563</v>
      </c>
      <c r="K324" s="50">
        <v>0.45151428571428576</v>
      </c>
    </row>
    <row r="325" spans="1:11" ht="15.75" customHeight="1" x14ac:dyDescent="0.2">
      <c r="A325" s="49">
        <v>19</v>
      </c>
      <c r="B325" s="49">
        <v>3</v>
      </c>
      <c r="C325" s="49">
        <v>17.299285714285713</v>
      </c>
      <c r="D325" s="49">
        <v>0</v>
      </c>
      <c r="E325" s="49">
        <v>4.7300000000000004</v>
      </c>
      <c r="F325" s="49">
        <v>3</v>
      </c>
      <c r="G325" s="49">
        <v>4.7342857142857145E-2</v>
      </c>
      <c r="H325" s="49">
        <v>0.23288571428571422</v>
      </c>
      <c r="I325" s="49">
        <v>-5.1971428571428602</v>
      </c>
      <c r="J325" s="49">
        <v>16.552057142857148</v>
      </c>
      <c r="K325" s="49">
        <v>-0.39265714285714287</v>
      </c>
    </row>
    <row r="326" spans="1:11" ht="15.75" customHeight="1" x14ac:dyDescent="0.2">
      <c r="A326" s="50">
        <v>19</v>
      </c>
      <c r="B326" s="50">
        <v>3</v>
      </c>
      <c r="C326" s="50">
        <v>13.944228571428567</v>
      </c>
      <c r="D326" s="50">
        <v>1</v>
      </c>
      <c r="E326" s="50">
        <v>5.56</v>
      </c>
      <c r="F326" s="50">
        <v>2</v>
      </c>
      <c r="G326" s="50">
        <v>3.6428571428571428E-2</v>
      </c>
      <c r="H326" s="50">
        <v>0.17348571428571427</v>
      </c>
      <c r="I326" s="50">
        <v>-17.499999999999996</v>
      </c>
      <c r="J326" s="50">
        <v>54.891800000000003</v>
      </c>
      <c r="K326" s="50">
        <v>8.6571428571428112E-3</v>
      </c>
    </row>
    <row r="327" spans="1:11" ht="15.75" customHeight="1" x14ac:dyDescent="0.2">
      <c r="A327" s="51">
        <v>19</v>
      </c>
      <c r="B327" s="51">
        <v>3</v>
      </c>
      <c r="C327" s="51">
        <v>14.086457142857142</v>
      </c>
      <c r="D327" s="51">
        <v>2</v>
      </c>
      <c r="E327" s="51">
        <v>11.79</v>
      </c>
      <c r="F327" s="51">
        <v>2</v>
      </c>
      <c r="G327" s="51">
        <v>9.8771428571428566E-2</v>
      </c>
      <c r="H327" s="51">
        <v>0.21617142857142857</v>
      </c>
      <c r="I327" s="51">
        <v>-0.86285714285714299</v>
      </c>
      <c r="J327" s="51">
        <v>37.131228571428572</v>
      </c>
      <c r="K327" s="51">
        <v>-0.52840000000000009</v>
      </c>
    </row>
    <row r="328" spans="1:11" ht="15.75" customHeight="1" x14ac:dyDescent="0.2">
      <c r="A328" s="48">
        <v>20</v>
      </c>
      <c r="B328" s="48">
        <v>1</v>
      </c>
      <c r="C328" s="48">
        <v>11.616685714285714</v>
      </c>
      <c r="D328" s="48">
        <v>0</v>
      </c>
      <c r="E328" s="48">
        <v>6.61</v>
      </c>
      <c r="F328" s="48">
        <v>4</v>
      </c>
      <c r="G328" s="48">
        <v>0</v>
      </c>
      <c r="H328" s="48">
        <v>0.12037142857142857</v>
      </c>
      <c r="I328" s="48">
        <v>0.27714285714285719</v>
      </c>
      <c r="J328" s="48">
        <v>113.70417142857143</v>
      </c>
      <c r="K328" s="48">
        <v>0.91308571428571417</v>
      </c>
    </row>
    <row r="329" spans="1:11" ht="15.75" customHeight="1" x14ac:dyDescent="0.2">
      <c r="A329" s="49">
        <v>20</v>
      </c>
      <c r="B329" s="49">
        <v>1</v>
      </c>
      <c r="C329" s="49">
        <v>13.522571428571425</v>
      </c>
      <c r="D329" s="49">
        <v>0</v>
      </c>
      <c r="E329" s="49">
        <v>5.87</v>
      </c>
      <c r="F329" s="49">
        <v>4</v>
      </c>
      <c r="G329" s="49">
        <v>3.2285714285714287E-3</v>
      </c>
      <c r="H329" s="49">
        <v>9.1142857142857137E-2</v>
      </c>
      <c r="I329" s="49">
        <v>-0.34857142857142859</v>
      </c>
      <c r="J329" s="49">
        <v>0</v>
      </c>
      <c r="K329" s="49">
        <v>1.2568857142857144</v>
      </c>
    </row>
    <row r="330" spans="1:11" ht="15.75" customHeight="1" x14ac:dyDescent="0.2">
      <c r="A330" s="50">
        <v>20</v>
      </c>
      <c r="B330" s="50">
        <v>1</v>
      </c>
      <c r="C330" s="50">
        <v>3.2210285714285716</v>
      </c>
      <c r="D330" s="50">
        <v>1</v>
      </c>
      <c r="E330" s="50">
        <v>7.51</v>
      </c>
      <c r="F330" s="50">
        <v>3</v>
      </c>
      <c r="G330" s="50">
        <v>2.8114285714285713E-2</v>
      </c>
      <c r="H330" s="50">
        <v>2.7171428571428569E-2</v>
      </c>
      <c r="I330" s="50">
        <v>-15.11142857142857</v>
      </c>
      <c r="J330" s="50">
        <v>28.567285714285713</v>
      </c>
      <c r="K330" s="50">
        <v>0.35465714285714289</v>
      </c>
    </row>
    <row r="331" spans="1:11" ht="15.75" customHeight="1" x14ac:dyDescent="0.2">
      <c r="A331" s="49">
        <v>20</v>
      </c>
      <c r="B331" s="49">
        <v>1</v>
      </c>
      <c r="C331" s="49">
        <v>11.995399999999998</v>
      </c>
      <c r="D331" s="49">
        <v>2</v>
      </c>
      <c r="E331" s="49">
        <v>17.72</v>
      </c>
      <c r="F331" s="49">
        <v>3</v>
      </c>
      <c r="G331" s="49">
        <v>0</v>
      </c>
      <c r="H331" s="49">
        <v>0.11499999999999999</v>
      </c>
      <c r="I331" s="49">
        <v>-1.2057142857142857</v>
      </c>
      <c r="J331" s="49">
        <v>54.615685714285711</v>
      </c>
      <c r="K331" s="49">
        <v>-0.69337142857142853</v>
      </c>
    </row>
    <row r="332" spans="1:11" ht="15.75" customHeight="1" x14ac:dyDescent="0.2">
      <c r="A332" s="50">
        <v>20</v>
      </c>
      <c r="B332" s="50">
        <v>1</v>
      </c>
      <c r="C332" s="50">
        <v>12.247228571428572</v>
      </c>
      <c r="D332" s="50">
        <v>0</v>
      </c>
      <c r="E332" s="50">
        <v>3.57</v>
      </c>
      <c r="F332" s="50">
        <v>2</v>
      </c>
      <c r="G332" s="50">
        <v>0</v>
      </c>
      <c r="H332" s="50">
        <v>6.8742857142857161E-2</v>
      </c>
      <c r="I332" s="50">
        <v>-9.0142857142857142</v>
      </c>
      <c r="J332" s="50">
        <v>1.7875428571428569</v>
      </c>
      <c r="K332" s="50">
        <v>0.51340000000000008</v>
      </c>
    </row>
    <row r="333" spans="1:11" ht="15.75" customHeight="1" x14ac:dyDescent="0.2">
      <c r="A333" s="51">
        <v>20</v>
      </c>
      <c r="B333" s="51">
        <v>1</v>
      </c>
      <c r="C333" s="51">
        <v>10.591685714285717</v>
      </c>
      <c r="D333" s="51">
        <v>0</v>
      </c>
      <c r="E333" s="51">
        <v>4.37</v>
      </c>
      <c r="F333" s="51">
        <v>2</v>
      </c>
      <c r="G333" s="51">
        <v>0</v>
      </c>
      <c r="H333" s="51">
        <v>6.6114285714285723E-2</v>
      </c>
      <c r="I333" s="51">
        <v>-1.5799999999999994</v>
      </c>
      <c r="J333" s="51">
        <v>31.923342857142853</v>
      </c>
      <c r="K333" s="51">
        <v>0.78339999999999976</v>
      </c>
    </row>
    <row r="334" spans="1:11" ht="15.75" customHeight="1" x14ac:dyDescent="0.2">
      <c r="A334" s="48">
        <v>20</v>
      </c>
      <c r="B334" s="48">
        <v>2</v>
      </c>
      <c r="C334" s="48">
        <v>11.044773493975905</v>
      </c>
      <c r="D334" s="48">
        <v>1</v>
      </c>
      <c r="E334" s="48">
        <v>7.06</v>
      </c>
      <c r="F334" s="48">
        <v>4</v>
      </c>
      <c r="G334" s="48">
        <v>0</v>
      </c>
      <c r="H334" s="48">
        <v>0.18451987951807164</v>
      </c>
      <c r="I334" s="48">
        <v>-7.8313253012051026E-3</v>
      </c>
      <c r="J334" s="48">
        <v>20.826842771084337</v>
      </c>
      <c r="K334" s="48">
        <v>1.0054759036144558</v>
      </c>
    </row>
    <row r="335" spans="1:11" ht="15.75" customHeight="1" x14ac:dyDescent="0.2">
      <c r="A335" s="49">
        <v>20</v>
      </c>
      <c r="B335" s="49">
        <v>2</v>
      </c>
      <c r="C335" s="49">
        <v>21.612835542168661</v>
      </c>
      <c r="D335" s="49">
        <v>0</v>
      </c>
      <c r="E335" s="49">
        <v>6.85</v>
      </c>
      <c r="F335" s="49">
        <v>4</v>
      </c>
      <c r="G335" s="49">
        <v>0</v>
      </c>
      <c r="H335" s="49">
        <v>0.19426144578313023</v>
      </c>
      <c r="I335" s="49">
        <v>-0.46421686746987939</v>
      </c>
      <c r="J335" s="49">
        <v>0</v>
      </c>
      <c r="K335" s="49">
        <v>0.42999638554216846</v>
      </c>
    </row>
    <row r="336" spans="1:11" ht="15.75" customHeight="1" x14ac:dyDescent="0.2">
      <c r="A336" s="50">
        <v>20</v>
      </c>
      <c r="B336" s="50">
        <v>2</v>
      </c>
      <c r="C336" s="50">
        <v>24.177757831325334</v>
      </c>
      <c r="D336" s="50">
        <v>0</v>
      </c>
      <c r="E336" s="50">
        <v>9.42</v>
      </c>
      <c r="F336" s="50">
        <v>3</v>
      </c>
      <c r="G336" s="50">
        <v>0</v>
      </c>
      <c r="H336" s="50">
        <v>0.22001385542168805</v>
      </c>
      <c r="I336" s="50">
        <v>-9.1271084337349286</v>
      </c>
      <c r="J336" s="50">
        <v>43.715106626505992</v>
      </c>
      <c r="K336" s="50">
        <v>0.9285469879518079</v>
      </c>
    </row>
    <row r="337" spans="1:11" ht="15.75" customHeight="1" x14ac:dyDescent="0.2">
      <c r="A337" s="49">
        <v>20</v>
      </c>
      <c r="B337" s="49">
        <v>2</v>
      </c>
      <c r="C337" s="49">
        <v>21.967960240963855</v>
      </c>
      <c r="D337" s="49">
        <v>1</v>
      </c>
      <c r="E337" s="49">
        <v>11.99</v>
      </c>
      <c r="F337" s="49">
        <v>3</v>
      </c>
      <c r="G337" s="49">
        <v>0</v>
      </c>
      <c r="H337" s="49">
        <v>0.1670421686746987</v>
      </c>
      <c r="I337" s="49">
        <v>-1.6071686746987657</v>
      </c>
      <c r="J337" s="49">
        <v>101.09162469879526</v>
      </c>
      <c r="K337" s="49">
        <v>8.5586746987951781E-2</v>
      </c>
    </row>
    <row r="338" spans="1:11" ht="15.75" customHeight="1" x14ac:dyDescent="0.2">
      <c r="A338" s="50">
        <v>20</v>
      </c>
      <c r="B338" s="50">
        <v>2</v>
      </c>
      <c r="C338" s="50">
        <v>22.516097590361454</v>
      </c>
      <c r="D338" s="50">
        <v>0</v>
      </c>
      <c r="E338" s="50">
        <v>1.83</v>
      </c>
      <c r="F338" s="50">
        <v>2</v>
      </c>
      <c r="G338" s="50">
        <v>0</v>
      </c>
      <c r="H338" s="50">
        <v>0.17950301204819311</v>
      </c>
      <c r="I338" s="50">
        <v>0.13566265060240959</v>
      </c>
      <c r="J338" s="50">
        <v>103.66977469879522</v>
      </c>
      <c r="K338" s="50">
        <v>0.15038915662650601</v>
      </c>
    </row>
    <row r="339" spans="1:11" ht="15.75" customHeight="1" x14ac:dyDescent="0.2">
      <c r="A339" s="51">
        <v>20</v>
      </c>
      <c r="B339" s="51">
        <v>2</v>
      </c>
      <c r="C339" s="51">
        <v>21.634277710843346</v>
      </c>
      <c r="D339" s="51">
        <v>0</v>
      </c>
      <c r="E339" s="51">
        <v>2.61</v>
      </c>
      <c r="F339" s="51">
        <v>2</v>
      </c>
      <c r="G339" s="51">
        <v>0</v>
      </c>
      <c r="H339" s="51">
        <v>0.14836024096385375</v>
      </c>
      <c r="I339" s="51">
        <v>-11.63385542168675</v>
      </c>
      <c r="J339" s="51">
        <v>69.02793915662653</v>
      </c>
      <c r="K339" s="51">
        <v>0.491995180722891</v>
      </c>
    </row>
    <row r="340" spans="1:11" ht="15.75" customHeight="1" x14ac:dyDescent="0.2">
      <c r="A340" s="48">
        <v>20</v>
      </c>
      <c r="B340" s="48">
        <v>3</v>
      </c>
      <c r="C340" s="48">
        <v>12.64316</v>
      </c>
      <c r="D340" s="48">
        <v>0</v>
      </c>
      <c r="E340" s="48">
        <v>4.66</v>
      </c>
      <c r="F340" s="48">
        <v>4</v>
      </c>
      <c r="G340" s="48">
        <v>0</v>
      </c>
      <c r="H340" s="48">
        <v>0.15820000000000004</v>
      </c>
      <c r="I340" s="48">
        <v>0.64800000000000013</v>
      </c>
      <c r="J340" s="48">
        <v>44.377719999999997</v>
      </c>
      <c r="K340" s="48">
        <v>0.77272000000000007</v>
      </c>
    </row>
    <row r="341" spans="1:11" ht="15.75" customHeight="1" x14ac:dyDescent="0.2">
      <c r="A341" s="49">
        <v>20</v>
      </c>
      <c r="B341" s="49">
        <v>3</v>
      </c>
      <c r="C341" s="49">
        <v>16.145959999999999</v>
      </c>
      <c r="D341" s="49">
        <v>0</v>
      </c>
      <c r="E341" s="49">
        <v>15.53</v>
      </c>
      <c r="F341" s="49">
        <v>4</v>
      </c>
      <c r="G341" s="49">
        <v>1.3599999999999999E-2</v>
      </c>
      <c r="H341" s="49">
        <v>0.11092000000000002</v>
      </c>
      <c r="I341" s="49">
        <v>-1.9480000000000002</v>
      </c>
      <c r="J341" s="49">
        <v>108.97164000000001</v>
      </c>
      <c r="K341" s="49">
        <v>1.0154399999999999</v>
      </c>
    </row>
    <row r="342" spans="1:11" ht="15.75" customHeight="1" x14ac:dyDescent="0.2">
      <c r="A342" s="50">
        <v>20</v>
      </c>
      <c r="B342" s="50">
        <v>3</v>
      </c>
      <c r="C342" s="50">
        <v>5.6957199999999997</v>
      </c>
      <c r="D342" s="50">
        <v>0</v>
      </c>
      <c r="E342" s="50">
        <v>4.51</v>
      </c>
      <c r="F342" s="50">
        <v>3</v>
      </c>
      <c r="G342" s="50">
        <v>2.8999999999999998E-2</v>
      </c>
      <c r="H342" s="50">
        <v>6.2E-2</v>
      </c>
      <c r="I342" s="50">
        <v>-22.648000000000003</v>
      </c>
      <c r="J342" s="50">
        <v>12.50456</v>
      </c>
      <c r="K342" s="50">
        <v>0.16144000000000003</v>
      </c>
    </row>
    <row r="343" spans="1:11" ht="15.75" customHeight="1" x14ac:dyDescent="0.2">
      <c r="A343" s="49">
        <v>20</v>
      </c>
      <c r="B343" s="49">
        <v>3</v>
      </c>
      <c r="C343" s="49">
        <v>13.899559999999999</v>
      </c>
      <c r="D343" s="49">
        <v>0</v>
      </c>
      <c r="E343" s="49">
        <v>4.9000000000000004</v>
      </c>
      <c r="F343" s="49">
        <v>3</v>
      </c>
      <c r="G343" s="49">
        <v>1.2E-4</v>
      </c>
      <c r="H343" s="49">
        <v>0.11971999999999999</v>
      </c>
      <c r="I343" s="49">
        <v>0.34399999999999997</v>
      </c>
      <c r="J343" s="49">
        <v>107.31348</v>
      </c>
      <c r="K343" s="49">
        <v>0.82287999999999994</v>
      </c>
    </row>
    <row r="344" spans="1:11" ht="15.75" customHeight="1" x14ac:dyDescent="0.2">
      <c r="A344" s="50">
        <v>20</v>
      </c>
      <c r="B344" s="50">
        <v>3</v>
      </c>
      <c r="C344" s="50">
        <v>11.038919999999997</v>
      </c>
      <c r="D344" s="50">
        <v>0</v>
      </c>
      <c r="E344" s="50">
        <v>2.0299999999999998</v>
      </c>
      <c r="F344" s="50">
        <v>2</v>
      </c>
      <c r="G344" s="50">
        <v>1.2279999999999999E-2</v>
      </c>
      <c r="H344" s="50">
        <v>0.11224000000000002</v>
      </c>
      <c r="I344" s="50">
        <v>-5.7759999999999998</v>
      </c>
      <c r="J344" s="50">
        <v>51.327399999999997</v>
      </c>
      <c r="K344" s="50">
        <v>0.65511999999999981</v>
      </c>
    </row>
    <row r="345" spans="1:11" ht="15.75" customHeight="1" x14ac:dyDescent="0.2">
      <c r="A345" s="51">
        <v>20</v>
      </c>
      <c r="B345" s="51">
        <v>3</v>
      </c>
      <c r="C345" s="51">
        <v>11.913440000000001</v>
      </c>
      <c r="D345" s="51">
        <v>0</v>
      </c>
      <c r="E345" s="51">
        <v>2.73</v>
      </c>
      <c r="F345" s="51">
        <v>2</v>
      </c>
      <c r="G345" s="51">
        <v>2.9360000000000001E-2</v>
      </c>
      <c r="H345" s="51">
        <v>7.2039999999999993E-2</v>
      </c>
      <c r="I345" s="51">
        <v>-9.1440000000000001</v>
      </c>
      <c r="J345" s="51">
        <v>49.097839999999998</v>
      </c>
      <c r="K345" s="51">
        <v>0.46168000000000009</v>
      </c>
    </row>
    <row r="346" spans="1:11" ht="15.75" customHeight="1" x14ac:dyDescent="0.2">
      <c r="A346" s="48">
        <v>21</v>
      </c>
      <c r="B346" s="48">
        <v>1</v>
      </c>
      <c r="C346" s="48">
        <v>12.390799999999997</v>
      </c>
      <c r="D346" s="48">
        <v>1</v>
      </c>
      <c r="E346" s="48">
        <v>17.93</v>
      </c>
      <c r="F346" s="48">
        <v>4</v>
      </c>
      <c r="G346" s="48">
        <v>7.3066666666666669E-2</v>
      </c>
      <c r="H346" s="48">
        <v>0.26496666666666668</v>
      </c>
      <c r="I346" s="48">
        <v>-8.9999999999999983E-2</v>
      </c>
      <c r="J346" s="48">
        <v>79.392399999999995</v>
      </c>
      <c r="K346" s="48">
        <v>0.69823333333333326</v>
      </c>
    </row>
    <row r="347" spans="1:11" ht="15.75" customHeight="1" x14ac:dyDescent="0.2">
      <c r="A347" s="49">
        <v>21</v>
      </c>
      <c r="B347" s="49">
        <v>1</v>
      </c>
      <c r="C347" s="49">
        <v>16.841000000000001</v>
      </c>
      <c r="D347" s="49">
        <v>0</v>
      </c>
      <c r="E347" s="49">
        <v>5.99</v>
      </c>
      <c r="F347" s="49">
        <v>4</v>
      </c>
      <c r="G347" s="49">
        <v>3.5099999999999999E-2</v>
      </c>
      <c r="H347" s="49">
        <v>0.2117</v>
      </c>
      <c r="I347" s="49">
        <v>-0.1833333333333334</v>
      </c>
      <c r="J347" s="49">
        <v>0</v>
      </c>
      <c r="K347" s="49">
        <v>0.43709999999999993</v>
      </c>
    </row>
    <row r="348" spans="1:11" ht="15.75" customHeight="1" x14ac:dyDescent="0.2">
      <c r="A348" s="50">
        <v>21</v>
      </c>
      <c r="B348" s="50">
        <v>1</v>
      </c>
      <c r="C348" s="50">
        <v>2.504066666666668</v>
      </c>
      <c r="D348" s="50">
        <v>0</v>
      </c>
      <c r="E348" s="50">
        <v>4.3899999999999997</v>
      </c>
      <c r="F348" s="50">
        <v>3</v>
      </c>
      <c r="G348" s="50">
        <v>0.36810000000000004</v>
      </c>
      <c r="H348" s="50">
        <v>0.12139999999999999</v>
      </c>
      <c r="I348" s="50">
        <v>-0.92333333333333345</v>
      </c>
      <c r="J348" s="50">
        <v>49.65206666666667</v>
      </c>
      <c r="K348" s="50">
        <v>0.87726666666666619</v>
      </c>
    </row>
    <row r="349" spans="1:11" ht="15.75" customHeight="1" x14ac:dyDescent="0.2">
      <c r="A349" s="49">
        <v>21</v>
      </c>
      <c r="B349" s="49">
        <v>1</v>
      </c>
      <c r="C349" s="49">
        <v>11.829033333333333</v>
      </c>
      <c r="D349" s="49">
        <v>0</v>
      </c>
      <c r="E349" s="49">
        <v>8.74</v>
      </c>
      <c r="F349" s="49">
        <v>3</v>
      </c>
      <c r="G349" s="49">
        <v>0</v>
      </c>
      <c r="H349" s="49">
        <v>0.16703333333333331</v>
      </c>
      <c r="I349" s="49">
        <v>-21.91333333333333</v>
      </c>
      <c r="J349" s="49">
        <v>210.42280000000002</v>
      </c>
      <c r="K349" s="49">
        <v>0.82903333333333318</v>
      </c>
    </row>
    <row r="350" spans="1:11" ht="15.75" customHeight="1" x14ac:dyDescent="0.2">
      <c r="A350" s="50">
        <v>21</v>
      </c>
      <c r="B350" s="50">
        <v>1</v>
      </c>
      <c r="C350" s="50">
        <v>19.638433333333332</v>
      </c>
      <c r="D350" s="50">
        <v>0</v>
      </c>
      <c r="E350" s="50">
        <v>3.55</v>
      </c>
      <c r="F350" s="50">
        <v>2</v>
      </c>
      <c r="G350" s="50">
        <v>0</v>
      </c>
      <c r="H350" s="50">
        <v>0.1550666666666666</v>
      </c>
      <c r="I350" s="50">
        <v>-10.163333333333332</v>
      </c>
      <c r="J350" s="50">
        <v>9.1008333333333322</v>
      </c>
      <c r="K350" s="50">
        <v>0.98110000000000008</v>
      </c>
    </row>
    <row r="351" spans="1:11" ht="15.75" customHeight="1" x14ac:dyDescent="0.2">
      <c r="A351" s="51">
        <v>21</v>
      </c>
      <c r="B351" s="51">
        <v>1</v>
      </c>
      <c r="C351" s="51">
        <v>12.323866666666667</v>
      </c>
      <c r="D351" s="51">
        <v>0</v>
      </c>
      <c r="E351" s="51">
        <v>5.29</v>
      </c>
      <c r="F351" s="51">
        <v>2</v>
      </c>
      <c r="G351" s="51">
        <v>7.1266666666666659E-2</v>
      </c>
      <c r="H351" s="51">
        <v>0.15193333333333336</v>
      </c>
      <c r="I351" s="51">
        <v>6.6666666666669091E-3</v>
      </c>
      <c r="J351" s="51">
        <v>20.499900000000004</v>
      </c>
      <c r="K351" s="51">
        <v>0.21910000000000004</v>
      </c>
    </row>
    <row r="352" spans="1:11" ht="15.75" customHeight="1" x14ac:dyDescent="0.2">
      <c r="A352" s="48">
        <v>21</v>
      </c>
      <c r="B352" s="48">
        <v>2</v>
      </c>
      <c r="C352" s="48">
        <v>15.555011387900361</v>
      </c>
      <c r="D352" s="48">
        <v>0</v>
      </c>
      <c r="E352" s="48">
        <v>5.78</v>
      </c>
      <c r="F352" s="48">
        <v>4</v>
      </c>
      <c r="G352" s="48">
        <v>0</v>
      </c>
      <c r="H352" s="48">
        <v>0.27920284697508674</v>
      </c>
      <c r="I352" s="48">
        <v>-0.18220640569394991</v>
      </c>
      <c r="J352" s="48">
        <v>49.390723131672587</v>
      </c>
      <c r="K352" s="48">
        <v>1.2364832740213518</v>
      </c>
    </row>
    <row r="353" spans="1:11" ht="15.75" customHeight="1" x14ac:dyDescent="0.2">
      <c r="A353" s="49">
        <v>21</v>
      </c>
      <c r="B353" s="49">
        <v>2</v>
      </c>
      <c r="C353" s="49">
        <v>25.474758718861196</v>
      </c>
      <c r="D353" s="49">
        <v>1</v>
      </c>
      <c r="E353" s="49">
        <v>12.95</v>
      </c>
      <c r="F353" s="49">
        <v>4</v>
      </c>
      <c r="G353" s="49">
        <v>0</v>
      </c>
      <c r="H353" s="49">
        <v>0.2483580071174413</v>
      </c>
      <c r="I353" s="49">
        <v>0.12270462633451908</v>
      </c>
      <c r="J353" s="49">
        <v>0</v>
      </c>
      <c r="K353" s="49">
        <v>1.1425131672597877</v>
      </c>
    </row>
    <row r="354" spans="1:11" ht="15.75" customHeight="1" x14ac:dyDescent="0.2">
      <c r="A354" s="50">
        <v>21</v>
      </c>
      <c r="B354" s="50">
        <v>2</v>
      </c>
      <c r="C354" s="50">
        <v>23.03527473309606</v>
      </c>
      <c r="D354" s="50">
        <v>0</v>
      </c>
      <c r="E354" s="50">
        <v>3.43</v>
      </c>
      <c r="F354" s="50">
        <v>3</v>
      </c>
      <c r="G354" s="50">
        <v>1.994092526690389E-2</v>
      </c>
      <c r="H354" s="50">
        <v>0.22185907473309624</v>
      </c>
      <c r="I354" s="50">
        <v>-9.822633451957298</v>
      </c>
      <c r="J354" s="50">
        <v>0</v>
      </c>
      <c r="K354" s="50">
        <v>0.30780498220640545</v>
      </c>
    </row>
    <row r="355" spans="1:11" ht="15.75" customHeight="1" x14ac:dyDescent="0.2">
      <c r="A355" s="49">
        <v>21</v>
      </c>
      <c r="B355" s="49">
        <v>2</v>
      </c>
      <c r="C355" s="49">
        <v>24.36360782918149</v>
      </c>
      <c r="D355" s="49">
        <v>1</v>
      </c>
      <c r="E355" s="49">
        <v>5.98</v>
      </c>
      <c r="F355" s="49">
        <v>3</v>
      </c>
      <c r="G355" s="49">
        <v>0</v>
      </c>
      <c r="H355" s="49">
        <v>0.23165480427046423</v>
      </c>
      <c r="I355" s="49">
        <v>-4.2963701067616</v>
      </c>
      <c r="J355" s="49">
        <v>0</v>
      </c>
      <c r="K355" s="49">
        <v>0.26678362989323839</v>
      </c>
    </row>
    <row r="356" spans="1:11" ht="15.75" customHeight="1" x14ac:dyDescent="0.2">
      <c r="A356" s="50">
        <v>21</v>
      </c>
      <c r="B356" s="50">
        <v>2</v>
      </c>
      <c r="C356" s="50">
        <v>26.169545907473314</v>
      </c>
      <c r="D356" s="50">
        <v>0</v>
      </c>
      <c r="E356" s="50">
        <v>1.65</v>
      </c>
      <c r="F356" s="50">
        <v>2</v>
      </c>
      <c r="G356" s="50">
        <v>0</v>
      </c>
      <c r="H356" s="50">
        <v>0.24490960854092661</v>
      </c>
      <c r="I356" s="50">
        <v>0.27722419928825676</v>
      </c>
      <c r="J356" s="50">
        <v>0</v>
      </c>
      <c r="K356" s="50">
        <v>0.31157010676156532</v>
      </c>
    </row>
    <row r="357" spans="1:11" ht="15.75" customHeight="1" x14ac:dyDescent="0.2">
      <c r="A357" s="51">
        <v>21</v>
      </c>
      <c r="B357" s="51">
        <v>2</v>
      </c>
      <c r="C357" s="51">
        <v>26.148167259786433</v>
      </c>
      <c r="D357" s="51">
        <v>0</v>
      </c>
      <c r="E357" s="51">
        <v>3.82</v>
      </c>
      <c r="F357" s="51">
        <v>2</v>
      </c>
      <c r="G357" s="51">
        <v>1.3436298932384357E-2</v>
      </c>
      <c r="H357" s="51">
        <v>0.19984270462633424</v>
      </c>
      <c r="I357" s="51">
        <v>-12.379359430604987</v>
      </c>
      <c r="J357" s="51">
        <v>43.828077580071195</v>
      </c>
      <c r="K357" s="51">
        <v>-7.0305338078291715E-2</v>
      </c>
    </row>
    <row r="358" spans="1:11" ht="15.75" customHeight="1" x14ac:dyDescent="0.2">
      <c r="A358" s="48">
        <v>21</v>
      </c>
      <c r="B358" s="48">
        <v>3</v>
      </c>
      <c r="C358" s="48">
        <v>16.606439999999999</v>
      </c>
      <c r="D358" s="48">
        <v>0</v>
      </c>
      <c r="E358" s="48">
        <v>5.47</v>
      </c>
      <c r="F358" s="48">
        <v>4</v>
      </c>
      <c r="G358" s="48">
        <v>0.01</v>
      </c>
      <c r="H358" s="48">
        <v>0.251</v>
      </c>
      <c r="I358" s="48">
        <v>0.32400000000000007</v>
      </c>
      <c r="J358" s="48">
        <v>1.7066399999999999</v>
      </c>
      <c r="K358" s="48">
        <v>0.53875999999999991</v>
      </c>
    </row>
    <row r="359" spans="1:11" ht="15.75" customHeight="1" x14ac:dyDescent="0.2">
      <c r="A359" s="49">
        <v>21</v>
      </c>
      <c r="B359" s="49">
        <v>3</v>
      </c>
      <c r="C359" s="49">
        <v>12.907839999999998</v>
      </c>
      <c r="D359" s="49">
        <v>0</v>
      </c>
      <c r="E359" s="49">
        <v>8.35</v>
      </c>
      <c r="F359" s="49">
        <v>4</v>
      </c>
      <c r="G359" s="49">
        <v>0.14147999999999999</v>
      </c>
      <c r="H359" s="49">
        <v>0.1376</v>
      </c>
      <c r="I359" s="49">
        <v>-1.2280000000000004</v>
      </c>
      <c r="J359" s="49">
        <v>20.3766</v>
      </c>
      <c r="K359" s="49">
        <v>0.56520000000000015</v>
      </c>
    </row>
    <row r="360" spans="1:11" ht="15.75" customHeight="1" x14ac:dyDescent="0.2">
      <c r="A360" s="50">
        <v>21</v>
      </c>
      <c r="B360" s="50">
        <v>3</v>
      </c>
      <c r="C360" s="50">
        <v>9.2662400000000016</v>
      </c>
      <c r="D360" s="50">
        <v>0</v>
      </c>
      <c r="E360" s="50">
        <v>4.9400000000000004</v>
      </c>
      <c r="F360" s="50">
        <v>3</v>
      </c>
      <c r="G360" s="50">
        <v>5.04E-2</v>
      </c>
      <c r="H360" s="50">
        <v>0.14940000000000001</v>
      </c>
      <c r="I360" s="50">
        <v>-24.832000000000008</v>
      </c>
      <c r="J360" s="50">
        <v>14.90532</v>
      </c>
      <c r="K360" s="50">
        <v>0.32239999999999996</v>
      </c>
    </row>
    <row r="361" spans="1:11" ht="15.75" customHeight="1" x14ac:dyDescent="0.2">
      <c r="A361" s="49">
        <v>21</v>
      </c>
      <c r="B361" s="49">
        <v>3</v>
      </c>
      <c r="C361" s="49">
        <v>12.340120000000002</v>
      </c>
      <c r="D361" s="49">
        <v>0</v>
      </c>
      <c r="E361" s="49">
        <v>4.9000000000000004</v>
      </c>
      <c r="F361" s="49">
        <v>3</v>
      </c>
      <c r="G361" s="49">
        <v>0.15272000000000002</v>
      </c>
      <c r="H361" s="49">
        <v>0.20304</v>
      </c>
      <c r="I361" s="49">
        <v>1.0799999999999998</v>
      </c>
      <c r="J361" s="49">
        <v>3.38348</v>
      </c>
      <c r="K361" s="49">
        <v>-3.0200000000000005E-2</v>
      </c>
    </row>
    <row r="362" spans="1:11" ht="15.75" customHeight="1" x14ac:dyDescent="0.2">
      <c r="A362" s="50">
        <v>21</v>
      </c>
      <c r="B362" s="50">
        <v>3</v>
      </c>
      <c r="C362" s="50">
        <v>18.519719999999996</v>
      </c>
      <c r="D362" s="50">
        <v>0</v>
      </c>
      <c r="E362" s="50">
        <v>2.5099999999999998</v>
      </c>
      <c r="F362" s="50">
        <v>2</v>
      </c>
      <c r="G362" s="50">
        <v>2.3959999999999999E-2</v>
      </c>
      <c r="H362" s="50">
        <v>0.22824000000000003</v>
      </c>
      <c r="I362" s="50">
        <v>-13.560000000000002</v>
      </c>
      <c r="J362" s="50">
        <v>74.09208000000001</v>
      </c>
      <c r="K362" s="50">
        <v>0.53380000000000005</v>
      </c>
    </row>
    <row r="363" spans="1:11" ht="15.75" customHeight="1" x14ac:dyDescent="0.2">
      <c r="A363" s="51">
        <v>21</v>
      </c>
      <c r="B363" s="51">
        <v>3</v>
      </c>
      <c r="C363" s="51">
        <v>10.375119999999999</v>
      </c>
      <c r="D363" s="51">
        <v>0</v>
      </c>
      <c r="E363" s="51">
        <v>1.91</v>
      </c>
      <c r="F363" s="51">
        <v>2</v>
      </c>
      <c r="G363" s="51">
        <v>3.8240000000000003E-2</v>
      </c>
      <c r="H363" s="51">
        <v>0.15812000000000001</v>
      </c>
      <c r="I363" s="51">
        <v>-0.39200000000000018</v>
      </c>
      <c r="J363" s="51">
        <v>24.215880000000002</v>
      </c>
      <c r="K363" s="51">
        <v>0.32295999999999997</v>
      </c>
    </row>
    <row r="364" spans="1:11" ht="15.75" customHeight="1" x14ac:dyDescent="0.2">
      <c r="A364" s="48">
        <v>22</v>
      </c>
      <c r="B364" s="48">
        <v>1</v>
      </c>
      <c r="C364" s="48">
        <v>13.647518518518519</v>
      </c>
      <c r="D364" s="48">
        <v>1</v>
      </c>
      <c r="E364" s="48">
        <v>11.59</v>
      </c>
      <c r="F364" s="48">
        <v>4</v>
      </c>
      <c r="G364" s="48">
        <v>0</v>
      </c>
      <c r="H364" s="48">
        <v>0.17462962962962966</v>
      </c>
      <c r="I364" s="48">
        <v>0.78148148148148167</v>
      </c>
      <c r="J364" s="48">
        <v>90.120444444444445</v>
      </c>
      <c r="K364" s="48">
        <v>0.82170370370370371</v>
      </c>
    </row>
    <row r="365" spans="1:11" ht="15.75" customHeight="1" x14ac:dyDescent="0.2">
      <c r="A365" s="49">
        <v>22</v>
      </c>
      <c r="B365" s="49">
        <v>1</v>
      </c>
      <c r="C365" s="49">
        <v>16.055777777777777</v>
      </c>
      <c r="D365" s="49">
        <v>1</v>
      </c>
      <c r="E365" s="49">
        <v>24.36</v>
      </c>
      <c r="F365" s="49">
        <v>4</v>
      </c>
      <c r="G365" s="49">
        <v>0</v>
      </c>
      <c r="H365" s="49">
        <v>0.10044444444444445</v>
      </c>
      <c r="I365" s="49">
        <v>-0.26296296296296301</v>
      </c>
      <c r="J365" s="49">
        <v>139.23203703703706</v>
      </c>
      <c r="K365" s="49">
        <v>1.0024074074074074</v>
      </c>
    </row>
    <row r="366" spans="1:11" ht="15.75" customHeight="1" x14ac:dyDescent="0.2">
      <c r="A366" s="50">
        <v>22</v>
      </c>
      <c r="B366" s="50">
        <v>1</v>
      </c>
      <c r="C366" s="50">
        <v>11.066629629629631</v>
      </c>
      <c r="D366" s="50">
        <v>0</v>
      </c>
      <c r="E366" s="50">
        <v>6.11</v>
      </c>
      <c r="F366" s="50">
        <v>3</v>
      </c>
      <c r="G366" s="50">
        <v>8.6296296296296295E-3</v>
      </c>
      <c r="H366" s="50">
        <v>7.8703703703703706E-2</v>
      </c>
      <c r="I366" s="50">
        <v>-17.711111111111112</v>
      </c>
      <c r="J366" s="50">
        <v>85.086629629629613</v>
      </c>
      <c r="K366" s="50">
        <v>0.24774074074074079</v>
      </c>
    </row>
    <row r="367" spans="1:11" ht="15.75" customHeight="1" x14ac:dyDescent="0.2">
      <c r="A367" s="49">
        <v>22</v>
      </c>
      <c r="B367" s="49">
        <v>1</v>
      </c>
      <c r="C367" s="49">
        <v>16.764222222222223</v>
      </c>
      <c r="D367" s="49">
        <v>0</v>
      </c>
      <c r="E367" s="49">
        <v>5.59</v>
      </c>
      <c r="F367" s="49">
        <v>3</v>
      </c>
      <c r="G367" s="49">
        <v>0</v>
      </c>
      <c r="H367" s="49">
        <v>0.13955555555555557</v>
      </c>
      <c r="I367" s="49">
        <v>-0.82592592592592584</v>
      </c>
      <c r="J367" s="49">
        <v>75.454407407407416</v>
      </c>
      <c r="K367" s="49">
        <v>0.11177777777777778</v>
      </c>
    </row>
    <row r="368" spans="1:11" ht="15.75" customHeight="1" x14ac:dyDescent="0.2">
      <c r="A368" s="50">
        <v>22</v>
      </c>
      <c r="B368" s="50">
        <v>1</v>
      </c>
      <c r="C368" s="50">
        <v>15.726925925925926</v>
      </c>
      <c r="D368" s="50">
        <v>0</v>
      </c>
      <c r="E368" s="50">
        <v>4.72</v>
      </c>
      <c r="F368" s="50">
        <v>2</v>
      </c>
      <c r="G368" s="50">
        <v>0</v>
      </c>
      <c r="H368" s="50">
        <v>0.12314814814814817</v>
      </c>
      <c r="I368" s="50">
        <v>-10.822222222222225</v>
      </c>
      <c r="J368" s="50">
        <v>0</v>
      </c>
      <c r="K368" s="50">
        <v>-0.45559259259259266</v>
      </c>
    </row>
    <row r="369" spans="1:11" ht="15.75" customHeight="1" x14ac:dyDescent="0.2">
      <c r="A369" s="51">
        <v>22</v>
      </c>
      <c r="B369" s="51">
        <v>1</v>
      </c>
      <c r="C369" s="51">
        <v>11.580444444444447</v>
      </c>
      <c r="D369" s="51">
        <v>1</v>
      </c>
      <c r="E369" s="51">
        <v>6.3</v>
      </c>
      <c r="F369" s="51">
        <v>2</v>
      </c>
      <c r="G369" s="51">
        <v>1.1370370370370371E-2</v>
      </c>
      <c r="H369" s="51">
        <v>5.566666666666667E-2</v>
      </c>
      <c r="I369" s="51">
        <v>-7.4074074074072247E-3</v>
      </c>
      <c r="J369" s="51">
        <v>18.192185185185192</v>
      </c>
      <c r="K369" s="51">
        <v>0.47614814814814826</v>
      </c>
    </row>
    <row r="370" spans="1:11" ht="15.75" customHeight="1" x14ac:dyDescent="0.2">
      <c r="A370" s="48">
        <v>22</v>
      </c>
      <c r="B370" s="48">
        <v>2</v>
      </c>
      <c r="C370" s="48">
        <v>8.9774224311618536</v>
      </c>
      <c r="D370" s="48">
        <v>0</v>
      </c>
      <c r="E370" s="48">
        <v>5.9</v>
      </c>
      <c r="F370" s="48">
        <v>4</v>
      </c>
      <c r="G370" s="48">
        <v>0</v>
      </c>
      <c r="H370" s="48">
        <v>0.19376158495634824</v>
      </c>
      <c r="I370" s="48">
        <v>-4.1019476158495554</v>
      </c>
      <c r="J370" s="48">
        <v>23.056525184687708</v>
      </c>
      <c r="K370" s="48">
        <v>1.0654795164539959</v>
      </c>
    </row>
    <row r="371" spans="1:11" ht="15.75" customHeight="1" x14ac:dyDescent="0.2">
      <c r="A371" s="49">
        <v>22</v>
      </c>
      <c r="B371" s="49">
        <v>2</v>
      </c>
      <c r="C371" s="49">
        <v>26.428874412357285</v>
      </c>
      <c r="D371" s="49">
        <v>1</v>
      </c>
      <c r="E371" s="49">
        <v>10.5</v>
      </c>
      <c r="F371" s="49">
        <v>4</v>
      </c>
      <c r="G371" s="49">
        <v>0</v>
      </c>
      <c r="H371" s="49">
        <v>0.29600268636668853</v>
      </c>
      <c r="I371" s="49">
        <v>-4.3586299529886026E-2</v>
      </c>
      <c r="J371" s="49">
        <v>0</v>
      </c>
      <c r="K371" s="49">
        <v>0.77243787777031614</v>
      </c>
    </row>
    <row r="372" spans="1:11" ht="15.75" customHeight="1" x14ac:dyDescent="0.2">
      <c r="A372" s="50">
        <v>22</v>
      </c>
      <c r="B372" s="50">
        <v>2</v>
      </c>
      <c r="C372" s="50">
        <v>28.851125587642688</v>
      </c>
      <c r="D372" s="50">
        <v>0</v>
      </c>
      <c r="E372" s="50">
        <v>4.13</v>
      </c>
      <c r="F372" s="50">
        <v>3</v>
      </c>
      <c r="G372" s="50">
        <v>0</v>
      </c>
      <c r="H372" s="50">
        <v>0.26510946944258174</v>
      </c>
      <c r="I372" s="50">
        <v>-11.987374076561451</v>
      </c>
      <c r="J372" s="50">
        <v>0</v>
      </c>
      <c r="K372" s="50">
        <v>0.48988985896574894</v>
      </c>
    </row>
    <row r="373" spans="1:11" ht="15.75" customHeight="1" x14ac:dyDescent="0.2">
      <c r="A373" s="49">
        <v>22</v>
      </c>
      <c r="B373" s="49">
        <v>2</v>
      </c>
      <c r="C373" s="49">
        <v>28.227519811954437</v>
      </c>
      <c r="D373" s="49">
        <v>0</v>
      </c>
      <c r="E373" s="49">
        <v>5.27</v>
      </c>
      <c r="F373" s="49">
        <v>3</v>
      </c>
      <c r="G373" s="49">
        <v>0</v>
      </c>
      <c r="H373" s="49">
        <v>0.25196910678307627</v>
      </c>
      <c r="I373" s="49">
        <v>-1.2024177300201473</v>
      </c>
      <c r="J373" s="49">
        <v>0</v>
      </c>
      <c r="K373" s="49">
        <v>0.36751712558764277</v>
      </c>
    </row>
    <row r="374" spans="1:11" ht="15.75" customHeight="1" x14ac:dyDescent="0.2">
      <c r="A374" s="50">
        <v>22</v>
      </c>
      <c r="B374" s="50">
        <v>2</v>
      </c>
      <c r="C374" s="50">
        <v>28.512048354600434</v>
      </c>
      <c r="D374" s="50">
        <v>0</v>
      </c>
      <c r="E374" s="50">
        <v>3.43</v>
      </c>
      <c r="F374" s="50">
        <v>2</v>
      </c>
      <c r="G374" s="50">
        <v>0</v>
      </c>
      <c r="H374" s="50">
        <v>0.25399932840832773</v>
      </c>
      <c r="I374" s="50">
        <v>-1.7685695097380776</v>
      </c>
      <c r="J374" s="50">
        <v>0</v>
      </c>
      <c r="K374" s="50">
        <v>0.67879852249832096</v>
      </c>
    </row>
    <row r="375" spans="1:11" ht="15.75" customHeight="1" x14ac:dyDescent="0.2">
      <c r="A375" s="51">
        <v>22</v>
      </c>
      <c r="B375" s="51">
        <v>2</v>
      </c>
      <c r="C375" s="51">
        <v>26.519819341840147</v>
      </c>
      <c r="D375" s="51">
        <v>0</v>
      </c>
      <c r="E375" s="51">
        <v>4</v>
      </c>
      <c r="F375" s="51">
        <v>2</v>
      </c>
      <c r="G375" s="51">
        <v>0</v>
      </c>
      <c r="H375" s="51">
        <v>0.20459234385493641</v>
      </c>
      <c r="I375" s="51">
        <v>-11.65849563465412</v>
      </c>
      <c r="J375" s="51">
        <v>12.204104096709209</v>
      </c>
      <c r="K375" s="51">
        <v>0.66148085963734071</v>
      </c>
    </row>
    <row r="376" spans="1:11" ht="15.75" customHeight="1" x14ac:dyDescent="0.2">
      <c r="A376" s="48">
        <v>22</v>
      </c>
      <c r="B376" s="48">
        <v>3</v>
      </c>
      <c r="C376" s="48">
        <v>12.858730769230771</v>
      </c>
      <c r="D376" s="48">
        <v>0</v>
      </c>
      <c r="E376" s="48">
        <v>5.9</v>
      </c>
      <c r="F376" s="48">
        <v>4</v>
      </c>
      <c r="G376" s="48">
        <v>0</v>
      </c>
      <c r="H376" s="48">
        <v>0.18850000000000003</v>
      </c>
      <c r="I376" s="48">
        <v>0.98076923076923073</v>
      </c>
      <c r="J376" s="48">
        <v>26.339653846153848</v>
      </c>
      <c r="K376" s="48">
        <v>0.88842307692307698</v>
      </c>
    </row>
    <row r="377" spans="1:11" ht="15.75" customHeight="1" x14ac:dyDescent="0.2">
      <c r="A377" s="49">
        <v>22</v>
      </c>
      <c r="B377" s="49">
        <v>3</v>
      </c>
      <c r="C377" s="49">
        <v>15.95073076923077</v>
      </c>
      <c r="D377" s="49">
        <v>3</v>
      </c>
      <c r="E377" s="49">
        <v>17.309999999999999</v>
      </c>
      <c r="F377" s="49">
        <v>4</v>
      </c>
      <c r="G377" s="49">
        <v>8.6807692307692294E-2</v>
      </c>
      <c r="H377" s="49">
        <v>9.246153846153847E-2</v>
      </c>
      <c r="I377" s="49">
        <v>4.1192307692307688</v>
      </c>
      <c r="J377" s="49">
        <v>3.9719615384615383</v>
      </c>
      <c r="K377" s="49">
        <v>0.89330769230769236</v>
      </c>
    </row>
    <row r="378" spans="1:11" ht="15.75" customHeight="1" x14ac:dyDescent="0.2">
      <c r="A378" s="50">
        <v>22</v>
      </c>
      <c r="B378" s="50">
        <v>3</v>
      </c>
      <c r="C378" s="50">
        <v>11.032500000000001</v>
      </c>
      <c r="D378" s="50">
        <v>1</v>
      </c>
      <c r="E378" s="50">
        <v>8.4</v>
      </c>
      <c r="F378" s="50">
        <v>3</v>
      </c>
      <c r="G378" s="50">
        <v>0</v>
      </c>
      <c r="H378" s="50">
        <v>0.18646153846153846</v>
      </c>
      <c r="I378" s="50">
        <v>-23.415384615384614</v>
      </c>
      <c r="J378" s="50">
        <v>8.7145384615384618</v>
      </c>
      <c r="K378" s="50">
        <v>0.32307692307692287</v>
      </c>
    </row>
    <row r="379" spans="1:11" ht="15.75" customHeight="1" x14ac:dyDescent="0.2">
      <c r="A379" s="49">
        <v>22</v>
      </c>
      <c r="B379" s="49">
        <v>3</v>
      </c>
      <c r="C379" s="49">
        <v>14.437192307692309</v>
      </c>
      <c r="D379" s="49">
        <v>0</v>
      </c>
      <c r="E379" s="49">
        <v>4.26</v>
      </c>
      <c r="F379" s="49">
        <v>3</v>
      </c>
      <c r="G379" s="49">
        <v>2.5500000000000002E-2</v>
      </c>
      <c r="H379" s="49">
        <v>0.11453846153846153</v>
      </c>
      <c r="I379" s="49">
        <v>-2.773076923076923</v>
      </c>
      <c r="J379" s="49">
        <v>10.316961538461538</v>
      </c>
      <c r="K379" s="49">
        <v>0.2363076923076923</v>
      </c>
    </row>
    <row r="380" spans="1:11" ht="15.75" customHeight="1" x14ac:dyDescent="0.2">
      <c r="A380" s="50">
        <v>22</v>
      </c>
      <c r="B380" s="50">
        <v>3</v>
      </c>
      <c r="C380" s="50">
        <v>13.837884615384613</v>
      </c>
      <c r="D380" s="50">
        <v>0</v>
      </c>
      <c r="E380" s="50">
        <v>3.08</v>
      </c>
      <c r="F380" s="50">
        <v>2</v>
      </c>
      <c r="G380" s="50">
        <v>2.7538461538461536E-2</v>
      </c>
      <c r="H380" s="50">
        <v>9.1923076923076899E-2</v>
      </c>
      <c r="I380" s="50">
        <v>-11.242307692307698</v>
      </c>
      <c r="J380" s="50">
        <v>40.422730769230768</v>
      </c>
      <c r="K380" s="50">
        <v>-4.373076923076924E-2</v>
      </c>
    </row>
    <row r="381" spans="1:11" ht="15.75" customHeight="1" x14ac:dyDescent="0.2">
      <c r="A381" s="51">
        <v>22</v>
      </c>
      <c r="B381" s="51">
        <v>3</v>
      </c>
      <c r="C381" s="51">
        <v>10.879807692307692</v>
      </c>
      <c r="D381" s="51">
        <v>1</v>
      </c>
      <c r="E381" s="51">
        <v>5.94</v>
      </c>
      <c r="F381" s="51">
        <v>2</v>
      </c>
      <c r="G381" s="51">
        <v>9.8461538461538465E-3</v>
      </c>
      <c r="H381" s="51">
        <v>0.13530769230769232</v>
      </c>
      <c r="I381" s="51">
        <v>-2.057692307692307</v>
      </c>
      <c r="J381" s="51">
        <v>80.745307692307705</v>
      </c>
      <c r="K381" s="51">
        <v>0.25265384615384617</v>
      </c>
    </row>
    <row r="382" spans="1:11" ht="15.75" customHeight="1" x14ac:dyDescent="0.2">
      <c r="A382" s="48">
        <v>23</v>
      </c>
      <c r="B382" s="48">
        <v>1</v>
      </c>
      <c r="C382" s="48">
        <v>14.580061224489796</v>
      </c>
      <c r="D382" s="48">
        <v>0</v>
      </c>
      <c r="E382" s="48">
        <v>3.78</v>
      </c>
      <c r="F382" s="48">
        <v>4</v>
      </c>
      <c r="G382" s="48">
        <v>0</v>
      </c>
      <c r="H382" s="48">
        <v>0.14320408163265305</v>
      </c>
      <c r="I382" s="48">
        <v>-0.46326530612244909</v>
      </c>
      <c r="J382" s="48">
        <v>0</v>
      </c>
      <c r="K382" s="48">
        <v>-7.0408163265305796E-3</v>
      </c>
    </row>
    <row r="383" spans="1:11" ht="15.75" customHeight="1" x14ac:dyDescent="0.2">
      <c r="A383" s="49">
        <v>23</v>
      </c>
      <c r="B383" s="49">
        <v>1</v>
      </c>
      <c r="C383" s="49">
        <v>12.779775510204081</v>
      </c>
      <c r="D383" s="49">
        <v>0</v>
      </c>
      <c r="E383" s="49">
        <v>8.58</v>
      </c>
      <c r="F383" s="49">
        <v>4</v>
      </c>
      <c r="G383" s="49">
        <v>3.3040816326530609E-2</v>
      </c>
      <c r="H383" s="49">
        <v>0.1435714285714286</v>
      </c>
      <c r="I383" s="49">
        <v>-7.6612244897959147</v>
      </c>
      <c r="J383" s="49">
        <v>0</v>
      </c>
      <c r="K383" s="49">
        <v>0.52377551020408175</v>
      </c>
    </row>
    <row r="384" spans="1:11" ht="15.75" customHeight="1" x14ac:dyDescent="0.2">
      <c r="A384" s="50">
        <v>23</v>
      </c>
      <c r="B384" s="50">
        <v>1</v>
      </c>
      <c r="C384" s="50">
        <v>17.185673469387758</v>
      </c>
      <c r="D384" s="50">
        <v>1</v>
      </c>
      <c r="E384" s="50">
        <v>4.88</v>
      </c>
      <c r="F384" s="50">
        <v>3</v>
      </c>
      <c r="G384" s="50">
        <v>9.0816326530612241E-3</v>
      </c>
      <c r="H384" s="50">
        <v>0.11112244897959184</v>
      </c>
      <c r="I384" s="50">
        <v>-6.5632653061224469</v>
      </c>
      <c r="J384" s="50">
        <v>17.216489795918367</v>
      </c>
      <c r="K384" s="50">
        <v>0.21395918367346942</v>
      </c>
    </row>
    <row r="385" spans="1:11" ht="15.75" customHeight="1" x14ac:dyDescent="0.2">
      <c r="A385" s="49">
        <v>23</v>
      </c>
      <c r="B385" s="49">
        <v>1</v>
      </c>
      <c r="C385" s="49">
        <v>9.3764897959183653</v>
      </c>
      <c r="D385" s="49">
        <v>0</v>
      </c>
      <c r="E385" s="49">
        <v>2.2799999999999998</v>
      </c>
      <c r="F385" s="49">
        <v>3</v>
      </c>
      <c r="G385" s="49">
        <v>7.2857142857142851E-3</v>
      </c>
      <c r="H385" s="49">
        <v>5.781632653061225E-2</v>
      </c>
      <c r="I385" s="49">
        <v>0.28979591836734697</v>
      </c>
      <c r="J385" s="49">
        <v>14.334836734693884</v>
      </c>
      <c r="K385" s="49">
        <v>3.9265306122448981E-2</v>
      </c>
    </row>
    <row r="386" spans="1:11" ht="15.75" customHeight="1" x14ac:dyDescent="0.2">
      <c r="A386" s="50">
        <v>23</v>
      </c>
      <c r="B386" s="50">
        <v>1</v>
      </c>
      <c r="C386" s="50">
        <v>7.5652857142857153</v>
      </c>
      <c r="D386" s="50">
        <v>0</v>
      </c>
      <c r="E386" s="50">
        <v>1.88</v>
      </c>
      <c r="F386" s="50">
        <v>2</v>
      </c>
      <c r="G386" s="50">
        <v>2.7367346938775509E-2</v>
      </c>
      <c r="H386" s="50">
        <v>6.8020408163265308E-2</v>
      </c>
      <c r="I386" s="50">
        <v>-10.273469387755101</v>
      </c>
      <c r="J386" s="50">
        <v>12.03091836734694</v>
      </c>
      <c r="K386" s="50">
        <v>8.551020408163261E-2</v>
      </c>
    </row>
    <row r="387" spans="1:11" ht="15.75" customHeight="1" x14ac:dyDescent="0.2">
      <c r="A387" s="51">
        <v>23</v>
      </c>
      <c r="B387" s="51">
        <v>1</v>
      </c>
      <c r="C387" s="51">
        <v>9.4232448979591812</v>
      </c>
      <c r="D387" s="51">
        <v>0</v>
      </c>
      <c r="E387" s="51">
        <v>2.67</v>
      </c>
      <c r="F387" s="51">
        <v>2</v>
      </c>
      <c r="G387" s="51">
        <v>7.4897959183673471E-3</v>
      </c>
      <c r="H387" s="51">
        <v>7.8102040816326532E-2</v>
      </c>
      <c r="I387" s="51">
        <v>7.7551020408163251E-2</v>
      </c>
      <c r="J387" s="51">
        <v>17.093551020408164</v>
      </c>
      <c r="K387" s="51">
        <v>-0.17361224489795909</v>
      </c>
    </row>
    <row r="388" spans="1:11" ht="15.75" customHeight="1" x14ac:dyDescent="0.2">
      <c r="A388" s="48">
        <v>23</v>
      </c>
      <c r="B388" s="48">
        <v>2</v>
      </c>
      <c r="C388" s="48">
        <v>6.8290314735336199</v>
      </c>
      <c r="D388" s="48">
        <v>0</v>
      </c>
      <c r="E388" s="48">
        <v>2.67</v>
      </c>
      <c r="F388" s="48">
        <v>4</v>
      </c>
      <c r="G388" s="48">
        <v>0</v>
      </c>
      <c r="H388" s="48">
        <v>0.13980257510729585</v>
      </c>
      <c r="I388" s="48">
        <v>-1.3056509298998509</v>
      </c>
      <c r="J388" s="48">
        <v>24.557347639484984</v>
      </c>
      <c r="K388" s="48">
        <v>1.1683276108726721</v>
      </c>
    </row>
    <row r="389" spans="1:11" ht="15.75" customHeight="1" x14ac:dyDescent="0.2">
      <c r="A389" s="49">
        <v>23</v>
      </c>
      <c r="B389" s="49">
        <v>2</v>
      </c>
      <c r="C389" s="49">
        <v>21.159751072961374</v>
      </c>
      <c r="D389" s="49">
        <v>1</v>
      </c>
      <c r="E389" s="49">
        <v>5.55</v>
      </c>
      <c r="F389" s="49">
        <v>4</v>
      </c>
      <c r="G389" s="49">
        <v>0</v>
      </c>
      <c r="H389" s="49">
        <v>0.20972460658083072</v>
      </c>
      <c r="I389" s="49">
        <v>8.3619456366237438E-2</v>
      </c>
      <c r="J389" s="49">
        <v>0</v>
      </c>
      <c r="K389" s="49">
        <v>0.82841344778254589</v>
      </c>
    </row>
    <row r="390" spans="1:11" ht="15.75" customHeight="1" x14ac:dyDescent="0.2">
      <c r="A390" s="50">
        <v>23</v>
      </c>
      <c r="B390" s="50">
        <v>2</v>
      </c>
      <c r="C390" s="50">
        <v>24.101935622317583</v>
      </c>
      <c r="D390" s="50">
        <v>0</v>
      </c>
      <c r="E390" s="50">
        <v>2.54</v>
      </c>
      <c r="F390" s="50">
        <v>3</v>
      </c>
      <c r="G390" s="50">
        <v>0</v>
      </c>
      <c r="H390" s="50">
        <v>0.23643562231759496</v>
      </c>
      <c r="I390" s="50">
        <v>-0.14012875536480712</v>
      </c>
      <c r="J390" s="50">
        <v>0</v>
      </c>
      <c r="K390" s="50">
        <v>0.20889628040057179</v>
      </c>
    </row>
    <row r="391" spans="1:11" ht="15.75" customHeight="1" x14ac:dyDescent="0.2">
      <c r="A391" s="49">
        <v>23</v>
      </c>
      <c r="B391" s="49">
        <v>2</v>
      </c>
      <c r="C391" s="49">
        <v>22.124927753934152</v>
      </c>
      <c r="D391" s="49">
        <v>0</v>
      </c>
      <c r="E391" s="49">
        <v>3.74</v>
      </c>
      <c r="F391" s="49">
        <v>3</v>
      </c>
      <c r="G391" s="49">
        <v>0</v>
      </c>
      <c r="H391" s="49">
        <v>0.14966666666666631</v>
      </c>
      <c r="I391" s="49">
        <v>-12.968097281831181</v>
      </c>
      <c r="J391" s="49">
        <v>0</v>
      </c>
      <c r="K391" s="49">
        <v>-0.37311087267525039</v>
      </c>
    </row>
    <row r="392" spans="1:11" ht="15.75" customHeight="1" x14ac:dyDescent="0.2">
      <c r="A392" s="50">
        <v>23</v>
      </c>
      <c r="B392" s="50">
        <v>2</v>
      </c>
      <c r="C392" s="50">
        <v>21.253831902718229</v>
      </c>
      <c r="D392" s="50">
        <v>0</v>
      </c>
      <c r="E392" s="50">
        <v>1.97</v>
      </c>
      <c r="F392" s="50">
        <v>2</v>
      </c>
      <c r="G392" s="50">
        <v>0</v>
      </c>
      <c r="H392" s="50">
        <v>0.17471387696709509</v>
      </c>
      <c r="I392" s="50">
        <v>-9.4635193133046927E-2</v>
      </c>
      <c r="J392" s="50">
        <v>42.745949928469251</v>
      </c>
      <c r="K392" s="50">
        <v>0.45762088698140324</v>
      </c>
    </row>
    <row r="393" spans="1:11" ht="15.75" customHeight="1" x14ac:dyDescent="0.2">
      <c r="A393" s="51">
        <v>23</v>
      </c>
      <c r="B393" s="51">
        <v>2</v>
      </c>
      <c r="C393" s="51">
        <v>22.312592989985703</v>
      </c>
      <c r="D393" s="51">
        <v>0</v>
      </c>
      <c r="E393" s="51">
        <v>2.31</v>
      </c>
      <c r="F393" s="51">
        <v>2</v>
      </c>
      <c r="G393" s="51">
        <v>0</v>
      </c>
      <c r="H393" s="51">
        <v>0.17896423462088687</v>
      </c>
      <c r="I393" s="51">
        <v>-7.2174535050071084E-2</v>
      </c>
      <c r="J393" s="51">
        <v>87.027449928469181</v>
      </c>
      <c r="K393" s="51">
        <v>0.4660057224606568</v>
      </c>
    </row>
    <row r="394" spans="1:11" ht="15.75" customHeight="1" x14ac:dyDescent="0.2">
      <c r="A394" s="48">
        <v>23</v>
      </c>
      <c r="B394" s="48">
        <v>3</v>
      </c>
      <c r="C394" s="48">
        <v>12.366045454545455</v>
      </c>
      <c r="D394" s="48">
        <v>0</v>
      </c>
      <c r="E394" s="48">
        <v>3.08</v>
      </c>
      <c r="F394" s="48">
        <v>4</v>
      </c>
      <c r="G394" s="48">
        <v>0</v>
      </c>
      <c r="H394" s="48">
        <v>0.16381818181818183</v>
      </c>
      <c r="I394" s="48">
        <v>-0.21363636363636368</v>
      </c>
      <c r="J394" s="48">
        <v>0</v>
      </c>
      <c r="K394" s="48">
        <v>8.2636363636363633E-2</v>
      </c>
    </row>
    <row r="395" spans="1:11" ht="15.75" customHeight="1" x14ac:dyDescent="0.2">
      <c r="A395" s="49">
        <v>23</v>
      </c>
      <c r="B395" s="49">
        <v>3</v>
      </c>
      <c r="C395" s="49">
        <v>15.042227272727274</v>
      </c>
      <c r="D395" s="49">
        <v>0</v>
      </c>
      <c r="E395" s="49">
        <v>3.77</v>
      </c>
      <c r="F395" s="49">
        <v>4</v>
      </c>
      <c r="G395" s="49">
        <v>0</v>
      </c>
      <c r="H395" s="49">
        <v>0.10654545454545454</v>
      </c>
      <c r="I395" s="49">
        <v>-0.24999999999999997</v>
      </c>
      <c r="J395" s="49">
        <v>37.084818181818179</v>
      </c>
      <c r="K395" s="49">
        <v>0.64427272727272744</v>
      </c>
    </row>
    <row r="396" spans="1:11" ht="15.75" customHeight="1" x14ac:dyDescent="0.2">
      <c r="A396" s="50">
        <v>23</v>
      </c>
      <c r="B396" s="50">
        <v>3</v>
      </c>
      <c r="C396" s="50">
        <v>7.8571818181818198</v>
      </c>
      <c r="D396" s="50">
        <v>0</v>
      </c>
      <c r="E396" s="50">
        <v>2.75</v>
      </c>
      <c r="F396" s="50">
        <v>3</v>
      </c>
      <c r="G396" s="50">
        <v>0.17459090909090907</v>
      </c>
      <c r="H396" s="50">
        <v>5.4590909090909093E-2</v>
      </c>
      <c r="I396" s="50">
        <v>-6.7954545454545459</v>
      </c>
      <c r="J396" s="50">
        <v>14.519727272727273</v>
      </c>
      <c r="K396" s="50">
        <v>0.18277272727272723</v>
      </c>
    </row>
    <row r="397" spans="1:11" ht="15.75" customHeight="1" x14ac:dyDescent="0.2">
      <c r="A397" s="49">
        <v>23</v>
      </c>
      <c r="B397" s="49">
        <v>3</v>
      </c>
      <c r="C397" s="49">
        <v>15.594500000000004</v>
      </c>
      <c r="D397" s="49">
        <v>1</v>
      </c>
      <c r="E397" s="49">
        <v>4.68</v>
      </c>
      <c r="F397" s="49">
        <v>3</v>
      </c>
      <c r="G397" s="49">
        <v>4.2909090909090911E-2</v>
      </c>
      <c r="H397" s="49">
        <v>0.22950000000000001</v>
      </c>
      <c r="I397" s="49">
        <v>-21.759090909090904</v>
      </c>
      <c r="J397" s="49">
        <v>59.160318181818162</v>
      </c>
      <c r="K397" s="49">
        <v>9.0409090909090897E-2</v>
      </c>
    </row>
    <row r="398" spans="1:11" ht="15.75" customHeight="1" x14ac:dyDescent="0.2">
      <c r="A398" s="50">
        <v>23</v>
      </c>
      <c r="B398" s="50">
        <v>3</v>
      </c>
      <c r="C398" s="50">
        <v>13.37168181818182</v>
      </c>
      <c r="D398" s="50">
        <v>0</v>
      </c>
      <c r="E398" s="50">
        <v>1.71</v>
      </c>
      <c r="F398" s="50">
        <v>2</v>
      </c>
      <c r="G398" s="50">
        <v>9.9090909090909091E-3</v>
      </c>
      <c r="H398" s="50">
        <v>0.22286363636363637</v>
      </c>
      <c r="I398" s="50">
        <v>-3.5136363636363637</v>
      </c>
      <c r="J398" s="50">
        <v>25.65545454545455</v>
      </c>
      <c r="K398" s="50">
        <v>9.8636363636363574E-3</v>
      </c>
    </row>
    <row r="399" spans="1:11" ht="15.75" customHeight="1" x14ac:dyDescent="0.2">
      <c r="A399" s="51">
        <v>23</v>
      </c>
      <c r="B399" s="51">
        <v>3</v>
      </c>
      <c r="C399" s="51">
        <v>17.74313636363636</v>
      </c>
      <c r="D399" s="51">
        <v>0</v>
      </c>
      <c r="E399" s="51">
        <v>2.27</v>
      </c>
      <c r="F399" s="51">
        <v>2</v>
      </c>
      <c r="G399" s="51">
        <v>0</v>
      </c>
      <c r="H399" s="51">
        <v>0.14640909090909091</v>
      </c>
      <c r="I399" s="51">
        <v>-13.640909090909089</v>
      </c>
      <c r="J399" s="51">
        <v>11.50059090909091</v>
      </c>
      <c r="K399" s="51">
        <v>-0.22286363636363635</v>
      </c>
    </row>
    <row r="400" spans="1:11" ht="15.75" customHeight="1" x14ac:dyDescent="0.2">
      <c r="A400" s="48">
        <v>24</v>
      </c>
      <c r="B400" s="48">
        <v>1</v>
      </c>
      <c r="C400" s="48">
        <v>11.752625</v>
      </c>
      <c r="D400" s="48">
        <v>0</v>
      </c>
      <c r="E400" s="48">
        <v>7.06</v>
      </c>
      <c r="F400" s="48">
        <v>4</v>
      </c>
      <c r="G400" s="48">
        <v>0</v>
      </c>
      <c r="H400" s="48">
        <v>0.17500000000000004</v>
      </c>
      <c r="I400" s="48">
        <v>-0.24583333333333332</v>
      </c>
      <c r="J400" s="48">
        <v>9.9766666666666666</v>
      </c>
      <c r="K400" s="48">
        <v>-0.15208333333333332</v>
      </c>
    </row>
    <row r="401" spans="1:11" ht="15.75" customHeight="1" x14ac:dyDescent="0.2">
      <c r="A401" s="49">
        <v>24</v>
      </c>
      <c r="B401" s="49">
        <v>1</v>
      </c>
      <c r="C401" s="49">
        <v>16.505416666666669</v>
      </c>
      <c r="D401" s="49">
        <v>0</v>
      </c>
      <c r="E401" s="49">
        <v>13.61</v>
      </c>
      <c r="F401" s="49">
        <v>4</v>
      </c>
      <c r="G401" s="49">
        <v>1.75E-3</v>
      </c>
      <c r="H401" s="49">
        <v>8.216666666666668E-2</v>
      </c>
      <c r="I401" s="49">
        <v>-9.5833333333333381E-2</v>
      </c>
      <c r="J401" s="49">
        <v>139.41041666666669</v>
      </c>
      <c r="K401" s="49">
        <v>-2.2625000000000003E-2</v>
      </c>
    </row>
    <row r="402" spans="1:11" ht="15.75" customHeight="1" x14ac:dyDescent="0.2">
      <c r="A402" s="50">
        <v>24</v>
      </c>
      <c r="B402" s="50">
        <v>1</v>
      </c>
      <c r="C402" s="50">
        <v>11.226541666666668</v>
      </c>
      <c r="D402" s="50">
        <v>1</v>
      </c>
      <c r="E402" s="50">
        <v>4.6100000000000003</v>
      </c>
      <c r="F402" s="50">
        <v>3</v>
      </c>
      <c r="G402" s="50">
        <v>5.3083333333333323E-2</v>
      </c>
      <c r="H402" s="50">
        <v>8.0583333333333326E-2</v>
      </c>
      <c r="I402" s="50">
        <v>1.5208333333333333</v>
      </c>
      <c r="J402" s="50">
        <v>35.993041666666663</v>
      </c>
      <c r="K402" s="50">
        <v>-0.12258333333333332</v>
      </c>
    </row>
    <row r="403" spans="1:11" ht="15.75" customHeight="1" x14ac:dyDescent="0.2">
      <c r="A403" s="49">
        <v>24</v>
      </c>
      <c r="B403" s="49">
        <v>1</v>
      </c>
      <c r="C403" s="49">
        <v>12.635624999999999</v>
      </c>
      <c r="D403" s="49">
        <v>0</v>
      </c>
      <c r="E403" s="49">
        <v>4.41</v>
      </c>
      <c r="F403" s="49">
        <v>3</v>
      </c>
      <c r="G403" s="49">
        <v>1.3750000000000001E-3</v>
      </c>
      <c r="H403" s="49">
        <v>0.14116666666666669</v>
      </c>
      <c r="I403" s="49">
        <v>-22.933333333333326</v>
      </c>
      <c r="J403" s="49">
        <v>59.071249999999992</v>
      </c>
      <c r="K403" s="49">
        <v>0.12991666666666671</v>
      </c>
    </row>
    <row r="404" spans="1:11" ht="15.75" customHeight="1" x14ac:dyDescent="0.2">
      <c r="A404" s="50">
        <v>24</v>
      </c>
      <c r="B404" s="50">
        <v>1</v>
      </c>
      <c r="C404" s="50">
        <v>12.536125000000004</v>
      </c>
      <c r="D404" s="50">
        <v>0</v>
      </c>
      <c r="E404" s="50">
        <v>2.5299999999999998</v>
      </c>
      <c r="F404" s="50">
        <v>2</v>
      </c>
      <c r="G404" s="50">
        <v>1E-3</v>
      </c>
      <c r="H404" s="50">
        <v>9.0083333333333335E-2</v>
      </c>
      <c r="I404" s="50">
        <v>-0.80833333333333324</v>
      </c>
      <c r="J404" s="50">
        <v>22.021333333333331</v>
      </c>
      <c r="K404" s="50">
        <v>-0.28275</v>
      </c>
    </row>
    <row r="405" spans="1:11" ht="15.75" customHeight="1" x14ac:dyDescent="0.2">
      <c r="A405" s="51">
        <v>24</v>
      </c>
      <c r="B405" s="51">
        <v>1</v>
      </c>
      <c r="C405" s="51">
        <v>12.971416666666665</v>
      </c>
      <c r="D405" s="51">
        <v>0</v>
      </c>
      <c r="E405" s="51">
        <v>5.17</v>
      </c>
      <c r="F405" s="51">
        <v>2</v>
      </c>
      <c r="G405" s="51">
        <v>0</v>
      </c>
      <c r="H405" s="51">
        <v>7.0791666666666656E-2</v>
      </c>
      <c r="I405" s="51">
        <v>-10.887499999999998</v>
      </c>
      <c r="J405" s="51">
        <v>0</v>
      </c>
      <c r="K405" s="51">
        <v>-0.17729166666666665</v>
      </c>
    </row>
    <row r="406" spans="1:11" ht="15.75" customHeight="1" x14ac:dyDescent="0.2">
      <c r="A406" s="48">
        <v>24</v>
      </c>
      <c r="B406" s="48">
        <v>2</v>
      </c>
      <c r="C406" s="48">
        <v>12.291431107954544</v>
      </c>
      <c r="D406" s="48">
        <v>0</v>
      </c>
      <c r="E406" s="48">
        <v>4.03</v>
      </c>
      <c r="F406" s="48">
        <v>4</v>
      </c>
      <c r="G406" s="48">
        <v>0</v>
      </c>
      <c r="H406" s="48">
        <v>0.21596448863636375</v>
      </c>
      <c r="I406" s="48">
        <v>-0.18991477272727464</v>
      </c>
      <c r="J406" s="48">
        <v>49.422593039772728</v>
      </c>
      <c r="K406" s="48">
        <v>0.68245667613636474</v>
      </c>
    </row>
    <row r="407" spans="1:11" ht="15.75" customHeight="1" x14ac:dyDescent="0.2">
      <c r="A407" s="49">
        <v>24</v>
      </c>
      <c r="B407" s="49">
        <v>2</v>
      </c>
      <c r="C407" s="49">
        <v>22.271618607954558</v>
      </c>
      <c r="D407" s="49">
        <v>1</v>
      </c>
      <c r="E407" s="49">
        <v>6.32</v>
      </c>
      <c r="F407" s="49">
        <v>4</v>
      </c>
      <c r="G407" s="49">
        <v>3.2706676136363293E-2</v>
      </c>
      <c r="H407" s="49">
        <v>0.14596022727272689</v>
      </c>
      <c r="I407" s="49">
        <v>-8.7286931818182159E-2</v>
      </c>
      <c r="J407" s="49">
        <v>0</v>
      </c>
      <c r="K407" s="49">
        <v>0.16926562500000017</v>
      </c>
    </row>
    <row r="408" spans="1:11" ht="15.75" customHeight="1" x14ac:dyDescent="0.2">
      <c r="A408" s="50">
        <v>24</v>
      </c>
      <c r="B408" s="50">
        <v>2</v>
      </c>
      <c r="C408" s="50">
        <v>18.11231036931818</v>
      </c>
      <c r="D408" s="50">
        <v>1</v>
      </c>
      <c r="E408" s="50">
        <v>6.44</v>
      </c>
      <c r="F408" s="50">
        <v>3</v>
      </c>
      <c r="G408" s="50">
        <v>2.2272727272727279E-3</v>
      </c>
      <c r="H408" s="50">
        <v>0.23367045454545454</v>
      </c>
      <c r="I408" s="50">
        <v>-0.37982954545454528</v>
      </c>
      <c r="J408" s="50">
        <v>0</v>
      </c>
      <c r="K408" s="50">
        <v>0.23129616477272652</v>
      </c>
    </row>
    <row r="409" spans="1:11" ht="15.75" customHeight="1" x14ac:dyDescent="0.2">
      <c r="A409" s="49">
        <v>24</v>
      </c>
      <c r="B409" s="49">
        <v>2</v>
      </c>
      <c r="C409" s="49">
        <v>20.516164062500007</v>
      </c>
      <c r="D409" s="49">
        <v>0</v>
      </c>
      <c r="E409" s="49">
        <v>5.69</v>
      </c>
      <c r="F409" s="49">
        <v>3</v>
      </c>
      <c r="G409" s="49">
        <v>0</v>
      </c>
      <c r="H409" s="49">
        <v>0.16723295454545425</v>
      </c>
      <c r="I409" s="49">
        <v>-12.788352272727252</v>
      </c>
      <c r="J409" s="49">
        <v>0</v>
      </c>
      <c r="K409" s="49">
        <v>-9.2289772727272415E-2</v>
      </c>
    </row>
    <row r="410" spans="1:11" ht="15.75" customHeight="1" x14ac:dyDescent="0.2">
      <c r="A410" s="50">
        <v>24</v>
      </c>
      <c r="B410" s="50">
        <v>2</v>
      </c>
      <c r="C410" s="50">
        <v>23.5241761363637</v>
      </c>
      <c r="D410" s="50">
        <v>0</v>
      </c>
      <c r="E410" s="50">
        <v>2.81</v>
      </c>
      <c r="F410" s="50">
        <v>2</v>
      </c>
      <c r="G410" s="50">
        <v>0</v>
      </c>
      <c r="H410" s="50">
        <v>0.20973579545454502</v>
      </c>
      <c r="I410" s="50">
        <v>-0.21697443181818218</v>
      </c>
      <c r="J410" s="50">
        <v>0</v>
      </c>
      <c r="K410" s="50">
        <v>0.11882386363636374</v>
      </c>
    </row>
    <row r="411" spans="1:11" ht="15.75" customHeight="1" x14ac:dyDescent="0.2">
      <c r="A411" s="51">
        <v>24</v>
      </c>
      <c r="B411" s="51">
        <v>2</v>
      </c>
      <c r="C411" s="51">
        <v>23.370966619318132</v>
      </c>
      <c r="D411" s="51">
        <v>0</v>
      </c>
      <c r="E411" s="51">
        <v>2.1800000000000002</v>
      </c>
      <c r="F411" s="51">
        <v>2</v>
      </c>
      <c r="G411" s="51">
        <v>3.7954545454545459E-3</v>
      </c>
      <c r="H411" s="51">
        <v>0.1761619318181811</v>
      </c>
      <c r="I411" s="51">
        <v>2.9829545454542598E-3</v>
      </c>
      <c r="J411" s="51">
        <v>0</v>
      </c>
      <c r="K411" s="51">
        <v>-1.7836647727272711E-2</v>
      </c>
    </row>
    <row r="412" spans="1:11" ht="15.75" customHeight="1" x14ac:dyDescent="0.2">
      <c r="A412" s="48">
        <v>24</v>
      </c>
      <c r="B412" s="48">
        <v>3</v>
      </c>
      <c r="C412" s="48">
        <v>12.09873076923077</v>
      </c>
      <c r="D412" s="48">
        <v>0</v>
      </c>
      <c r="E412" s="48">
        <v>12.36</v>
      </c>
      <c r="F412" s="48">
        <v>4</v>
      </c>
      <c r="G412" s="48">
        <v>0</v>
      </c>
      <c r="H412" s="48">
        <v>0.15450000000000003</v>
      </c>
      <c r="I412" s="48">
        <v>-0.1884615384615384</v>
      </c>
      <c r="J412" s="48">
        <v>0</v>
      </c>
      <c r="K412" s="48">
        <v>-0.21711538461538465</v>
      </c>
    </row>
    <row r="413" spans="1:11" ht="15.75" customHeight="1" x14ac:dyDescent="0.2">
      <c r="A413" s="49">
        <v>24</v>
      </c>
      <c r="B413" s="49">
        <v>3</v>
      </c>
      <c r="C413" s="49">
        <v>14.295807692307694</v>
      </c>
      <c r="D413" s="49">
        <v>0</v>
      </c>
      <c r="E413" s="49">
        <v>5.29</v>
      </c>
      <c r="F413" s="49">
        <v>4</v>
      </c>
      <c r="G413" s="49">
        <v>0</v>
      </c>
      <c r="H413" s="49">
        <v>0.10103846153846155</v>
      </c>
      <c r="I413" s="49">
        <v>0.13461538461538458</v>
      </c>
      <c r="J413" s="49">
        <v>0</v>
      </c>
      <c r="K413" s="49">
        <v>-0.26257692307692304</v>
      </c>
    </row>
    <row r="414" spans="1:11" ht="15.75" customHeight="1" x14ac:dyDescent="0.2">
      <c r="A414" s="50">
        <v>24</v>
      </c>
      <c r="B414" s="50">
        <v>3</v>
      </c>
      <c r="C414" s="50">
        <v>9.6992307692307698</v>
      </c>
      <c r="D414" s="50">
        <v>0</v>
      </c>
      <c r="E414" s="50">
        <v>5.74</v>
      </c>
      <c r="F414" s="50">
        <v>3</v>
      </c>
      <c r="G414" s="50">
        <v>4.6730769230769235E-2</v>
      </c>
      <c r="H414" s="50">
        <v>0.14173076923076924</v>
      </c>
      <c r="I414" s="50">
        <v>-24.396153846153847</v>
      </c>
      <c r="J414" s="50">
        <v>22.532192307692306</v>
      </c>
      <c r="K414" s="50">
        <v>-0.14726923076923076</v>
      </c>
    </row>
    <row r="415" spans="1:11" ht="15.75" customHeight="1" x14ac:dyDescent="0.2">
      <c r="A415" s="49">
        <v>24</v>
      </c>
      <c r="B415" s="49">
        <v>3</v>
      </c>
      <c r="C415" s="49">
        <v>15.484076923076925</v>
      </c>
      <c r="D415" s="49">
        <v>0</v>
      </c>
      <c r="E415" s="49">
        <v>6.03</v>
      </c>
      <c r="F415" s="49">
        <v>3</v>
      </c>
      <c r="G415" s="49">
        <v>0</v>
      </c>
      <c r="H415" s="49">
        <v>8.9423076923076952E-2</v>
      </c>
      <c r="I415" s="49">
        <v>-0.91538461538461524</v>
      </c>
      <c r="J415" s="49">
        <v>43.500961538461532</v>
      </c>
      <c r="K415" s="49">
        <v>-6.3384615384615386E-2</v>
      </c>
    </row>
    <row r="416" spans="1:11" ht="15.75" customHeight="1" x14ac:dyDescent="0.2">
      <c r="A416" s="50">
        <v>24</v>
      </c>
      <c r="B416" s="50">
        <v>3</v>
      </c>
      <c r="C416" s="50">
        <v>16.515807692307696</v>
      </c>
      <c r="D416" s="50">
        <v>0</v>
      </c>
      <c r="E416" s="50">
        <v>2.59</v>
      </c>
      <c r="F416" s="50">
        <v>2</v>
      </c>
      <c r="G416" s="50">
        <v>0</v>
      </c>
      <c r="H416" s="50">
        <v>0.13811538461538461</v>
      </c>
      <c r="I416" s="50">
        <v>-13.307692307692303</v>
      </c>
      <c r="J416" s="50">
        <v>0</v>
      </c>
      <c r="K416" s="50">
        <v>-0.28053846153846151</v>
      </c>
    </row>
    <row r="417" spans="1:11" ht="15.75" customHeight="1" x14ac:dyDescent="0.2">
      <c r="A417" s="51">
        <v>24</v>
      </c>
      <c r="B417" s="51">
        <v>3</v>
      </c>
      <c r="C417" s="51">
        <v>10.559192307692307</v>
      </c>
      <c r="D417" s="51">
        <v>0</v>
      </c>
      <c r="E417" s="51">
        <v>2.5499999999999998</v>
      </c>
      <c r="F417" s="51">
        <v>2</v>
      </c>
      <c r="G417" s="51">
        <v>2.1923076923076922E-3</v>
      </c>
      <c r="H417" s="51">
        <v>5.7769230769230767E-2</v>
      </c>
      <c r="I417" s="51">
        <v>-0.20769230769230765</v>
      </c>
      <c r="J417" s="51">
        <v>0.28519230769230774</v>
      </c>
      <c r="K417" s="51">
        <v>-0.24580769230769234</v>
      </c>
    </row>
    <row r="418" spans="1:11" ht="15.75" customHeight="1" x14ac:dyDescent="0.2">
      <c r="A418" s="48">
        <v>25</v>
      </c>
      <c r="B418" s="48">
        <v>1</v>
      </c>
      <c r="C418" s="48">
        <v>10.925761904761906</v>
      </c>
      <c r="D418" s="48">
        <v>0</v>
      </c>
      <c r="E418" s="48">
        <v>4.0199999999999996</v>
      </c>
      <c r="F418" s="48">
        <v>4</v>
      </c>
      <c r="G418" s="48">
        <v>0</v>
      </c>
      <c r="H418" s="48">
        <v>0.15914285714285714</v>
      </c>
      <c r="I418" s="48">
        <v>1.0952380952380949</v>
      </c>
      <c r="J418" s="48">
        <v>10.637952380952381</v>
      </c>
      <c r="K418" s="48">
        <v>0.18280952380952381</v>
      </c>
    </row>
    <row r="419" spans="1:11" ht="15.75" customHeight="1" x14ac:dyDescent="0.2">
      <c r="A419" s="49">
        <v>25</v>
      </c>
      <c r="B419" s="49">
        <v>1</v>
      </c>
      <c r="C419" s="49">
        <v>15.818523809523802</v>
      </c>
      <c r="D419" s="49">
        <v>0</v>
      </c>
      <c r="E419" s="49">
        <v>5.5</v>
      </c>
      <c r="F419" s="49">
        <v>4</v>
      </c>
      <c r="G419" s="49">
        <v>0</v>
      </c>
      <c r="H419" s="49">
        <v>0.11142857142857142</v>
      </c>
      <c r="I419" s="49">
        <v>-3.8095238095238085E-2</v>
      </c>
      <c r="J419" s="49">
        <v>173.39004761904758</v>
      </c>
      <c r="K419" s="49">
        <v>0.38542857142857151</v>
      </c>
    </row>
    <row r="420" spans="1:11" ht="15.75" customHeight="1" x14ac:dyDescent="0.2">
      <c r="A420" s="50">
        <v>25</v>
      </c>
      <c r="B420" s="50">
        <v>1</v>
      </c>
      <c r="C420" s="50">
        <v>16.454666666666668</v>
      </c>
      <c r="D420" s="50">
        <v>0</v>
      </c>
      <c r="E420" s="50">
        <v>3.85</v>
      </c>
      <c r="F420" s="50">
        <v>3</v>
      </c>
      <c r="G420" s="50">
        <v>5.0000000000000001E-3</v>
      </c>
      <c r="H420" s="50">
        <v>9.6047619047619048E-2</v>
      </c>
      <c r="I420" s="50">
        <v>0.68095238095238098</v>
      </c>
      <c r="J420" s="50">
        <v>0</v>
      </c>
      <c r="K420" s="50">
        <v>0.25404761904761902</v>
      </c>
    </row>
    <row r="421" spans="1:11" ht="15.75" customHeight="1" x14ac:dyDescent="0.2">
      <c r="A421" s="49">
        <v>25</v>
      </c>
      <c r="B421" s="49">
        <v>1</v>
      </c>
      <c r="C421" s="49">
        <v>13.60795238095238</v>
      </c>
      <c r="D421" s="49">
        <v>0</v>
      </c>
      <c r="E421" s="49">
        <v>2.82</v>
      </c>
      <c r="F421" s="49">
        <v>3</v>
      </c>
      <c r="G421" s="49">
        <v>6.7142857142857134E-3</v>
      </c>
      <c r="H421" s="49">
        <v>0.17157142857142857</v>
      </c>
      <c r="I421" s="49">
        <v>-26.847619047619052</v>
      </c>
      <c r="J421" s="49">
        <v>24.364761904761906</v>
      </c>
      <c r="K421" s="49">
        <v>0.34552380952380951</v>
      </c>
    </row>
    <row r="422" spans="1:11" ht="15.75" customHeight="1" x14ac:dyDescent="0.2">
      <c r="A422" s="50">
        <v>25</v>
      </c>
      <c r="B422" s="50">
        <v>1</v>
      </c>
      <c r="C422" s="50">
        <v>17.675428571428572</v>
      </c>
      <c r="D422" s="50">
        <v>0</v>
      </c>
      <c r="E422" s="50">
        <v>1.74</v>
      </c>
      <c r="F422" s="50">
        <v>2</v>
      </c>
      <c r="G422" s="50">
        <v>0</v>
      </c>
      <c r="H422" s="50">
        <v>0.13057142857142856</v>
      </c>
      <c r="I422" s="50">
        <v>-1.3761904761904762</v>
      </c>
      <c r="J422" s="50">
        <v>0</v>
      </c>
      <c r="K422" s="50">
        <v>0.35971428571428582</v>
      </c>
    </row>
    <row r="423" spans="1:11" ht="15.75" customHeight="1" x14ac:dyDescent="0.2">
      <c r="A423" s="51">
        <v>25</v>
      </c>
      <c r="B423" s="51">
        <v>1</v>
      </c>
      <c r="C423" s="51">
        <v>17.042047619047619</v>
      </c>
      <c r="D423" s="51">
        <v>0</v>
      </c>
      <c r="E423" s="51">
        <v>2.91</v>
      </c>
      <c r="F423" s="51">
        <v>2</v>
      </c>
      <c r="G423" s="51">
        <v>0</v>
      </c>
      <c r="H423" s="51">
        <v>0.11576190476190476</v>
      </c>
      <c r="I423" s="51">
        <v>-13.323809523809521</v>
      </c>
      <c r="J423" s="51">
        <v>0</v>
      </c>
      <c r="K423" s="51">
        <v>0.21800000000000003</v>
      </c>
    </row>
    <row r="424" spans="1:11" ht="15.75" customHeight="1" x14ac:dyDescent="0.2">
      <c r="A424" s="48">
        <v>25</v>
      </c>
      <c r="B424" s="48">
        <v>2</v>
      </c>
      <c r="C424" s="48">
        <v>16.044041531473081</v>
      </c>
      <c r="D424" s="48">
        <v>0</v>
      </c>
      <c r="E424" s="48">
        <v>3.3</v>
      </c>
      <c r="F424" s="48">
        <v>4</v>
      </c>
      <c r="G424" s="48">
        <v>0</v>
      </c>
      <c r="H424" s="48">
        <v>0.2719377027903967</v>
      </c>
      <c r="I424" s="48">
        <v>5.8792991563919483E-2</v>
      </c>
      <c r="J424" s="48">
        <v>58.672056456846171</v>
      </c>
      <c r="K424" s="48">
        <v>1.0940077871512022</v>
      </c>
    </row>
    <row r="425" spans="1:11" ht="15.75" customHeight="1" x14ac:dyDescent="0.2">
      <c r="A425" s="49">
        <v>25</v>
      </c>
      <c r="B425" s="49">
        <v>2</v>
      </c>
      <c r="C425" s="49">
        <v>25.999701492537334</v>
      </c>
      <c r="D425" s="49">
        <v>0</v>
      </c>
      <c r="E425" s="49">
        <v>6.38</v>
      </c>
      <c r="F425" s="49">
        <v>4</v>
      </c>
      <c r="G425" s="49">
        <v>0</v>
      </c>
      <c r="H425" s="49">
        <v>0.26699480856586805</v>
      </c>
      <c r="I425" s="49">
        <v>-0.13913043478260848</v>
      </c>
      <c r="J425" s="49">
        <v>0</v>
      </c>
      <c r="K425" s="49">
        <v>0.76016807268007658</v>
      </c>
    </row>
    <row r="426" spans="1:11" ht="15.75" customHeight="1" x14ac:dyDescent="0.2">
      <c r="A426" s="50">
        <v>25</v>
      </c>
      <c r="B426" s="50">
        <v>2</v>
      </c>
      <c r="C426" s="50">
        <v>22.633696301103182</v>
      </c>
      <c r="D426" s="50">
        <v>0</v>
      </c>
      <c r="E426" s="50">
        <v>3.04</v>
      </c>
      <c r="F426" s="50">
        <v>3</v>
      </c>
      <c r="G426" s="50">
        <v>0</v>
      </c>
      <c r="H426" s="50">
        <v>0.147994808565866</v>
      </c>
      <c r="I426" s="50">
        <v>-11.447501622323159</v>
      </c>
      <c r="J426" s="50">
        <v>0</v>
      </c>
      <c r="K426" s="50">
        <v>0.27156651524983766</v>
      </c>
    </row>
    <row r="427" spans="1:11" ht="15.75" customHeight="1" x14ac:dyDescent="0.2">
      <c r="A427" s="49">
        <v>25</v>
      </c>
      <c r="B427" s="49">
        <v>2</v>
      </c>
      <c r="C427" s="49">
        <v>22.408112264763147</v>
      </c>
      <c r="D427" s="49">
        <v>0</v>
      </c>
      <c r="E427" s="49">
        <v>2.78</v>
      </c>
      <c r="F427" s="49">
        <v>3</v>
      </c>
      <c r="G427" s="49">
        <v>0</v>
      </c>
      <c r="H427" s="49">
        <v>0.22610902011680883</v>
      </c>
      <c r="I427" s="49">
        <v>-0.22057105775470284</v>
      </c>
      <c r="J427" s="49">
        <v>0</v>
      </c>
      <c r="K427" s="49">
        <v>0.82508825438027211</v>
      </c>
    </row>
    <row r="428" spans="1:11" ht="15.75" customHeight="1" x14ac:dyDescent="0.2">
      <c r="A428" s="50">
        <v>25</v>
      </c>
      <c r="B428" s="50">
        <v>2</v>
      </c>
      <c r="C428" s="50">
        <v>25.520649578195975</v>
      </c>
      <c r="D428" s="50">
        <v>0</v>
      </c>
      <c r="E428" s="50">
        <v>2.48</v>
      </c>
      <c r="F428" s="50">
        <v>2</v>
      </c>
      <c r="G428" s="50">
        <v>0</v>
      </c>
      <c r="H428" s="50">
        <v>0.23010772225827175</v>
      </c>
      <c r="I428" s="50">
        <v>-4.0038935756003272E-2</v>
      </c>
      <c r="J428" s="50">
        <v>0</v>
      </c>
      <c r="K428" s="50">
        <v>0.71825048669694846</v>
      </c>
    </row>
    <row r="429" spans="1:11" ht="15.75" customHeight="1" x14ac:dyDescent="0.2">
      <c r="A429" s="51">
        <v>25</v>
      </c>
      <c r="B429" s="51">
        <v>2</v>
      </c>
      <c r="C429" s="51">
        <v>24.197503569110967</v>
      </c>
      <c r="D429" s="51">
        <v>0</v>
      </c>
      <c r="E429" s="51">
        <v>1.69</v>
      </c>
      <c r="F429" s="51">
        <v>2</v>
      </c>
      <c r="G429" s="51">
        <v>0</v>
      </c>
      <c r="H429" s="51">
        <v>0.15207787151200461</v>
      </c>
      <c r="I429" s="51">
        <v>-12.540038935755996</v>
      </c>
      <c r="J429" s="51">
        <v>0</v>
      </c>
      <c r="K429" s="51">
        <v>0.41391369240752768</v>
      </c>
    </row>
    <row r="430" spans="1:11" ht="15.75" customHeight="1" x14ac:dyDescent="0.2">
      <c r="A430" s="48">
        <v>25</v>
      </c>
      <c r="B430" s="48">
        <v>3</v>
      </c>
      <c r="C430" s="48">
        <v>12.700000000000001</v>
      </c>
      <c r="D430" s="48">
        <v>0</v>
      </c>
      <c r="E430" s="48">
        <v>3.75</v>
      </c>
      <c r="F430" s="48">
        <v>4</v>
      </c>
      <c r="G430" s="48">
        <v>0</v>
      </c>
      <c r="H430" s="48">
        <v>0.1627692307692308</v>
      </c>
      <c r="I430" s="48">
        <v>0.54999999999999993</v>
      </c>
      <c r="J430" s="48">
        <v>0</v>
      </c>
      <c r="K430" s="48">
        <v>0.24080769230769231</v>
      </c>
    </row>
    <row r="431" spans="1:11" ht="15.75" customHeight="1" x14ac:dyDescent="0.2">
      <c r="A431" s="49">
        <v>25</v>
      </c>
      <c r="B431" s="49">
        <v>3</v>
      </c>
      <c r="C431" s="49">
        <v>15.725884615384611</v>
      </c>
      <c r="D431" s="49">
        <v>0</v>
      </c>
      <c r="E431" s="49">
        <v>6.38</v>
      </c>
      <c r="F431" s="49">
        <v>4</v>
      </c>
      <c r="G431" s="49">
        <v>4.2692307692307696E-2</v>
      </c>
      <c r="H431" s="49">
        <v>0.1043846153846154</v>
      </c>
      <c r="I431" s="49">
        <v>0.34615384615384609</v>
      </c>
      <c r="J431" s="49">
        <v>6.3061923076923083</v>
      </c>
      <c r="K431" s="49">
        <v>0.37896153846153846</v>
      </c>
    </row>
    <row r="432" spans="1:11" ht="15.75" customHeight="1" x14ac:dyDescent="0.2">
      <c r="A432" s="50">
        <v>25</v>
      </c>
      <c r="B432" s="50">
        <v>3</v>
      </c>
      <c r="C432" s="50">
        <v>8.2458846153846146</v>
      </c>
      <c r="D432" s="50">
        <v>0</v>
      </c>
      <c r="E432" s="50">
        <v>3.04</v>
      </c>
      <c r="F432" s="50">
        <v>3</v>
      </c>
      <c r="G432" s="50">
        <v>5.1038461538461539E-2</v>
      </c>
      <c r="H432" s="50">
        <v>0.13180769230769232</v>
      </c>
      <c r="I432" s="50">
        <v>-24.461538461538456</v>
      </c>
      <c r="J432" s="50">
        <v>65.429346153846154</v>
      </c>
      <c r="K432" s="50">
        <v>0.90680769230769243</v>
      </c>
    </row>
    <row r="433" spans="1:11" ht="15.75" customHeight="1" x14ac:dyDescent="0.2">
      <c r="A433" s="49">
        <v>25</v>
      </c>
      <c r="B433" s="49">
        <v>3</v>
      </c>
      <c r="C433" s="49">
        <v>13.166423076923078</v>
      </c>
      <c r="D433" s="49">
        <v>0</v>
      </c>
      <c r="E433" s="49">
        <v>2.78</v>
      </c>
      <c r="F433" s="49">
        <v>3</v>
      </c>
      <c r="G433" s="49">
        <v>2.7461538461538461E-2</v>
      </c>
      <c r="H433" s="49">
        <v>0.12565384615384614</v>
      </c>
      <c r="I433" s="49">
        <v>-5.0000000000000017E-2</v>
      </c>
      <c r="J433" s="49">
        <v>57.646192307692303</v>
      </c>
      <c r="K433" s="49">
        <v>0.4926923076923076</v>
      </c>
    </row>
    <row r="434" spans="1:11" ht="15.75" customHeight="1" x14ac:dyDescent="0.2">
      <c r="A434" s="50">
        <v>25</v>
      </c>
      <c r="B434" s="50">
        <v>3</v>
      </c>
      <c r="C434" s="50">
        <v>17.282538461538458</v>
      </c>
      <c r="D434" s="50">
        <v>0</v>
      </c>
      <c r="E434" s="50">
        <v>2.48</v>
      </c>
      <c r="F434" s="50">
        <v>2</v>
      </c>
      <c r="G434" s="50">
        <v>2.453846153846154E-2</v>
      </c>
      <c r="H434" s="50">
        <v>0.14934615384615385</v>
      </c>
      <c r="I434" s="50">
        <v>-13.515384615384615</v>
      </c>
      <c r="J434" s="50">
        <v>44.934999999999995</v>
      </c>
      <c r="K434" s="50">
        <v>4.3576923076923076E-2</v>
      </c>
    </row>
    <row r="435" spans="1:11" ht="15.75" customHeight="1" x14ac:dyDescent="0.2">
      <c r="A435" s="51">
        <v>25</v>
      </c>
      <c r="B435" s="51">
        <v>3</v>
      </c>
      <c r="C435" s="51">
        <v>11.770384615384616</v>
      </c>
      <c r="D435" s="51">
        <v>0</v>
      </c>
      <c r="E435" s="51">
        <v>1.69</v>
      </c>
      <c r="F435" s="51">
        <v>2</v>
      </c>
      <c r="G435" s="51">
        <v>8.8461538461538473E-3</v>
      </c>
      <c r="H435" s="51">
        <v>0.14038461538461539</v>
      </c>
      <c r="I435" s="51">
        <v>-7.6923076923076858E-2</v>
      </c>
      <c r="J435" s="51">
        <v>48.774192307692303</v>
      </c>
      <c r="K435" s="51">
        <v>-1.4384615384615385E-2</v>
      </c>
    </row>
    <row r="436" spans="1:11" ht="15.75" customHeight="1" x14ac:dyDescent="0.2">
      <c r="A436" s="48">
        <v>26</v>
      </c>
      <c r="B436" s="48">
        <v>1</v>
      </c>
      <c r="C436" s="48">
        <v>10.739531250000002</v>
      </c>
      <c r="D436" s="48">
        <v>0</v>
      </c>
      <c r="E436" s="48">
        <v>5.21</v>
      </c>
      <c r="F436" s="48">
        <v>4</v>
      </c>
      <c r="G436" s="48">
        <v>0</v>
      </c>
      <c r="H436" s="48">
        <v>0.12887499999999999</v>
      </c>
      <c r="I436" s="48">
        <v>0.21875000000000003</v>
      </c>
      <c r="J436" s="48">
        <v>54.861062500000003</v>
      </c>
      <c r="K436" s="48">
        <v>0.21271875000000007</v>
      </c>
    </row>
    <row r="437" spans="1:11" ht="15.75" customHeight="1" x14ac:dyDescent="0.2">
      <c r="A437" s="49">
        <v>26</v>
      </c>
      <c r="B437" s="49">
        <v>1</v>
      </c>
      <c r="C437" s="49">
        <v>15.489000000000001</v>
      </c>
      <c r="D437" s="49">
        <v>1</v>
      </c>
      <c r="E437" s="49">
        <v>6.35</v>
      </c>
      <c r="F437" s="49">
        <v>4</v>
      </c>
      <c r="G437" s="49">
        <v>0</v>
      </c>
      <c r="H437" s="49">
        <v>0.10246875000000001</v>
      </c>
      <c r="I437" s="49">
        <v>-0.46875</v>
      </c>
      <c r="J437" s="49">
        <v>57.499718749999992</v>
      </c>
      <c r="K437" s="49">
        <v>0.74299999999999988</v>
      </c>
    </row>
    <row r="438" spans="1:11" ht="15.75" customHeight="1" x14ac:dyDescent="0.2">
      <c r="A438" s="50">
        <v>26</v>
      </c>
      <c r="B438" s="50">
        <v>1</v>
      </c>
      <c r="C438" s="50">
        <v>3.608625</v>
      </c>
      <c r="D438" s="50">
        <v>0</v>
      </c>
      <c r="E438" s="50">
        <v>3.32</v>
      </c>
      <c r="F438" s="50">
        <v>3</v>
      </c>
      <c r="G438" s="50">
        <v>4.8343749999999998E-2</v>
      </c>
      <c r="H438" s="50">
        <v>5.6250000000000007E-3</v>
      </c>
      <c r="I438" s="50">
        <v>-4.9999999999999961E-2</v>
      </c>
      <c r="J438" s="50">
        <v>0</v>
      </c>
      <c r="K438" s="50">
        <v>0.54249999999999987</v>
      </c>
    </row>
    <row r="439" spans="1:11" ht="15.75" customHeight="1" x14ac:dyDescent="0.2">
      <c r="A439" s="49">
        <v>26</v>
      </c>
      <c r="B439" s="49">
        <v>1</v>
      </c>
      <c r="C439" s="49">
        <v>4.2045000000000012</v>
      </c>
      <c r="D439" s="49">
        <v>1</v>
      </c>
      <c r="E439" s="49">
        <v>5.59</v>
      </c>
      <c r="F439" s="49">
        <v>3</v>
      </c>
      <c r="G439" s="49">
        <v>4.7812499999999999E-3</v>
      </c>
      <c r="H439" s="49">
        <v>4.4812500000000012E-2</v>
      </c>
      <c r="I439" s="49">
        <v>-29.093750000000004</v>
      </c>
      <c r="J439" s="49">
        <v>6.5008125000000003</v>
      </c>
      <c r="K439" s="49">
        <v>0.61396875000000006</v>
      </c>
    </row>
    <row r="440" spans="1:11" ht="15.75" customHeight="1" x14ac:dyDescent="0.2">
      <c r="A440" s="50">
        <v>26</v>
      </c>
      <c r="B440" s="50">
        <v>1</v>
      </c>
      <c r="C440" s="50">
        <v>10.7979375</v>
      </c>
      <c r="D440" s="50">
        <v>0</v>
      </c>
      <c r="E440" s="50">
        <v>2.96</v>
      </c>
      <c r="F440" s="50">
        <v>2</v>
      </c>
      <c r="G440" s="50">
        <v>0</v>
      </c>
      <c r="H440" s="50">
        <v>9.9218750000000022E-2</v>
      </c>
      <c r="I440" s="50">
        <v>1.5624999999999951E-2</v>
      </c>
      <c r="J440" s="50">
        <v>30.31625</v>
      </c>
      <c r="K440" s="50">
        <v>0.95196875000000003</v>
      </c>
    </row>
    <row r="441" spans="1:11" ht="15.75" customHeight="1" x14ac:dyDescent="0.2">
      <c r="A441" s="51">
        <v>26</v>
      </c>
      <c r="B441" s="51">
        <v>1</v>
      </c>
      <c r="C441" s="51">
        <v>12.224281250000002</v>
      </c>
      <c r="D441" s="51">
        <v>0</v>
      </c>
      <c r="E441" s="51">
        <v>2.4500000000000002</v>
      </c>
      <c r="F441" s="51">
        <v>2</v>
      </c>
      <c r="G441" s="51">
        <v>0</v>
      </c>
      <c r="H441" s="51">
        <v>8.0343750000000019E-2</v>
      </c>
      <c r="I441" s="51">
        <v>-8.2906250000000021</v>
      </c>
      <c r="J441" s="51">
        <v>0</v>
      </c>
      <c r="K441" s="51">
        <v>0.41703125000000008</v>
      </c>
    </row>
    <row r="442" spans="1:11" ht="15.75" customHeight="1" x14ac:dyDescent="0.2">
      <c r="A442" s="48">
        <v>26</v>
      </c>
      <c r="B442" s="48">
        <v>2</v>
      </c>
      <c r="C442" s="48">
        <v>12.138713235294125</v>
      </c>
      <c r="D442" s="48">
        <v>1</v>
      </c>
      <c r="E442" s="48">
        <v>4.42</v>
      </c>
      <c r="F442" s="48">
        <v>4</v>
      </c>
      <c r="G442" s="48">
        <v>0</v>
      </c>
      <c r="H442" s="48">
        <v>0.1877720588235286</v>
      </c>
      <c r="I442" s="48">
        <v>-1.0048796791443895</v>
      </c>
      <c r="J442" s="48">
        <v>34.237514037433165</v>
      </c>
      <c r="K442" s="48">
        <v>1.1286945187165784</v>
      </c>
    </row>
    <row r="443" spans="1:11" ht="15.75" customHeight="1" x14ac:dyDescent="0.2">
      <c r="A443" s="49">
        <v>26</v>
      </c>
      <c r="B443" s="49">
        <v>2</v>
      </c>
      <c r="C443" s="49">
        <v>20.08514572192508</v>
      </c>
      <c r="D443" s="49">
        <v>0</v>
      </c>
      <c r="E443" s="49">
        <v>5.36</v>
      </c>
      <c r="F443" s="49">
        <v>4</v>
      </c>
      <c r="G443" s="49">
        <v>0</v>
      </c>
      <c r="H443" s="49">
        <v>0.16010695187165777</v>
      </c>
      <c r="I443" s="49">
        <v>-0.15514705882353041</v>
      </c>
      <c r="J443" s="49">
        <v>0</v>
      </c>
      <c r="K443" s="49">
        <v>0.76111898395721922</v>
      </c>
    </row>
    <row r="444" spans="1:11" ht="15.75" customHeight="1" x14ac:dyDescent="0.2">
      <c r="A444" s="50">
        <v>26</v>
      </c>
      <c r="B444" s="50">
        <v>2</v>
      </c>
      <c r="C444" s="50">
        <v>20.12255815508016</v>
      </c>
      <c r="D444" s="50">
        <v>0</v>
      </c>
      <c r="E444" s="50">
        <v>3.03</v>
      </c>
      <c r="F444" s="50">
        <v>3</v>
      </c>
      <c r="G444" s="50">
        <v>0</v>
      </c>
      <c r="H444" s="50">
        <v>0.157761363636364</v>
      </c>
      <c r="I444" s="50">
        <v>-1.8487299465240636</v>
      </c>
      <c r="J444" s="50">
        <v>0</v>
      </c>
      <c r="K444" s="50">
        <v>0.6110802139037429</v>
      </c>
    </row>
    <row r="445" spans="1:11" ht="15.75" customHeight="1" x14ac:dyDescent="0.2">
      <c r="A445" s="49">
        <v>26</v>
      </c>
      <c r="B445" s="49">
        <v>2</v>
      </c>
      <c r="C445" s="49">
        <v>19.843379679144405</v>
      </c>
      <c r="D445" s="49">
        <v>0</v>
      </c>
      <c r="E445" s="49">
        <v>2.6</v>
      </c>
      <c r="F445" s="49">
        <v>3</v>
      </c>
      <c r="G445" s="49">
        <v>0</v>
      </c>
      <c r="H445" s="49">
        <v>0.15058823529411611</v>
      </c>
      <c r="I445" s="49">
        <v>-10.854144385026776</v>
      </c>
      <c r="J445" s="49">
        <v>20.336517379679144</v>
      </c>
      <c r="K445" s="49">
        <v>5.7396390374331537E-2</v>
      </c>
    </row>
    <row r="446" spans="1:11" ht="15.75" customHeight="1" x14ac:dyDescent="0.2">
      <c r="A446" s="50">
        <v>26</v>
      </c>
      <c r="B446" s="50">
        <v>2</v>
      </c>
      <c r="C446" s="50">
        <v>19.604375668449375</v>
      </c>
      <c r="D446" s="50">
        <v>0</v>
      </c>
      <c r="E446" s="50">
        <v>1.62</v>
      </c>
      <c r="F446" s="50">
        <v>2</v>
      </c>
      <c r="G446" s="50">
        <v>0</v>
      </c>
      <c r="H446" s="50">
        <v>0.15563435828876898</v>
      </c>
      <c r="I446" s="50">
        <v>0.43389037433154953</v>
      </c>
      <c r="J446" s="50">
        <v>85.094072192513366</v>
      </c>
      <c r="K446" s="50">
        <v>0.74776671122994731</v>
      </c>
    </row>
    <row r="447" spans="1:11" ht="15.75" customHeight="1" x14ac:dyDescent="0.2">
      <c r="A447" s="51">
        <v>26</v>
      </c>
      <c r="B447" s="51">
        <v>2</v>
      </c>
      <c r="C447" s="51">
        <v>19.698385695187206</v>
      </c>
      <c r="D447" s="51">
        <v>0</v>
      </c>
      <c r="E447" s="51">
        <v>2.5</v>
      </c>
      <c r="F447" s="51">
        <v>2</v>
      </c>
      <c r="G447" s="51">
        <v>0</v>
      </c>
      <c r="H447" s="51">
        <v>0.14958221925133491</v>
      </c>
      <c r="I447" s="51">
        <v>-0.13943850267379873</v>
      </c>
      <c r="J447" s="51">
        <v>3.3541804812834219</v>
      </c>
      <c r="K447" s="51">
        <v>0.79677339572192296</v>
      </c>
    </row>
    <row r="448" spans="1:11" ht="15.75" customHeight="1" x14ac:dyDescent="0.2">
      <c r="A448" s="48">
        <v>26</v>
      </c>
      <c r="B448" s="48">
        <v>3</v>
      </c>
      <c r="C448" s="48">
        <v>7.6242173913043487</v>
      </c>
      <c r="D448" s="48">
        <v>0</v>
      </c>
      <c r="E448" s="48">
        <v>4.5999999999999996</v>
      </c>
      <c r="F448" s="48">
        <v>4</v>
      </c>
      <c r="G448" s="48">
        <v>0</v>
      </c>
      <c r="H448" s="48">
        <v>0.1040434782608696</v>
      </c>
      <c r="I448" s="48">
        <v>0.69130434782608696</v>
      </c>
      <c r="J448" s="48">
        <v>0</v>
      </c>
      <c r="K448" s="48">
        <v>0.37930434782608696</v>
      </c>
    </row>
    <row r="449" spans="1:11" ht="15.75" customHeight="1" x14ac:dyDescent="0.2">
      <c r="A449" s="49">
        <v>26</v>
      </c>
      <c r="B449" s="49">
        <v>3</v>
      </c>
      <c r="C449" s="49">
        <v>14.003608695652172</v>
      </c>
      <c r="D449" s="49">
        <v>0</v>
      </c>
      <c r="E449" s="49">
        <v>3.1</v>
      </c>
      <c r="F449" s="49">
        <v>4</v>
      </c>
      <c r="G449" s="49">
        <v>0</v>
      </c>
      <c r="H449" s="49">
        <v>0.11869565217391306</v>
      </c>
      <c r="I449" s="49">
        <v>0.16086956521739135</v>
      </c>
      <c r="J449" s="49">
        <v>15.458478260869564</v>
      </c>
      <c r="K449" s="49">
        <v>0.67708695652173911</v>
      </c>
    </row>
    <row r="450" spans="1:11" ht="15.75" customHeight="1" x14ac:dyDescent="0.2">
      <c r="A450" s="50">
        <v>26</v>
      </c>
      <c r="B450" s="50">
        <v>3</v>
      </c>
      <c r="C450" s="50">
        <v>13.954130434782613</v>
      </c>
      <c r="D450" s="50">
        <v>0</v>
      </c>
      <c r="E450" s="50">
        <v>5.0599999999999996</v>
      </c>
      <c r="F450" s="50">
        <v>3</v>
      </c>
      <c r="G450" s="50">
        <v>4.5217391304347822E-3</v>
      </c>
      <c r="H450" s="50">
        <v>8.2260869565217387E-2</v>
      </c>
      <c r="I450" s="50">
        <v>-32.165217391304353</v>
      </c>
      <c r="J450" s="50">
        <v>8.8642173913043489</v>
      </c>
      <c r="K450" s="50">
        <v>0.30139130434782607</v>
      </c>
    </row>
    <row r="451" spans="1:11" ht="15.75" customHeight="1" x14ac:dyDescent="0.2">
      <c r="A451" s="49">
        <v>26</v>
      </c>
      <c r="B451" s="49">
        <v>3</v>
      </c>
      <c r="C451" s="49">
        <v>10.750782608695653</v>
      </c>
      <c r="D451" s="49">
        <v>0</v>
      </c>
      <c r="E451" s="49">
        <v>2.42</v>
      </c>
      <c r="F451" s="49">
        <v>3</v>
      </c>
      <c r="G451" s="49">
        <v>0</v>
      </c>
      <c r="H451" s="49">
        <v>0.1152173913043478</v>
      </c>
      <c r="I451" s="49">
        <v>4.7739130434782622</v>
      </c>
      <c r="J451" s="49">
        <v>91.863782608695644</v>
      </c>
      <c r="K451" s="49">
        <v>-3.42608695652174E-2</v>
      </c>
    </row>
    <row r="452" spans="1:11" ht="15.75" customHeight="1" x14ac:dyDescent="0.2">
      <c r="A452" s="50">
        <v>26</v>
      </c>
      <c r="B452" s="50">
        <v>3</v>
      </c>
      <c r="C452" s="50">
        <v>10.833173913043479</v>
      </c>
      <c r="D452" s="50">
        <v>0</v>
      </c>
      <c r="E452" s="50">
        <v>3</v>
      </c>
      <c r="F452" s="50">
        <v>2</v>
      </c>
      <c r="G452" s="50">
        <v>2.6478260869565218E-2</v>
      </c>
      <c r="H452" s="50">
        <v>9.1956521739130465E-2</v>
      </c>
      <c r="I452" s="50">
        <v>0.11739130434782609</v>
      </c>
      <c r="J452" s="50">
        <v>44.326478260869564</v>
      </c>
      <c r="K452" s="50">
        <v>0.14165217391304349</v>
      </c>
    </row>
    <row r="453" spans="1:11" ht="15.75" customHeight="1" x14ac:dyDescent="0.2">
      <c r="A453" s="51">
        <v>26</v>
      </c>
      <c r="B453" s="51">
        <v>3</v>
      </c>
      <c r="C453" s="51">
        <v>13.254434782608692</v>
      </c>
      <c r="D453" s="51">
        <v>0</v>
      </c>
      <c r="E453" s="51">
        <v>2.8</v>
      </c>
      <c r="F453" s="51">
        <v>2</v>
      </c>
      <c r="G453" s="51">
        <v>0</v>
      </c>
      <c r="H453" s="51">
        <v>0.11973913043478263</v>
      </c>
      <c r="I453" s="51">
        <v>-11.856521739130434</v>
      </c>
      <c r="J453" s="51">
        <v>91.351086956521755</v>
      </c>
      <c r="K453" s="51">
        <v>0.41247826086956524</v>
      </c>
    </row>
    <row r="454" spans="1:11" ht="15.75" customHeight="1" x14ac:dyDescent="0.2">
      <c r="A454" s="48">
        <v>27</v>
      </c>
      <c r="B454" s="48">
        <v>1</v>
      </c>
      <c r="C454" s="48">
        <v>12.679128205128206</v>
      </c>
      <c r="D454" s="48">
        <v>1</v>
      </c>
      <c r="E454" s="48">
        <v>9.4</v>
      </c>
      <c r="F454" s="48">
        <v>4</v>
      </c>
      <c r="G454" s="48">
        <v>0</v>
      </c>
      <c r="H454" s="48">
        <v>0.13335897435897437</v>
      </c>
      <c r="I454" s="48">
        <v>0.39743589743589741</v>
      </c>
      <c r="J454" s="48">
        <v>49.281128205128198</v>
      </c>
      <c r="K454" s="48">
        <v>0.797025641025641</v>
      </c>
    </row>
    <row r="455" spans="1:11" ht="15.75" customHeight="1" x14ac:dyDescent="0.2">
      <c r="A455" s="49">
        <v>27</v>
      </c>
      <c r="B455" s="49">
        <v>1</v>
      </c>
      <c r="C455" s="49">
        <v>11.401589743589746</v>
      </c>
      <c r="D455" s="49">
        <v>0</v>
      </c>
      <c r="E455" s="49">
        <v>5.23</v>
      </c>
      <c r="F455" s="49">
        <v>4</v>
      </c>
      <c r="G455" s="49">
        <v>3.2717948717948718E-2</v>
      </c>
      <c r="H455" s="49">
        <v>7.3999999999999996E-2</v>
      </c>
      <c r="I455" s="49">
        <v>-0.17692307692307688</v>
      </c>
      <c r="J455" s="49">
        <v>60.722384615384613</v>
      </c>
      <c r="K455" s="49">
        <v>0.56394871794871781</v>
      </c>
    </row>
    <row r="456" spans="1:11" ht="15.75" customHeight="1" x14ac:dyDescent="0.2">
      <c r="A456" s="50">
        <v>27</v>
      </c>
      <c r="B456" s="50">
        <v>1</v>
      </c>
      <c r="C456" s="50">
        <v>5.3524871794871789</v>
      </c>
      <c r="D456" s="50">
        <v>0</v>
      </c>
      <c r="E456" s="50">
        <v>7.7</v>
      </c>
      <c r="F456" s="50">
        <v>3</v>
      </c>
      <c r="G456" s="50">
        <v>1.653846153846154E-2</v>
      </c>
      <c r="H456" s="50">
        <v>6.7948717948717943E-2</v>
      </c>
      <c r="I456" s="50">
        <v>-17.020512820512824</v>
      </c>
      <c r="J456" s="50">
        <v>55.55123076923077</v>
      </c>
      <c r="K456" s="50">
        <v>0.54728205128205132</v>
      </c>
    </row>
    <row r="457" spans="1:11" ht="15.75" customHeight="1" x14ac:dyDescent="0.2">
      <c r="A457" s="49">
        <v>27</v>
      </c>
      <c r="B457" s="49">
        <v>1</v>
      </c>
      <c r="C457" s="49">
        <v>13.442179487179487</v>
      </c>
      <c r="D457" s="49">
        <v>0</v>
      </c>
      <c r="E457" s="49">
        <v>4.83</v>
      </c>
      <c r="F457" s="49">
        <v>3</v>
      </c>
      <c r="G457" s="49">
        <v>0</v>
      </c>
      <c r="H457" s="49">
        <v>9.092307692307694E-2</v>
      </c>
      <c r="I457" s="49">
        <v>-3.4512820512820519</v>
      </c>
      <c r="J457" s="49">
        <v>12.295333333333334</v>
      </c>
      <c r="K457" s="49">
        <v>0.59571794871794859</v>
      </c>
    </row>
    <row r="458" spans="1:11" ht="15.75" customHeight="1" x14ac:dyDescent="0.2">
      <c r="A458" s="50">
        <v>27</v>
      </c>
      <c r="B458" s="50">
        <v>1</v>
      </c>
      <c r="C458" s="50">
        <v>14.189512820512819</v>
      </c>
      <c r="D458" s="50">
        <v>2</v>
      </c>
      <c r="E458" s="50">
        <v>12.99</v>
      </c>
      <c r="F458" s="50">
        <v>2</v>
      </c>
      <c r="G458" s="50">
        <v>2.8461538461538459E-3</v>
      </c>
      <c r="H458" s="50">
        <v>0.11823076923076922</v>
      </c>
      <c r="I458" s="50">
        <v>-6.0974358974358971</v>
      </c>
      <c r="J458" s="50">
        <v>20.669384615384612</v>
      </c>
      <c r="K458" s="50">
        <v>0.15389743589743593</v>
      </c>
    </row>
    <row r="459" spans="1:11" ht="15.75" customHeight="1" x14ac:dyDescent="0.2">
      <c r="A459" s="51">
        <v>27</v>
      </c>
      <c r="B459" s="51">
        <v>1</v>
      </c>
      <c r="C459" s="51">
        <v>11.259589743589745</v>
      </c>
      <c r="D459" s="51">
        <v>2</v>
      </c>
      <c r="E459" s="51">
        <v>12.95</v>
      </c>
      <c r="F459" s="51">
        <v>2</v>
      </c>
      <c r="G459" s="51">
        <v>3.7666666666666668E-2</v>
      </c>
      <c r="H459" s="51">
        <v>9.8743589743589766E-2</v>
      </c>
      <c r="I459" s="51">
        <v>-1.6846153846153846</v>
      </c>
      <c r="J459" s="51">
        <v>17.057974358974359</v>
      </c>
      <c r="K459" s="51">
        <v>-9.905128205128208E-2</v>
      </c>
    </row>
    <row r="460" spans="1:11" ht="15.75" customHeight="1" x14ac:dyDescent="0.2">
      <c r="A460" s="48">
        <v>27</v>
      </c>
      <c r="B460" s="48">
        <v>2</v>
      </c>
      <c r="C460" s="48">
        <v>14.357511247443773</v>
      </c>
      <c r="D460" s="48">
        <v>0</v>
      </c>
      <c r="E460" s="48">
        <v>9.76</v>
      </c>
      <c r="F460" s="48">
        <v>4</v>
      </c>
      <c r="G460" s="48">
        <v>0</v>
      </c>
      <c r="H460" s="48">
        <v>0.19847801635991827</v>
      </c>
      <c r="I460" s="48">
        <v>-0.4437627811860973</v>
      </c>
      <c r="J460" s="48">
        <v>36.677780163599166</v>
      </c>
      <c r="K460" s="48">
        <v>1.3391538854805742</v>
      </c>
    </row>
    <row r="461" spans="1:11" ht="15.75" customHeight="1" x14ac:dyDescent="0.2">
      <c r="A461" s="49">
        <v>27</v>
      </c>
      <c r="B461" s="49">
        <v>2</v>
      </c>
      <c r="C461" s="49">
        <v>24.176021472392659</v>
      </c>
      <c r="D461" s="49">
        <v>1</v>
      </c>
      <c r="E461" s="49">
        <v>14.16</v>
      </c>
      <c r="F461" s="49">
        <v>4</v>
      </c>
      <c r="G461" s="49">
        <v>0</v>
      </c>
      <c r="H461" s="49">
        <v>0.3142571574642124</v>
      </c>
      <c r="I461" s="49">
        <v>-0.50276073619631911</v>
      </c>
      <c r="J461" s="49">
        <v>0</v>
      </c>
      <c r="K461" s="49">
        <v>0.87353834355828031</v>
      </c>
    </row>
    <row r="462" spans="1:11" ht="15.75" customHeight="1" x14ac:dyDescent="0.2">
      <c r="A462" s="50">
        <v>27</v>
      </c>
      <c r="B462" s="50">
        <v>2</v>
      </c>
      <c r="C462" s="50">
        <v>28.246534764826148</v>
      </c>
      <c r="D462" s="50">
        <v>0</v>
      </c>
      <c r="E462" s="50">
        <v>9.02</v>
      </c>
      <c r="F462" s="50">
        <v>3</v>
      </c>
      <c r="G462" s="50">
        <v>0</v>
      </c>
      <c r="H462" s="50">
        <v>0.27424693251533583</v>
      </c>
      <c r="I462" s="50">
        <v>-9.4797034764825678</v>
      </c>
      <c r="J462" s="50">
        <v>0</v>
      </c>
      <c r="K462" s="50">
        <v>0.70271421267893697</v>
      </c>
    </row>
    <row r="463" spans="1:11" ht="15.75" customHeight="1" x14ac:dyDescent="0.2">
      <c r="A463" s="49">
        <v>27</v>
      </c>
      <c r="B463" s="49">
        <v>2</v>
      </c>
      <c r="C463" s="49">
        <v>28.855138548057255</v>
      </c>
      <c r="D463" s="49">
        <v>0</v>
      </c>
      <c r="E463" s="49">
        <v>5.5</v>
      </c>
      <c r="F463" s="49">
        <v>3</v>
      </c>
      <c r="G463" s="49">
        <v>0</v>
      </c>
      <c r="H463" s="49">
        <v>0.25304754601226553</v>
      </c>
      <c r="I463" s="49">
        <v>-4.6883435582822131</v>
      </c>
      <c r="J463" s="49">
        <v>0</v>
      </c>
      <c r="K463" s="49">
        <v>0.89749795501022422</v>
      </c>
    </row>
    <row r="464" spans="1:11" ht="15.75" customHeight="1" x14ac:dyDescent="0.2">
      <c r="A464" s="50">
        <v>27</v>
      </c>
      <c r="B464" s="50">
        <v>2</v>
      </c>
      <c r="C464" s="50">
        <v>27.939082822085911</v>
      </c>
      <c r="D464" s="50">
        <v>0</v>
      </c>
      <c r="E464" s="50">
        <v>4.55</v>
      </c>
      <c r="F464" s="50">
        <v>2</v>
      </c>
      <c r="G464" s="50">
        <v>0</v>
      </c>
      <c r="H464" s="50">
        <v>0.28038036809816091</v>
      </c>
      <c r="I464" s="50">
        <v>-5.7641615541922109</v>
      </c>
      <c r="J464" s="50">
        <v>18.63264263803682</v>
      </c>
      <c r="K464" s="50">
        <v>0.53920143149284283</v>
      </c>
    </row>
    <row r="465" spans="1:11" ht="15.75" customHeight="1" x14ac:dyDescent="0.2">
      <c r="A465" s="51">
        <v>27</v>
      </c>
      <c r="B465" s="51">
        <v>2</v>
      </c>
      <c r="C465" s="51">
        <v>29.898451942740376</v>
      </c>
      <c r="D465" s="51">
        <v>0</v>
      </c>
      <c r="E465" s="51">
        <v>2.5499999999999998</v>
      </c>
      <c r="F465" s="51">
        <v>2</v>
      </c>
      <c r="G465" s="51">
        <v>0</v>
      </c>
      <c r="H465" s="51">
        <v>0.30119529652351762</v>
      </c>
      <c r="I465" s="51">
        <v>-9.9405930470347723</v>
      </c>
      <c r="J465" s="51">
        <v>129.88131901840504</v>
      </c>
      <c r="K465" s="51">
        <v>0.90738036809815936</v>
      </c>
    </row>
    <row r="466" spans="1:11" ht="15.75" customHeight="1" x14ac:dyDescent="0.2">
      <c r="A466" s="48">
        <v>27</v>
      </c>
      <c r="B466" s="48">
        <v>3</v>
      </c>
      <c r="C466" s="48">
        <v>12.770314285714287</v>
      </c>
      <c r="D466" s="48">
        <v>0</v>
      </c>
      <c r="E466" s="48">
        <v>3.16</v>
      </c>
      <c r="F466" s="48">
        <v>4</v>
      </c>
      <c r="G466" s="48">
        <v>4.8571428571428576E-3</v>
      </c>
      <c r="H466" s="48">
        <v>0.15974285714285716</v>
      </c>
      <c r="I466" s="48">
        <v>-5.7142857142856943E-3</v>
      </c>
      <c r="J466" s="48">
        <v>0</v>
      </c>
      <c r="K466" s="48">
        <v>0.50702857142857138</v>
      </c>
    </row>
    <row r="467" spans="1:11" ht="15.75" customHeight="1" x14ac:dyDescent="0.2">
      <c r="A467" s="49">
        <v>27</v>
      </c>
      <c r="B467" s="49">
        <v>3</v>
      </c>
      <c r="C467" s="49">
        <v>13.114114285714287</v>
      </c>
      <c r="D467" s="49">
        <v>0</v>
      </c>
      <c r="E467" s="49">
        <v>4.5999999999999996</v>
      </c>
      <c r="F467" s="49">
        <v>4</v>
      </c>
      <c r="G467" s="49">
        <v>5.1657142857142853E-2</v>
      </c>
      <c r="H467" s="49">
        <v>9.4942857142857121E-2</v>
      </c>
      <c r="I467" s="49">
        <v>-0.32285714285714279</v>
      </c>
      <c r="J467" s="49">
        <v>6.2795428571428573</v>
      </c>
      <c r="K467" s="49">
        <v>0.27202857142857145</v>
      </c>
    </row>
    <row r="468" spans="1:11" ht="15.75" customHeight="1" x14ac:dyDescent="0.2">
      <c r="A468" s="50">
        <v>27</v>
      </c>
      <c r="B468" s="50">
        <v>3</v>
      </c>
      <c r="C468" s="50">
        <v>-3.6975142857142842</v>
      </c>
      <c r="D468" s="50">
        <v>0</v>
      </c>
      <c r="E468" s="50">
        <v>3.93</v>
      </c>
      <c r="F468" s="50">
        <v>3</v>
      </c>
      <c r="G468" s="50">
        <v>0.14808571428571429</v>
      </c>
      <c r="H468" s="50">
        <v>0.11640000000000002</v>
      </c>
      <c r="I468" s="50">
        <v>-48.557142857142857</v>
      </c>
      <c r="J468" s="50">
        <v>0</v>
      </c>
      <c r="K468" s="50">
        <v>-0.45785714285714302</v>
      </c>
    </row>
    <row r="469" spans="1:11" ht="15.75" customHeight="1" x14ac:dyDescent="0.2">
      <c r="A469" s="49">
        <v>27</v>
      </c>
      <c r="B469" s="49">
        <v>3</v>
      </c>
      <c r="C469" s="49">
        <v>13.987885714285715</v>
      </c>
      <c r="D469" s="49">
        <v>0</v>
      </c>
      <c r="E469" s="49">
        <v>2.52</v>
      </c>
      <c r="F469" s="49">
        <v>3</v>
      </c>
      <c r="G469" s="49">
        <v>6.5142857142857141E-2</v>
      </c>
      <c r="H469" s="49">
        <v>0.1927142857142857</v>
      </c>
      <c r="I469" s="49">
        <v>-5.8999999999999986</v>
      </c>
      <c r="J469" s="49">
        <v>0</v>
      </c>
      <c r="K469" s="49">
        <v>0.33151428571428576</v>
      </c>
    </row>
    <row r="470" spans="1:11" ht="15.75" customHeight="1" x14ac:dyDescent="0.2">
      <c r="A470" s="50">
        <v>27</v>
      </c>
      <c r="B470" s="50">
        <v>3</v>
      </c>
      <c r="C470" s="50">
        <v>14.472657142857143</v>
      </c>
      <c r="D470" s="50">
        <v>0</v>
      </c>
      <c r="E470" s="50">
        <v>3.69</v>
      </c>
      <c r="F470" s="50">
        <v>2</v>
      </c>
      <c r="G470" s="50">
        <v>4.1171428571428581E-2</v>
      </c>
      <c r="H470" s="50">
        <v>0.18091428571428572</v>
      </c>
      <c r="I470" s="50">
        <v>-10.000000000000002</v>
      </c>
      <c r="J470" s="50">
        <v>48.145428571428575</v>
      </c>
      <c r="K470" s="50">
        <v>-6.7600000000000035E-2</v>
      </c>
    </row>
    <row r="471" spans="1:11" ht="15.75" customHeight="1" x14ac:dyDescent="0.2">
      <c r="A471" s="51">
        <v>27</v>
      </c>
      <c r="B471" s="51">
        <v>3</v>
      </c>
      <c r="C471" s="51">
        <v>13.515828571428575</v>
      </c>
      <c r="D471" s="51">
        <v>0</v>
      </c>
      <c r="E471" s="51">
        <v>4.33</v>
      </c>
      <c r="F471" s="51">
        <v>2</v>
      </c>
      <c r="G471" s="51">
        <v>0</v>
      </c>
      <c r="H471" s="51">
        <v>0.14562857142857144</v>
      </c>
      <c r="I471" s="51">
        <v>-7.428571428571433E-2</v>
      </c>
      <c r="J471" s="51">
        <v>49.042799999999986</v>
      </c>
      <c r="K471" s="51">
        <v>0.29128571428571431</v>
      </c>
    </row>
    <row r="472" spans="1:11" ht="15.75" customHeight="1" x14ac:dyDescent="0.2">
      <c r="A472" s="48">
        <v>28</v>
      </c>
      <c r="B472" s="48">
        <v>1</v>
      </c>
      <c r="C472" s="48">
        <v>11.010782608695651</v>
      </c>
      <c r="D472" s="48">
        <v>0</v>
      </c>
      <c r="E472" s="48">
        <v>4.8600000000000003</v>
      </c>
      <c r="F472" s="48">
        <v>4</v>
      </c>
      <c r="G472" s="48">
        <v>0</v>
      </c>
      <c r="H472" s="48">
        <v>0.14965217391304345</v>
      </c>
      <c r="I472" s="48">
        <v>-0.24782608695652183</v>
      </c>
      <c r="J472" s="48">
        <v>13.579391304347826</v>
      </c>
      <c r="K472" s="48">
        <v>0.16139130434782603</v>
      </c>
    </row>
    <row r="473" spans="1:11" ht="15.75" customHeight="1" x14ac:dyDescent="0.2">
      <c r="A473" s="49">
        <v>28</v>
      </c>
      <c r="B473" s="49">
        <v>1</v>
      </c>
      <c r="C473" s="49">
        <v>15.878260869565214</v>
      </c>
      <c r="D473" s="49">
        <v>0</v>
      </c>
      <c r="E473" s="49">
        <v>4.43</v>
      </c>
      <c r="F473" s="49">
        <v>4</v>
      </c>
      <c r="G473" s="49">
        <v>0</v>
      </c>
      <c r="H473" s="49">
        <v>0.1262608695652174</v>
      </c>
      <c r="I473" s="49">
        <v>6.9565217391304321E-2</v>
      </c>
      <c r="J473" s="49">
        <v>155.84926086956526</v>
      </c>
      <c r="K473" s="49">
        <v>0.48569565217391303</v>
      </c>
    </row>
    <row r="474" spans="1:11" ht="15.75" customHeight="1" x14ac:dyDescent="0.2">
      <c r="A474" s="50">
        <v>28</v>
      </c>
      <c r="B474" s="50">
        <v>1</v>
      </c>
      <c r="C474" s="50">
        <v>15.059956521739132</v>
      </c>
      <c r="D474" s="50">
        <v>0</v>
      </c>
      <c r="E474" s="50">
        <v>3.83</v>
      </c>
      <c r="F474" s="50">
        <v>3</v>
      </c>
      <c r="G474" s="50">
        <v>1.6999999999999998E-2</v>
      </c>
      <c r="H474" s="50">
        <v>8.3521739130434772E-2</v>
      </c>
      <c r="I474" s="50">
        <v>-2.7347826086956526</v>
      </c>
      <c r="J474" s="50">
        <v>4.1657391304347824</v>
      </c>
      <c r="K474" s="50">
        <v>0.40417391304347822</v>
      </c>
    </row>
    <row r="475" spans="1:11" ht="15.75" customHeight="1" x14ac:dyDescent="0.2">
      <c r="A475" s="49">
        <v>28</v>
      </c>
      <c r="B475" s="49">
        <v>1</v>
      </c>
      <c r="C475" s="49">
        <v>10.267260869565218</v>
      </c>
      <c r="D475" s="49">
        <v>1</v>
      </c>
      <c r="E475" s="49">
        <v>4.5999999999999996</v>
      </c>
      <c r="F475" s="49">
        <v>3</v>
      </c>
      <c r="G475" s="49">
        <v>0</v>
      </c>
      <c r="H475" s="49">
        <v>0.12578260869565219</v>
      </c>
      <c r="I475" s="49">
        <v>-29.965217391304346</v>
      </c>
      <c r="J475" s="49">
        <v>0</v>
      </c>
      <c r="K475" s="49">
        <v>0.25786956521739129</v>
      </c>
    </row>
    <row r="476" spans="1:11" ht="15.75" customHeight="1" x14ac:dyDescent="0.2">
      <c r="A476" s="50">
        <v>28</v>
      </c>
      <c r="B476" s="50">
        <v>1</v>
      </c>
      <c r="C476" s="50">
        <v>17.136304347826083</v>
      </c>
      <c r="D476" s="50">
        <v>0</v>
      </c>
      <c r="E476" s="50">
        <v>4.1500000000000004</v>
      </c>
      <c r="F476" s="50">
        <v>2</v>
      </c>
      <c r="G476" s="50">
        <v>0</v>
      </c>
      <c r="H476" s="50">
        <v>0.15230434782608693</v>
      </c>
      <c r="I476" s="50">
        <v>-1.9434782608695653</v>
      </c>
      <c r="J476" s="50">
        <v>0</v>
      </c>
      <c r="K476" s="50">
        <v>-7.9739130434782604E-2</v>
      </c>
    </row>
    <row r="477" spans="1:11" ht="15.75" customHeight="1" x14ac:dyDescent="0.2">
      <c r="A477" s="51">
        <v>28</v>
      </c>
      <c r="B477" s="51">
        <v>1</v>
      </c>
      <c r="C477" s="51">
        <v>15.238173913043477</v>
      </c>
      <c r="D477" s="51">
        <v>0</v>
      </c>
      <c r="E477" s="51">
        <v>2.6</v>
      </c>
      <c r="F477" s="51">
        <v>2</v>
      </c>
      <c r="G477" s="51">
        <v>0</v>
      </c>
      <c r="H477" s="51">
        <v>7.6999999999999999E-2</v>
      </c>
      <c r="I477" s="51">
        <v>-11.68695652173913</v>
      </c>
      <c r="J477" s="51">
        <v>0</v>
      </c>
      <c r="K477" s="51">
        <v>-0.10634782608695653</v>
      </c>
    </row>
    <row r="478" spans="1:11" ht="15.75" customHeight="1" x14ac:dyDescent="0.2">
      <c r="A478" s="48">
        <v>28</v>
      </c>
      <c r="B478" s="48">
        <v>2</v>
      </c>
      <c r="C478" s="48">
        <v>8.3478783877692742</v>
      </c>
      <c r="D478" s="48">
        <v>0</v>
      </c>
      <c r="E478" s="48">
        <v>5.0199999999999996</v>
      </c>
      <c r="F478" s="48">
        <v>4</v>
      </c>
      <c r="G478" s="48">
        <v>0</v>
      </c>
      <c r="H478" s="48">
        <v>0.14879708130646283</v>
      </c>
      <c r="I478" s="48">
        <v>-1.7696316886726848</v>
      </c>
      <c r="J478" s="48">
        <v>23.857656706045862</v>
      </c>
      <c r="K478" s="48">
        <v>1.1205017373175767</v>
      </c>
    </row>
    <row r="479" spans="1:11" ht="15.75" customHeight="1" x14ac:dyDescent="0.2">
      <c r="A479" s="49">
        <v>28</v>
      </c>
      <c r="B479" s="49">
        <v>2</v>
      </c>
      <c r="C479" s="49">
        <v>22.508764419735925</v>
      </c>
      <c r="D479" s="49">
        <v>0</v>
      </c>
      <c r="E479" s="49">
        <v>4.2300000000000004</v>
      </c>
      <c r="F479" s="49">
        <v>4</v>
      </c>
      <c r="G479" s="49">
        <v>0</v>
      </c>
      <c r="H479" s="49">
        <v>0.27327936066712416</v>
      </c>
      <c r="I479" s="49">
        <v>2.536483669214681E-2</v>
      </c>
      <c r="J479" s="49">
        <v>0</v>
      </c>
      <c r="K479" s="49">
        <v>0.11129395413481599</v>
      </c>
    </row>
    <row r="480" spans="1:11" ht="15.75" customHeight="1" x14ac:dyDescent="0.2">
      <c r="A480" s="50">
        <v>28</v>
      </c>
      <c r="B480" s="50">
        <v>2</v>
      </c>
      <c r="C480" s="50">
        <v>27.768361362056968</v>
      </c>
      <c r="D480" s="50">
        <v>1</v>
      </c>
      <c r="E480" s="50">
        <v>3.86</v>
      </c>
      <c r="F480" s="50">
        <v>3</v>
      </c>
      <c r="G480" s="50">
        <v>0</v>
      </c>
      <c r="H480" s="50">
        <v>0.28322654621264354</v>
      </c>
      <c r="I480" s="50">
        <v>-5.296803335649753</v>
      </c>
      <c r="J480" s="50">
        <v>0</v>
      </c>
      <c r="K480" s="50">
        <v>-0.32120708825573302</v>
      </c>
    </row>
    <row r="481" spans="1:11" ht="15.75" customHeight="1" x14ac:dyDescent="0.2">
      <c r="A481" s="49">
        <v>28</v>
      </c>
      <c r="B481" s="49">
        <v>2</v>
      </c>
      <c r="C481" s="49">
        <v>28.621343988881179</v>
      </c>
      <c r="D481" s="49">
        <v>0</v>
      </c>
      <c r="E481" s="49">
        <v>4.12</v>
      </c>
      <c r="F481" s="49">
        <v>3</v>
      </c>
      <c r="G481" s="49">
        <v>0</v>
      </c>
      <c r="H481" s="49">
        <v>0.28536136205697676</v>
      </c>
      <c r="I481" s="49">
        <v>-8.3138290479499588</v>
      </c>
      <c r="J481" s="49">
        <v>0</v>
      </c>
      <c r="K481" s="49">
        <v>-0.35249200833912436</v>
      </c>
    </row>
    <row r="482" spans="1:11" ht="15.75" customHeight="1" x14ac:dyDescent="0.2">
      <c r="A482" s="50">
        <v>28</v>
      </c>
      <c r="B482" s="50">
        <v>2</v>
      </c>
      <c r="C482" s="50">
        <v>29.307307157748397</v>
      </c>
      <c r="D482" s="50">
        <v>0</v>
      </c>
      <c r="E482" s="50">
        <v>4.8600000000000003</v>
      </c>
      <c r="F482" s="50">
        <v>2</v>
      </c>
      <c r="G482" s="50">
        <v>0</v>
      </c>
      <c r="H482" s="50">
        <v>0.25931202223766764</v>
      </c>
      <c r="I482" s="50">
        <v>7.1716469770674501E-2</v>
      </c>
      <c r="J482" s="50">
        <v>0</v>
      </c>
      <c r="K482" s="50">
        <v>-0.38117790132036183</v>
      </c>
    </row>
    <row r="483" spans="1:11" ht="15.75" customHeight="1" x14ac:dyDescent="0.2">
      <c r="A483" s="51">
        <v>28</v>
      </c>
      <c r="B483" s="51">
        <v>2</v>
      </c>
      <c r="C483" s="51">
        <v>28.504455177206435</v>
      </c>
      <c r="D483" s="51">
        <v>0</v>
      </c>
      <c r="E483" s="51">
        <v>4.3</v>
      </c>
      <c r="F483" s="51">
        <v>2</v>
      </c>
      <c r="G483" s="51">
        <v>0</v>
      </c>
      <c r="H483" s="51">
        <v>0.247295343988882</v>
      </c>
      <c r="I483" s="51">
        <v>-14.489298123697012</v>
      </c>
      <c r="J483" s="51">
        <v>0</v>
      </c>
      <c r="K483" s="51">
        <v>0.27119527449617814</v>
      </c>
    </row>
    <row r="484" spans="1:11" ht="15.75" customHeight="1" x14ac:dyDescent="0.2">
      <c r="A484" s="48">
        <v>28</v>
      </c>
      <c r="B484" s="48">
        <v>3</v>
      </c>
      <c r="C484" s="48">
        <v>9.2880689655172404</v>
      </c>
      <c r="D484" s="48">
        <v>0</v>
      </c>
      <c r="E484" s="48">
        <v>2.95</v>
      </c>
      <c r="F484" s="48">
        <v>4</v>
      </c>
      <c r="G484" s="48">
        <v>0</v>
      </c>
      <c r="H484" s="48">
        <v>0.11255172413793105</v>
      </c>
      <c r="I484" s="48">
        <v>-0.20689655172413793</v>
      </c>
      <c r="J484" s="48">
        <v>0</v>
      </c>
      <c r="K484" s="48">
        <v>-6.3517241379310335E-2</v>
      </c>
    </row>
    <row r="485" spans="1:11" ht="15.75" customHeight="1" x14ac:dyDescent="0.2">
      <c r="A485" s="49">
        <v>28</v>
      </c>
      <c r="B485" s="49">
        <v>3</v>
      </c>
      <c r="C485" s="49">
        <v>15.088172413793101</v>
      </c>
      <c r="D485" s="49">
        <v>0</v>
      </c>
      <c r="E485" s="49">
        <v>4.1100000000000003</v>
      </c>
      <c r="F485" s="49">
        <v>4</v>
      </c>
      <c r="G485" s="49">
        <v>0</v>
      </c>
      <c r="H485" s="49">
        <v>0.12020689655172417</v>
      </c>
      <c r="I485" s="49">
        <v>-1.0413793103448277</v>
      </c>
      <c r="J485" s="49">
        <v>1.8046206896551724</v>
      </c>
      <c r="K485" s="49">
        <v>0.15444827586206894</v>
      </c>
    </row>
    <row r="486" spans="1:11" ht="15.75" customHeight="1" x14ac:dyDescent="0.2">
      <c r="A486" s="50">
        <v>28</v>
      </c>
      <c r="B486" s="50">
        <v>3</v>
      </c>
      <c r="C486" s="50">
        <v>1.2851724137931035</v>
      </c>
      <c r="D486" s="50">
        <v>0</v>
      </c>
      <c r="E486" s="50">
        <v>3.2</v>
      </c>
      <c r="F486" s="50">
        <v>3</v>
      </c>
      <c r="G486" s="50">
        <v>0.24758620689655178</v>
      </c>
      <c r="H486" s="50">
        <v>6.2413793103448271E-3</v>
      </c>
      <c r="I486" s="50">
        <v>0.16206896551724148</v>
      </c>
      <c r="J486" s="50">
        <v>11.162689655172411</v>
      </c>
      <c r="K486" s="50">
        <v>-0.18851724137931036</v>
      </c>
    </row>
    <row r="487" spans="1:11" ht="15.75" customHeight="1" x14ac:dyDescent="0.2">
      <c r="A487" s="49">
        <v>28</v>
      </c>
      <c r="B487" s="49">
        <v>3</v>
      </c>
      <c r="C487" s="49">
        <v>9.1616206896551713</v>
      </c>
      <c r="D487" s="49">
        <v>0</v>
      </c>
      <c r="E487" s="49">
        <v>3.32</v>
      </c>
      <c r="F487" s="49">
        <v>3</v>
      </c>
      <c r="G487" s="49">
        <v>0</v>
      </c>
      <c r="H487" s="49">
        <v>0.10751724137931035</v>
      </c>
      <c r="I487" s="49">
        <v>-22.431034482758612</v>
      </c>
      <c r="J487" s="49">
        <v>89.474689655172398</v>
      </c>
      <c r="K487" s="49">
        <v>0.21824137931034482</v>
      </c>
    </row>
    <row r="488" spans="1:11" ht="15.75" customHeight="1" x14ac:dyDescent="0.2">
      <c r="A488" s="50">
        <v>28</v>
      </c>
      <c r="B488" s="50">
        <v>3</v>
      </c>
      <c r="C488" s="50">
        <v>16.408517241379311</v>
      </c>
      <c r="D488" s="50">
        <v>0</v>
      </c>
      <c r="E488" s="50">
        <v>3.82</v>
      </c>
      <c r="F488" s="50">
        <v>2</v>
      </c>
      <c r="G488" s="50">
        <v>0</v>
      </c>
      <c r="H488" s="50">
        <v>0.1443103448275862</v>
      </c>
      <c r="I488" s="50">
        <v>-4.4862068965517237</v>
      </c>
      <c r="J488" s="50">
        <v>-0.12679310344827585</v>
      </c>
      <c r="K488" s="50">
        <v>0.22637931034482767</v>
      </c>
    </row>
    <row r="489" spans="1:11" ht="15.75" customHeight="1" x14ac:dyDescent="0.2">
      <c r="A489" s="51">
        <v>28</v>
      </c>
      <c r="B489" s="51">
        <v>3</v>
      </c>
      <c r="C489" s="51">
        <v>16.250103448275858</v>
      </c>
      <c r="D489" s="51">
        <v>0</v>
      </c>
      <c r="E489" s="51">
        <v>3.32</v>
      </c>
      <c r="F489" s="51">
        <v>2</v>
      </c>
      <c r="G489" s="51">
        <v>0</v>
      </c>
      <c r="H489" s="51">
        <v>0.10193103448275861</v>
      </c>
      <c r="I489" s="51">
        <v>-7.544827586206897</v>
      </c>
      <c r="J489" s="51">
        <v>6.9655172413793098E-2</v>
      </c>
      <c r="K489" s="51">
        <v>-0.73624137931034472</v>
      </c>
    </row>
    <row r="490" spans="1:11" ht="15.75" customHeight="1" x14ac:dyDescent="0.2">
      <c r="A490" s="48">
        <v>29</v>
      </c>
      <c r="B490" s="48">
        <v>1</v>
      </c>
      <c r="C490" s="48">
        <v>12.028933333333333</v>
      </c>
      <c r="D490" s="48">
        <v>0</v>
      </c>
      <c r="E490" s="48">
        <v>3.16</v>
      </c>
      <c r="F490" s="48">
        <v>4</v>
      </c>
      <c r="G490" s="48">
        <v>0</v>
      </c>
      <c r="H490" s="48">
        <v>0.1394</v>
      </c>
      <c r="I490" s="48">
        <v>0.58666666666666667</v>
      </c>
      <c r="J490" s="48">
        <v>81.615000000000009</v>
      </c>
      <c r="K490" s="48">
        <v>0.33936666666666665</v>
      </c>
    </row>
    <row r="491" spans="1:11" ht="15.75" customHeight="1" x14ac:dyDescent="0.2">
      <c r="A491" s="49">
        <v>29</v>
      </c>
      <c r="B491" s="49">
        <v>1</v>
      </c>
      <c r="C491" s="49">
        <v>14.5191</v>
      </c>
      <c r="D491" s="49">
        <v>0</v>
      </c>
      <c r="E491" s="49">
        <v>8.7899999999999991</v>
      </c>
      <c r="F491" s="49">
        <v>4</v>
      </c>
      <c r="G491" s="49">
        <v>0</v>
      </c>
      <c r="H491" s="49">
        <v>0.12433333333333335</v>
      </c>
      <c r="I491" s="49">
        <v>-0.30999999999999994</v>
      </c>
      <c r="J491" s="49">
        <v>15.663333333333332</v>
      </c>
      <c r="K491" s="49">
        <v>0.34613333333333335</v>
      </c>
    </row>
    <row r="492" spans="1:11" ht="15.75" customHeight="1" x14ac:dyDescent="0.2">
      <c r="A492" s="50">
        <v>29</v>
      </c>
      <c r="B492" s="50">
        <v>1</v>
      </c>
      <c r="C492" s="50">
        <v>4.9295000000000009</v>
      </c>
      <c r="D492" s="50">
        <v>0</v>
      </c>
      <c r="E492" s="50">
        <v>3.45</v>
      </c>
      <c r="F492" s="50">
        <v>3</v>
      </c>
      <c r="G492" s="50">
        <v>0.31270000000000009</v>
      </c>
      <c r="H492" s="50">
        <v>3.9533333333333337E-2</v>
      </c>
      <c r="I492" s="50">
        <v>-1.3066666666666664</v>
      </c>
      <c r="J492" s="50">
        <v>7.5576333333333334</v>
      </c>
      <c r="K492" s="50">
        <v>0.3635666666666667</v>
      </c>
    </row>
    <row r="493" spans="1:11" ht="15.75" customHeight="1" x14ac:dyDescent="0.2">
      <c r="A493" s="49">
        <v>29</v>
      </c>
      <c r="B493" s="49">
        <v>1</v>
      </c>
      <c r="C493" s="49">
        <v>7.4399000000000024</v>
      </c>
      <c r="D493" s="49">
        <v>0</v>
      </c>
      <c r="E493" s="49">
        <v>3.4</v>
      </c>
      <c r="F493" s="49">
        <v>3</v>
      </c>
      <c r="G493" s="49">
        <v>5.5500000000000001E-2</v>
      </c>
      <c r="H493" s="49">
        <v>9.959999999999998E-2</v>
      </c>
      <c r="I493" s="49">
        <v>-20.013333333333328</v>
      </c>
      <c r="J493" s="49">
        <v>90.671800000000019</v>
      </c>
      <c r="K493" s="49">
        <v>0.77149999999999996</v>
      </c>
    </row>
    <row r="494" spans="1:11" ht="15.75" customHeight="1" x14ac:dyDescent="0.2">
      <c r="A494" s="50">
        <v>29</v>
      </c>
      <c r="B494" s="50">
        <v>1</v>
      </c>
      <c r="C494" s="50">
        <v>16.425833333333333</v>
      </c>
      <c r="D494" s="50">
        <v>0</v>
      </c>
      <c r="E494" s="50">
        <v>1.8</v>
      </c>
      <c r="F494" s="50">
        <v>2</v>
      </c>
      <c r="G494" s="50">
        <v>3.5999999999999999E-3</v>
      </c>
      <c r="H494" s="50">
        <v>0.13729999999999995</v>
      </c>
      <c r="I494" s="50">
        <v>-3.7100000000000004</v>
      </c>
      <c r="J494" s="50">
        <v>0</v>
      </c>
      <c r="K494" s="50">
        <v>0.30729999999999991</v>
      </c>
    </row>
    <row r="495" spans="1:11" ht="15.75" customHeight="1" x14ac:dyDescent="0.2">
      <c r="A495" s="51">
        <v>29</v>
      </c>
      <c r="B495" s="51">
        <v>1</v>
      </c>
      <c r="C495" s="51">
        <v>12.069399999999998</v>
      </c>
      <c r="D495" s="51">
        <v>0</v>
      </c>
      <c r="E495" s="51">
        <v>4.5999999999999996</v>
      </c>
      <c r="F495" s="51">
        <v>2</v>
      </c>
      <c r="G495" s="51">
        <v>0</v>
      </c>
      <c r="H495" s="51">
        <v>6.3100000000000003E-2</v>
      </c>
      <c r="I495" s="51">
        <v>-6.7666666666666666</v>
      </c>
      <c r="J495" s="51">
        <v>11.745566666666667</v>
      </c>
      <c r="K495" s="51">
        <v>-6.8033333333333362E-2</v>
      </c>
    </row>
    <row r="496" spans="1:11" ht="15.75" customHeight="1" x14ac:dyDescent="0.2">
      <c r="A496" s="48">
        <v>29</v>
      </c>
      <c r="B496" s="48">
        <v>2</v>
      </c>
      <c r="C496" s="48">
        <v>13.671574224021608</v>
      </c>
      <c r="D496" s="48">
        <v>0</v>
      </c>
      <c r="E496" s="48">
        <v>4.83</v>
      </c>
      <c r="F496" s="48">
        <v>4</v>
      </c>
      <c r="G496" s="48">
        <v>2.4595141700404859E-3</v>
      </c>
      <c r="H496" s="48">
        <v>0.22523886639676019</v>
      </c>
      <c r="I496" s="48">
        <v>-1.172807017543863</v>
      </c>
      <c r="J496" s="48">
        <v>23.798028340080972</v>
      </c>
      <c r="K496" s="48">
        <v>1.5013954116059394</v>
      </c>
    </row>
    <row r="497" spans="1:11" ht="15.75" customHeight="1" x14ac:dyDescent="0.2">
      <c r="A497" s="49">
        <v>29</v>
      </c>
      <c r="B497" s="49">
        <v>2</v>
      </c>
      <c r="C497" s="49">
        <v>26.789599190283397</v>
      </c>
      <c r="D497" s="49">
        <v>0</v>
      </c>
      <c r="E497" s="49">
        <v>5.55</v>
      </c>
      <c r="F497" s="49">
        <v>4</v>
      </c>
      <c r="G497" s="49">
        <v>0</v>
      </c>
      <c r="H497" s="49">
        <v>0.42621255060728686</v>
      </c>
      <c r="I497" s="49">
        <v>0.30681511470985362</v>
      </c>
      <c r="J497" s="49">
        <v>0</v>
      </c>
      <c r="K497" s="49">
        <v>0.62371052631578994</v>
      </c>
    </row>
    <row r="498" spans="1:11" ht="15.75" customHeight="1" x14ac:dyDescent="0.2">
      <c r="A498" s="50">
        <v>29</v>
      </c>
      <c r="B498" s="50">
        <v>2</v>
      </c>
      <c r="C498" s="50">
        <v>27.863020242915002</v>
      </c>
      <c r="D498" s="50">
        <v>0</v>
      </c>
      <c r="E498" s="50">
        <v>2.59</v>
      </c>
      <c r="F498" s="50">
        <v>3</v>
      </c>
      <c r="G498" s="50">
        <v>2.9457489878543127E-2</v>
      </c>
      <c r="H498" s="50">
        <v>0.17992780026991007</v>
      </c>
      <c r="I498" s="50">
        <v>-11.755263157894744</v>
      </c>
      <c r="J498" s="50">
        <v>0</v>
      </c>
      <c r="K498" s="50">
        <v>-6.7707152496626316E-2</v>
      </c>
    </row>
    <row r="499" spans="1:11" ht="15.75" customHeight="1" x14ac:dyDescent="0.2">
      <c r="A499" s="49">
        <v>29</v>
      </c>
      <c r="B499" s="49">
        <v>2</v>
      </c>
      <c r="C499" s="49">
        <v>24.09533738191632</v>
      </c>
      <c r="D499" s="49">
        <v>0</v>
      </c>
      <c r="E499" s="49">
        <v>4.63</v>
      </c>
      <c r="F499" s="49">
        <v>3</v>
      </c>
      <c r="G499" s="49">
        <v>0</v>
      </c>
      <c r="H499" s="49">
        <v>0.28880094466936251</v>
      </c>
      <c r="I499" s="49">
        <v>-0.30094466936572156</v>
      </c>
      <c r="J499" s="49">
        <v>0</v>
      </c>
      <c r="K499" s="49">
        <v>0.83505668016194357</v>
      </c>
    </row>
    <row r="500" spans="1:11" ht="15.75" customHeight="1" x14ac:dyDescent="0.2">
      <c r="A500" s="50">
        <v>29</v>
      </c>
      <c r="B500" s="50">
        <v>2</v>
      </c>
      <c r="C500" s="50">
        <v>28.346803643724694</v>
      </c>
      <c r="D500" s="50">
        <v>0</v>
      </c>
      <c r="E500" s="50">
        <v>1.92</v>
      </c>
      <c r="F500" s="50">
        <v>2</v>
      </c>
      <c r="G500" s="50">
        <v>0</v>
      </c>
      <c r="H500" s="50">
        <v>0.27620377867746021</v>
      </c>
      <c r="I500" s="50">
        <v>-1.3242240215924423</v>
      </c>
      <c r="J500" s="50">
        <v>0</v>
      </c>
      <c r="K500" s="50">
        <v>0.2886086369770578</v>
      </c>
    </row>
    <row r="501" spans="1:11" ht="15.75" customHeight="1" x14ac:dyDescent="0.2">
      <c r="A501" s="51">
        <v>29</v>
      </c>
      <c r="B501" s="51">
        <v>2</v>
      </c>
      <c r="C501" s="51">
        <v>18.786386639676117</v>
      </c>
      <c r="D501" s="51">
        <v>1</v>
      </c>
      <c r="E501" s="51">
        <v>3.32</v>
      </c>
      <c r="F501" s="51">
        <v>2</v>
      </c>
      <c r="G501" s="51">
        <v>1.1611336032388613E-2</v>
      </c>
      <c r="H501" s="51">
        <v>7.8933873144400053E-3</v>
      </c>
      <c r="I501" s="51">
        <v>-13.084817813765447</v>
      </c>
      <c r="J501" s="51">
        <v>16.053967611336052</v>
      </c>
      <c r="K501" s="51">
        <v>0.37077327935222715</v>
      </c>
    </row>
    <row r="502" spans="1:11" ht="15.75" customHeight="1" x14ac:dyDescent="0.2">
      <c r="A502" s="48">
        <v>29</v>
      </c>
      <c r="B502" s="48">
        <v>3</v>
      </c>
      <c r="C502" s="48">
        <v>10.448666666666668</v>
      </c>
      <c r="D502" s="48">
        <v>0</v>
      </c>
      <c r="E502" s="48">
        <v>5.21</v>
      </c>
      <c r="F502" s="48">
        <v>4</v>
      </c>
      <c r="G502" s="48">
        <v>0</v>
      </c>
      <c r="H502" s="48">
        <v>0.16570000000000001</v>
      </c>
      <c r="I502" s="48">
        <v>1.4933333333333347</v>
      </c>
      <c r="J502" s="48">
        <v>57.873866666666665</v>
      </c>
      <c r="K502" s="48">
        <v>0.31146666666666667</v>
      </c>
    </row>
    <row r="503" spans="1:11" ht="15.75" customHeight="1" x14ac:dyDescent="0.2">
      <c r="A503" s="49">
        <v>29</v>
      </c>
      <c r="B503" s="49">
        <v>3</v>
      </c>
      <c r="C503" s="49">
        <v>14.475266666666668</v>
      </c>
      <c r="D503" s="49">
        <v>0</v>
      </c>
      <c r="E503" s="49">
        <v>2.63</v>
      </c>
      <c r="F503" s="49">
        <v>4</v>
      </c>
      <c r="G503" s="49">
        <v>7.5800000000000006E-2</v>
      </c>
      <c r="H503" s="49">
        <v>9.636666666666667E-2</v>
      </c>
      <c r="I503" s="49">
        <v>-0.55999999999999994</v>
      </c>
      <c r="J503" s="49">
        <v>85.797733333333341</v>
      </c>
      <c r="K503" s="49">
        <v>0.79216666666666669</v>
      </c>
    </row>
    <row r="504" spans="1:11" ht="15.75" customHeight="1" x14ac:dyDescent="0.2">
      <c r="A504" s="50">
        <v>29</v>
      </c>
      <c r="B504" s="50">
        <v>3</v>
      </c>
      <c r="C504" s="50">
        <v>10.897233333333332</v>
      </c>
      <c r="D504" s="50">
        <v>0</v>
      </c>
      <c r="E504" s="50">
        <v>5.7</v>
      </c>
      <c r="F504" s="50">
        <v>3</v>
      </c>
      <c r="G504" s="50">
        <v>3.5133333333333336E-2</v>
      </c>
      <c r="H504" s="50">
        <v>0.15919999999999995</v>
      </c>
      <c r="I504" s="50">
        <v>-20.57</v>
      </c>
      <c r="J504" s="50">
        <v>7.3877666666666659</v>
      </c>
      <c r="K504" s="50">
        <v>-0.17180000000000004</v>
      </c>
    </row>
    <row r="505" spans="1:11" ht="15.75" customHeight="1" x14ac:dyDescent="0.2">
      <c r="A505" s="49">
        <v>29</v>
      </c>
      <c r="B505" s="49">
        <v>3</v>
      </c>
      <c r="C505" s="49">
        <v>11.875933333333334</v>
      </c>
      <c r="D505" s="49">
        <v>0</v>
      </c>
      <c r="E505" s="49">
        <v>4.6900000000000004</v>
      </c>
      <c r="F505" s="49">
        <v>3</v>
      </c>
      <c r="G505" s="49">
        <v>5.3599999999999995E-2</v>
      </c>
      <c r="H505" s="49">
        <v>0.16323333333333334</v>
      </c>
      <c r="I505" s="49">
        <v>-3.7</v>
      </c>
      <c r="J505" s="49">
        <v>40.855333333333334</v>
      </c>
      <c r="K505" s="49">
        <v>-0.23483333333333337</v>
      </c>
    </row>
    <row r="506" spans="1:11" ht="15.75" customHeight="1" x14ac:dyDescent="0.2">
      <c r="A506" s="50">
        <v>29</v>
      </c>
      <c r="B506" s="50">
        <v>3</v>
      </c>
      <c r="C506" s="50">
        <v>13.286733333333332</v>
      </c>
      <c r="D506" s="50">
        <v>0</v>
      </c>
      <c r="E506" s="50">
        <v>1.39</v>
      </c>
      <c r="F506" s="50">
        <v>2</v>
      </c>
      <c r="G506" s="50">
        <v>3.2566666666666667E-2</v>
      </c>
      <c r="H506" s="50">
        <v>0.13876666666666665</v>
      </c>
      <c r="I506" s="50">
        <v>-8.5333333333333332</v>
      </c>
      <c r="J506" s="50">
        <v>45.450799999999994</v>
      </c>
      <c r="K506" s="50">
        <v>0.17766666666666669</v>
      </c>
    </row>
    <row r="507" spans="1:11" ht="15.75" customHeight="1" x14ac:dyDescent="0.2">
      <c r="A507" s="51">
        <v>29</v>
      </c>
      <c r="B507" s="51">
        <v>3</v>
      </c>
      <c r="C507" s="51">
        <v>13.502699999999999</v>
      </c>
      <c r="D507" s="51">
        <v>0</v>
      </c>
      <c r="E507" s="51">
        <v>6.19</v>
      </c>
      <c r="F507" s="51">
        <v>2</v>
      </c>
      <c r="G507" s="51">
        <v>2.5366666666666662E-2</v>
      </c>
      <c r="H507" s="51">
        <v>0.10476666666666663</v>
      </c>
      <c r="I507" s="51">
        <v>-0.1866666666666667</v>
      </c>
      <c r="J507" s="51">
        <v>56.782333333333327</v>
      </c>
      <c r="K507" s="51">
        <v>-2.0700000000000007E-2</v>
      </c>
    </row>
    <row r="508" spans="1:11" ht="15.75" customHeight="1" x14ac:dyDescent="0.2">
      <c r="A508" s="48">
        <v>30</v>
      </c>
      <c r="B508" s="48">
        <v>1</v>
      </c>
      <c r="C508" s="48">
        <v>14.604843750000002</v>
      </c>
      <c r="D508" s="48">
        <v>1</v>
      </c>
      <c r="E508" s="48">
        <v>12.22</v>
      </c>
      <c r="F508" s="48">
        <v>4</v>
      </c>
      <c r="G508" s="48">
        <v>0</v>
      </c>
      <c r="H508" s="48">
        <v>0.19534374999999995</v>
      </c>
      <c r="I508" s="48">
        <v>0.47812500000000013</v>
      </c>
      <c r="J508" s="48">
        <v>44.593062500000009</v>
      </c>
      <c r="K508" s="48">
        <v>-2.2531249999999999E-2</v>
      </c>
    </row>
    <row r="509" spans="1:11" ht="15.75" customHeight="1" x14ac:dyDescent="0.2">
      <c r="A509" s="49">
        <v>30</v>
      </c>
      <c r="B509" s="49">
        <v>1</v>
      </c>
      <c r="C509" s="49">
        <v>15.374437499999999</v>
      </c>
      <c r="D509" s="49">
        <v>0</v>
      </c>
      <c r="E509" s="49">
        <v>9.86</v>
      </c>
      <c r="F509" s="49">
        <v>4</v>
      </c>
      <c r="G509" s="49">
        <v>9.5937499999999998E-3</v>
      </c>
      <c r="H509" s="49">
        <v>4.9531249999999999E-2</v>
      </c>
      <c r="I509" s="49">
        <v>-0.23749999999999993</v>
      </c>
      <c r="J509" s="49">
        <v>77.055218750000023</v>
      </c>
      <c r="K509" s="49">
        <v>-0.27387499999999998</v>
      </c>
    </row>
    <row r="510" spans="1:11" ht="15.75" customHeight="1" x14ac:dyDescent="0.2">
      <c r="A510" s="50">
        <v>30</v>
      </c>
      <c r="B510" s="50">
        <v>1</v>
      </c>
      <c r="C510" s="50">
        <v>15.951187500000001</v>
      </c>
      <c r="D510" s="50">
        <v>0</v>
      </c>
      <c r="E510" s="50">
        <v>4.16</v>
      </c>
      <c r="F510" s="50">
        <v>3</v>
      </c>
      <c r="G510" s="50">
        <v>3.6656250000000001E-2</v>
      </c>
      <c r="H510" s="50">
        <v>0.21246875000000001</v>
      </c>
      <c r="I510" s="50">
        <v>-17.274999999999999</v>
      </c>
      <c r="J510" s="50">
        <v>56.591625000000001</v>
      </c>
      <c r="K510" s="50">
        <v>0.27799999999999997</v>
      </c>
    </row>
    <row r="511" spans="1:11" ht="15.75" customHeight="1" x14ac:dyDescent="0.2">
      <c r="A511" s="49">
        <v>30</v>
      </c>
      <c r="B511" s="49">
        <v>1</v>
      </c>
      <c r="C511" s="49">
        <v>21.493781250000001</v>
      </c>
      <c r="D511" s="49">
        <v>0</v>
      </c>
      <c r="E511" s="49">
        <v>6.26</v>
      </c>
      <c r="F511" s="49">
        <v>3</v>
      </c>
      <c r="G511" s="49">
        <v>0</v>
      </c>
      <c r="H511" s="49">
        <v>0.26965625000000004</v>
      </c>
      <c r="I511" s="49">
        <v>-10.565624999999999</v>
      </c>
      <c r="J511" s="49">
        <v>29.551218750000004</v>
      </c>
      <c r="K511" s="49">
        <v>-5.809375E-2</v>
      </c>
    </row>
    <row r="512" spans="1:11" ht="15.75" customHeight="1" x14ac:dyDescent="0.2">
      <c r="A512" s="50">
        <v>30</v>
      </c>
      <c r="B512" s="50">
        <v>1</v>
      </c>
      <c r="C512" s="50">
        <v>13.96725</v>
      </c>
      <c r="D512" s="50">
        <v>0</v>
      </c>
      <c r="E512" s="50">
        <v>3.3</v>
      </c>
      <c r="F512" s="50">
        <v>2</v>
      </c>
      <c r="G512" s="50">
        <v>1.4843749999999999E-2</v>
      </c>
      <c r="H512" s="50">
        <v>4.8968750000000005E-2</v>
      </c>
      <c r="I512" s="50">
        <v>-0.14062500000000011</v>
      </c>
      <c r="J512" s="50">
        <v>34.062218749999992</v>
      </c>
      <c r="K512" s="50">
        <v>-0.30671874999999998</v>
      </c>
    </row>
    <row r="513" spans="1:11" ht="15.75" customHeight="1" x14ac:dyDescent="0.2">
      <c r="A513" s="51">
        <v>30</v>
      </c>
      <c r="B513" s="51">
        <v>1</v>
      </c>
      <c r="C513" s="51">
        <v>11.487406250000003</v>
      </c>
      <c r="D513" s="51">
        <v>0</v>
      </c>
      <c r="E513" s="51">
        <v>5.15</v>
      </c>
      <c r="F513" s="51">
        <v>2</v>
      </c>
      <c r="G513" s="51">
        <v>1.8218749999999999E-2</v>
      </c>
      <c r="H513" s="51">
        <v>0.17106250000000003</v>
      </c>
      <c r="I513" s="51">
        <v>-21.634374999999995</v>
      </c>
      <c r="J513" s="51">
        <v>2.99265625</v>
      </c>
      <c r="K513" s="51">
        <v>0.12181249999999999</v>
      </c>
    </row>
    <row r="514" spans="1:11" ht="15.75" customHeight="1" x14ac:dyDescent="0.2">
      <c r="A514" s="48">
        <v>30</v>
      </c>
      <c r="B514" s="48">
        <v>2</v>
      </c>
      <c r="C514" s="48">
        <v>18.759792757660172</v>
      </c>
      <c r="D514" s="48">
        <v>0</v>
      </c>
      <c r="E514" s="48">
        <v>9.15</v>
      </c>
      <c r="F514" s="48">
        <v>4</v>
      </c>
      <c r="G514" s="48">
        <v>0</v>
      </c>
      <c r="H514" s="48">
        <v>0.39893426183844027</v>
      </c>
      <c r="I514" s="48">
        <v>0.42551532033426109</v>
      </c>
      <c r="J514" s="48">
        <v>19.125201671309206</v>
      </c>
      <c r="K514" s="48">
        <v>0.89955431754874282</v>
      </c>
    </row>
    <row r="515" spans="1:11" ht="15.75" customHeight="1" x14ac:dyDescent="0.2">
      <c r="A515" s="49">
        <v>30</v>
      </c>
      <c r="B515" s="49">
        <v>2</v>
      </c>
      <c r="C515" s="49">
        <v>31.794651253481902</v>
      </c>
      <c r="D515" s="49">
        <v>0</v>
      </c>
      <c r="E515" s="49">
        <v>18.22</v>
      </c>
      <c r="F515" s="49">
        <v>4</v>
      </c>
      <c r="G515" s="49">
        <v>0</v>
      </c>
      <c r="H515" s="49">
        <v>0.29761337047353514</v>
      </c>
      <c r="I515" s="49">
        <v>-7.6361559888579409</v>
      </c>
      <c r="J515" s="49">
        <v>0</v>
      </c>
      <c r="K515" s="49">
        <v>8.8638440111420733E-2</v>
      </c>
    </row>
    <row r="516" spans="1:11" ht="15.75" customHeight="1" x14ac:dyDescent="0.2">
      <c r="A516" s="50">
        <v>30</v>
      </c>
      <c r="B516" s="50">
        <v>2</v>
      </c>
      <c r="C516" s="50">
        <v>27.998319220055709</v>
      </c>
      <c r="D516" s="50">
        <v>0</v>
      </c>
      <c r="E516" s="50">
        <v>8.93</v>
      </c>
      <c r="F516" s="50">
        <v>3</v>
      </c>
      <c r="G516" s="50">
        <v>0</v>
      </c>
      <c r="H516" s="50">
        <v>0.29422005571030363</v>
      </c>
      <c r="I516" s="50">
        <v>-3.0522562674094731</v>
      </c>
      <c r="J516" s="50">
        <v>0</v>
      </c>
      <c r="K516" s="50">
        <v>-0.11966350974930362</v>
      </c>
    </row>
    <row r="517" spans="1:11" ht="15.75" customHeight="1" x14ac:dyDescent="0.2">
      <c r="A517" s="49">
        <v>30</v>
      </c>
      <c r="B517" s="49">
        <v>2</v>
      </c>
      <c r="C517" s="49">
        <v>30.272244568245149</v>
      </c>
      <c r="D517" s="49">
        <v>0</v>
      </c>
      <c r="E517" s="49">
        <v>3.39</v>
      </c>
      <c r="F517" s="49">
        <v>3</v>
      </c>
      <c r="G517" s="49">
        <v>0</v>
      </c>
      <c r="H517" s="49">
        <v>0.27003565459610068</v>
      </c>
      <c r="I517" s="49">
        <v>-8.7591643454038923</v>
      </c>
      <c r="J517" s="49">
        <v>31.117738161559895</v>
      </c>
      <c r="K517" s="49">
        <v>-9.186629526462381E-2</v>
      </c>
    </row>
    <row r="518" spans="1:11" ht="15.75" customHeight="1" x14ac:dyDescent="0.2">
      <c r="A518" s="50">
        <v>30</v>
      </c>
      <c r="B518" s="50">
        <v>2</v>
      </c>
      <c r="C518" s="50">
        <v>28.694508077994438</v>
      </c>
      <c r="D518" s="50">
        <v>1</v>
      </c>
      <c r="E518" s="50">
        <v>10.42</v>
      </c>
      <c r="F518" s="50">
        <v>2</v>
      </c>
      <c r="G518" s="50">
        <v>0</v>
      </c>
      <c r="H518" s="50">
        <v>0.35489192200557201</v>
      </c>
      <c r="I518" s="50">
        <v>-2.2565459610028</v>
      </c>
      <c r="J518" s="50">
        <v>91.485761002785409</v>
      </c>
      <c r="K518" s="50">
        <v>-0.14537381615598868</v>
      </c>
    </row>
    <row r="519" spans="1:11" ht="15.75" customHeight="1" x14ac:dyDescent="0.2">
      <c r="A519" s="51">
        <v>30</v>
      </c>
      <c r="B519" s="51">
        <v>2</v>
      </c>
      <c r="C519" s="51">
        <v>31.686163231197813</v>
      </c>
      <c r="D519" s="51">
        <v>0</v>
      </c>
      <c r="E519" s="51">
        <v>2.82</v>
      </c>
      <c r="F519" s="51">
        <v>2</v>
      </c>
      <c r="G519" s="51">
        <v>0</v>
      </c>
      <c r="H519" s="51">
        <v>0.30088690807799301</v>
      </c>
      <c r="I519" s="51">
        <v>-11.336155988857938</v>
      </c>
      <c r="J519" s="51">
        <v>6.7141821727019568</v>
      </c>
      <c r="K519" s="51">
        <v>-0.3034846796657385</v>
      </c>
    </row>
    <row r="520" spans="1:11" ht="15.75" customHeight="1" x14ac:dyDescent="0.2">
      <c r="A520" s="48">
        <v>30</v>
      </c>
      <c r="B520" s="48">
        <v>3</v>
      </c>
      <c r="C520" s="48">
        <v>15.219900000000001</v>
      </c>
      <c r="D520" s="48">
        <v>0</v>
      </c>
      <c r="E520" s="48">
        <v>5.32</v>
      </c>
      <c r="F520" s="48">
        <v>4</v>
      </c>
      <c r="G520" s="48">
        <v>0</v>
      </c>
      <c r="H520" s="48">
        <v>0.20630000000000001</v>
      </c>
      <c r="I520" s="48">
        <v>0.26999999999999996</v>
      </c>
      <c r="J520" s="48">
        <v>0</v>
      </c>
      <c r="K520" s="48">
        <v>-4.0166666666666656E-2</v>
      </c>
    </row>
    <row r="521" spans="1:11" ht="15.75" customHeight="1" x14ac:dyDescent="0.2">
      <c r="A521" s="49">
        <v>30</v>
      </c>
      <c r="B521" s="49">
        <v>3</v>
      </c>
      <c r="C521" s="49">
        <v>11.565433333333335</v>
      </c>
      <c r="D521" s="49">
        <v>0</v>
      </c>
      <c r="E521" s="49">
        <v>15</v>
      </c>
      <c r="F521" s="49">
        <v>4</v>
      </c>
      <c r="G521" s="49">
        <v>5.9600000000000007E-2</v>
      </c>
      <c r="H521" s="49">
        <v>0.10806666666666667</v>
      </c>
      <c r="I521" s="49">
        <v>-16.859999999999996</v>
      </c>
      <c r="J521" s="49">
        <v>13.862</v>
      </c>
      <c r="K521" s="49">
        <v>6.9233333333333355E-2</v>
      </c>
    </row>
    <row r="522" spans="1:11" ht="15.75" customHeight="1" x14ac:dyDescent="0.2">
      <c r="A522" s="50">
        <v>30</v>
      </c>
      <c r="B522" s="50">
        <v>3</v>
      </c>
      <c r="C522" s="50">
        <v>15.960599999999999</v>
      </c>
      <c r="D522" s="50">
        <v>0</v>
      </c>
      <c r="E522" s="50">
        <v>4.5999999999999996</v>
      </c>
      <c r="F522" s="50">
        <v>3</v>
      </c>
      <c r="G522" s="50">
        <v>3.44E-2</v>
      </c>
      <c r="H522" s="50">
        <v>0.15433333333333332</v>
      </c>
      <c r="I522" s="50">
        <v>0.43666666666666665</v>
      </c>
      <c r="J522" s="50">
        <v>46.734566666666666</v>
      </c>
      <c r="K522" s="50">
        <v>0.13373333333333332</v>
      </c>
    </row>
    <row r="523" spans="1:11" ht="15.75" customHeight="1" x14ac:dyDescent="0.2">
      <c r="A523" s="49">
        <v>30</v>
      </c>
      <c r="B523" s="49">
        <v>3</v>
      </c>
      <c r="C523" s="49">
        <v>16.790833333333332</v>
      </c>
      <c r="D523" s="49">
        <v>0</v>
      </c>
      <c r="E523" s="49">
        <v>5.86</v>
      </c>
      <c r="F523" s="49">
        <v>3</v>
      </c>
      <c r="G523" s="49">
        <v>3.153333333333333E-2</v>
      </c>
      <c r="H523" s="49">
        <v>0.20963333333333337</v>
      </c>
      <c r="I523" s="49">
        <v>-11.813333333333331</v>
      </c>
      <c r="J523" s="49">
        <v>31.475233333333335</v>
      </c>
      <c r="K523" s="49">
        <v>-0.15206666666666666</v>
      </c>
    </row>
    <row r="524" spans="1:11" ht="15.75" customHeight="1" x14ac:dyDescent="0.2">
      <c r="A524" s="50">
        <v>30</v>
      </c>
      <c r="B524" s="50">
        <v>3</v>
      </c>
      <c r="C524" s="50">
        <v>15.057766666666669</v>
      </c>
      <c r="D524" s="50">
        <v>0</v>
      </c>
      <c r="E524" s="50">
        <v>2.46</v>
      </c>
      <c r="F524" s="50">
        <v>2</v>
      </c>
      <c r="G524" s="50">
        <v>3.8566666666666659E-2</v>
      </c>
      <c r="H524" s="50">
        <v>0.17200000000000004</v>
      </c>
      <c r="I524" s="50">
        <v>-2.666666666666672E-2</v>
      </c>
      <c r="J524" s="50">
        <v>51.67730000000001</v>
      </c>
      <c r="K524" s="50">
        <v>-0.3473666666666666</v>
      </c>
    </row>
    <row r="525" spans="1:11" ht="15.75" customHeight="1" x14ac:dyDescent="0.2">
      <c r="A525" s="51">
        <v>30</v>
      </c>
      <c r="B525" s="51">
        <v>3</v>
      </c>
      <c r="C525" s="51">
        <v>10.026399999999997</v>
      </c>
      <c r="D525" s="51">
        <v>0</v>
      </c>
      <c r="E525" s="51">
        <v>2.7</v>
      </c>
      <c r="F525" s="51">
        <v>2</v>
      </c>
      <c r="G525" s="51">
        <v>1.1333333333333332E-2</v>
      </c>
      <c r="H525" s="51">
        <v>0.17333333333333331</v>
      </c>
      <c r="I525" s="51">
        <v>-16.943333333333335</v>
      </c>
      <c r="J525" s="51">
        <v>43.859966666666665</v>
      </c>
      <c r="K525" s="51">
        <v>3.9766666666666721E-2</v>
      </c>
    </row>
    <row r="526" spans="1:11" ht="15.75" customHeight="1" x14ac:dyDescent="0.2">
      <c r="B526" s="47">
        <f>AVERAGE(B2:B525)</f>
        <v>1.9904580152671756</v>
      </c>
      <c r="C526" s="47">
        <f>AVERAGE(C2:C525)</f>
        <v>16.353428321674155</v>
      </c>
      <c r="D526" s="47">
        <f t="shared" ref="D526:K526" si="0">AVERAGE(D2:D525)</f>
        <v>0.24809160305343511</v>
      </c>
      <c r="E526" s="47">
        <f t="shared" si="0"/>
        <v>5.9254580152671821</v>
      </c>
      <c r="F526" s="47">
        <f t="shared" si="0"/>
        <v>2.9713740458015265</v>
      </c>
      <c r="G526" s="47">
        <f t="shared" si="0"/>
        <v>1.8446197850863686E-2</v>
      </c>
      <c r="H526" s="47">
        <f t="shared" si="0"/>
        <v>0.1655978175618622</v>
      </c>
      <c r="I526" s="47">
        <f t="shared" si="0"/>
        <v>-6.2065386043876192</v>
      </c>
      <c r="J526" s="47">
        <f t="shared" si="0"/>
        <v>28.843768082741885</v>
      </c>
      <c r="K526" s="47">
        <f t="shared" si="0"/>
        <v>0.13511092372424735</v>
      </c>
    </row>
    <row r="527" spans="1:11" ht="15.75" customHeight="1" x14ac:dyDescent="0.2">
      <c r="B527" s="47">
        <f>_xlfn.STDEV.P(B2:B525)</f>
        <v>0.80900500814217102</v>
      </c>
      <c r="C527" s="47">
        <f>_xlfn.STDEV.P(C2:C525)</f>
        <v>6.3401817395511859</v>
      </c>
      <c r="D527" s="47">
        <f t="shared" ref="D527:K527" si="1">_xlfn.STDEV.P(D2:D525)</f>
        <v>0.52739474114075724</v>
      </c>
      <c r="E527" s="47">
        <f t="shared" si="1"/>
        <v>4.3523338018867994</v>
      </c>
      <c r="F527" s="47">
        <f t="shared" si="1"/>
        <v>0.81091152495886532</v>
      </c>
      <c r="G527" s="47">
        <f t="shared" si="1"/>
        <v>3.6786366156592878E-2</v>
      </c>
      <c r="H527" s="47">
        <f t="shared" si="1"/>
        <v>8.5123928405819324E-2</v>
      </c>
      <c r="I527" s="47">
        <f t="shared" si="1"/>
        <v>9.4534958692584077</v>
      </c>
      <c r="J527" s="47">
        <f t="shared" si="1"/>
        <v>34.360142963601035</v>
      </c>
      <c r="K527" s="47">
        <f t="shared" si="1"/>
        <v>0.42389696515608427</v>
      </c>
    </row>
  </sheetData>
  <autoFilter ref="A1:K150">
    <sortState ref="A2:L525">
      <sortCondition ref="A1:A150"/>
    </sortState>
  </autoFilter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Sheet4</vt:lpstr>
      <vt:lpstr>Sheet1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May</dc:creator>
  <cp:lastModifiedBy>Adam May</cp:lastModifiedBy>
  <dcterms:created xsi:type="dcterms:W3CDTF">2017-02-15T15:10:31Z</dcterms:created>
  <dcterms:modified xsi:type="dcterms:W3CDTF">2017-04-18T22:45:32Z</dcterms:modified>
</cp:coreProperties>
</file>