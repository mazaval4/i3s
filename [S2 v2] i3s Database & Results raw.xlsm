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s\adamg\workspace\capstone\i3s\"/>
    </mc:Choice>
  </mc:AlternateContent>
  <bookViews>
    <workbookView xWindow="0" yWindow="0" windowWidth="20325" windowHeight="10950"/>
  </bookViews>
  <sheets>
    <sheet name="Sheet1" sheetId="1" r:id="rId1"/>
    <sheet name="Sheet2" sheetId="2" r:id="rId2"/>
    <sheet name="Sheet4" sheetId="4" r:id="rId3"/>
  </sheets>
  <definedNames>
    <definedName name="_xlnm._FilterDatabase" localSheetId="0" hidden="1">Sheet1!$A$1:$K$150</definedName>
  </definedNames>
  <calcPr calcId="171027"/>
</workbook>
</file>

<file path=xl/calcChain.xml><?xml version="1.0" encoding="utf-8"?>
<calcChain xmlns="http://schemas.openxmlformats.org/spreadsheetml/2006/main">
  <c r="V109" i="2" l="1"/>
  <c r="V108" i="2"/>
  <c r="V107" i="2"/>
  <c r="V106" i="2"/>
  <c r="V103" i="2"/>
  <c r="V102" i="2"/>
  <c r="V101" i="2"/>
  <c r="V100" i="2"/>
  <c r="V97" i="2"/>
  <c r="V96" i="2"/>
  <c r="V95" i="2"/>
  <c r="V94" i="2"/>
  <c r="V91" i="2"/>
  <c r="V90" i="2"/>
  <c r="V89" i="2"/>
  <c r="V88" i="2"/>
  <c r="V85" i="2"/>
  <c r="V84" i="2"/>
  <c r="V83" i="2"/>
  <c r="V82" i="2"/>
  <c r="V79" i="2"/>
  <c r="V78" i="2"/>
  <c r="V77" i="2"/>
  <c r="V76" i="2"/>
  <c r="V73" i="2"/>
  <c r="V72" i="2"/>
  <c r="V71" i="2"/>
  <c r="V70" i="2"/>
  <c r="V67" i="2"/>
  <c r="V66" i="2"/>
  <c r="V65" i="2"/>
  <c r="V64" i="2"/>
  <c r="V61" i="2"/>
  <c r="V60" i="2"/>
  <c r="V59" i="2"/>
  <c r="V58" i="2"/>
  <c r="V55" i="2"/>
  <c r="V54" i="2"/>
  <c r="V53" i="2"/>
  <c r="V52" i="2"/>
  <c r="V49" i="2"/>
  <c r="V48" i="2"/>
  <c r="V47" i="2"/>
  <c r="V46" i="2"/>
  <c r="V43" i="2"/>
  <c r="V42" i="2"/>
  <c r="V41" i="2"/>
  <c r="V40" i="2"/>
  <c r="V37" i="2"/>
  <c r="V36" i="2"/>
  <c r="V35" i="2"/>
  <c r="V34" i="2"/>
  <c r="V31" i="2"/>
  <c r="V30" i="2"/>
  <c r="V29" i="2"/>
  <c r="V28" i="2"/>
  <c r="V25" i="2"/>
  <c r="V24" i="2"/>
  <c r="V23" i="2"/>
  <c r="V22" i="2"/>
  <c r="V19" i="2"/>
  <c r="V18" i="2"/>
  <c r="V17" i="2"/>
  <c r="V16" i="2"/>
  <c r="V13" i="2"/>
  <c r="V12" i="2"/>
  <c r="V11" i="2"/>
  <c r="V10" i="2"/>
  <c r="V6" i="2"/>
  <c r="V5" i="2"/>
  <c r="V4" i="2"/>
  <c r="V3" i="2"/>
</calcChain>
</file>

<file path=xl/sharedStrings.xml><?xml version="1.0" encoding="utf-8"?>
<sst xmlns="http://schemas.openxmlformats.org/spreadsheetml/2006/main" count="1567" uniqueCount="169">
  <si>
    <t>Participant #</t>
  </si>
  <si>
    <t>Mode</t>
  </si>
  <si>
    <t>Speed</t>
  </si>
  <si>
    <t>Number Of Errors</t>
  </si>
  <si>
    <t>Response Time</t>
  </si>
  <si>
    <t>Number Of Steps</t>
  </si>
  <si>
    <t>Braking</t>
  </si>
  <si>
    <t>Acceleration</t>
  </si>
  <si>
    <t>Steering Wheel</t>
  </si>
  <si>
    <t>Distance</t>
  </si>
  <si>
    <t>Lane Changing</t>
  </si>
  <si>
    <t>Student 2</t>
  </si>
  <si>
    <t>Student 3</t>
  </si>
  <si>
    <t>Student 4</t>
  </si>
  <si>
    <t>Student 5</t>
  </si>
  <si>
    <t>Student 6</t>
  </si>
  <si>
    <t>Student 7</t>
  </si>
  <si>
    <t>Student 8</t>
  </si>
  <si>
    <t>Student 9</t>
  </si>
  <si>
    <t>Student 10</t>
  </si>
  <si>
    <t>Student 11</t>
  </si>
  <si>
    <t>Student 1</t>
  </si>
  <si>
    <t>Student 12</t>
  </si>
  <si>
    <t>Student 13</t>
  </si>
  <si>
    <t>Student 14</t>
  </si>
  <si>
    <t>Student 15</t>
  </si>
  <si>
    <t>Student 16</t>
  </si>
  <si>
    <t>Student 17</t>
  </si>
  <si>
    <t>LEAVE EMPTY! This is a template for copy and paste purpose only.</t>
  </si>
  <si>
    <t>Student #</t>
  </si>
  <si>
    <t>c</t>
  </si>
  <si>
    <t>Time</t>
  </si>
  <si>
    <t>4 actions</t>
  </si>
  <si>
    <t>Mistakes</t>
  </si>
  <si>
    <t>3 actions</t>
  </si>
  <si>
    <t>2 actions</t>
  </si>
  <si>
    <t>Mistakes:</t>
  </si>
  <si>
    <t>Mode 1</t>
  </si>
  <si>
    <t>4 action:</t>
  </si>
  <si>
    <t>Mode 2</t>
  </si>
  <si>
    <t>3 action:</t>
  </si>
  <si>
    <t>Mode 3</t>
  </si>
  <si>
    <t>2 action:</t>
  </si>
  <si>
    <t>USB 7</t>
  </si>
  <si>
    <t>Window up</t>
  </si>
  <si>
    <t>Radio FM</t>
  </si>
  <si>
    <t>High Beams</t>
  </si>
  <si>
    <t>Wiper Mode</t>
  </si>
  <si>
    <t>Radio AM</t>
  </si>
  <si>
    <t>Low Beams</t>
  </si>
  <si>
    <t>Bluetooth 3</t>
  </si>
  <si>
    <t>Don't be mad</t>
  </si>
  <si>
    <t>USB 3</t>
  </si>
  <si>
    <t>USB 8</t>
  </si>
  <si>
    <t>Wiper mode</t>
  </si>
  <si>
    <t>Wiper on</t>
  </si>
  <si>
    <t>Windows up</t>
  </si>
  <si>
    <t>Bluetooth 10</t>
  </si>
  <si>
    <t>Windows down</t>
  </si>
  <si>
    <t>Media Bluetooth</t>
  </si>
  <si>
    <t>High beams</t>
  </si>
  <si>
    <t>Low beam</t>
  </si>
  <si>
    <t>FM Menu</t>
  </si>
  <si>
    <t>Bluetooth 5</t>
  </si>
  <si>
    <t>Play song</t>
  </si>
  <si>
    <t>Wiper Change</t>
  </si>
  <si>
    <t>Low Beam</t>
  </si>
  <si>
    <t>Bluetooth 7</t>
  </si>
  <si>
    <t>High Beam</t>
  </si>
  <si>
    <t>Play Music</t>
  </si>
  <si>
    <t>FM Channel</t>
  </si>
  <si>
    <t>Recent Contacts</t>
  </si>
  <si>
    <t>USB 6</t>
  </si>
  <si>
    <t>Bluetooth 2</t>
  </si>
  <si>
    <t>Recent contacts</t>
  </si>
  <si>
    <t>Bluetooth 4</t>
  </si>
  <si>
    <t>Contact list</t>
  </si>
  <si>
    <t>Pause music</t>
  </si>
  <si>
    <t>Window down</t>
  </si>
  <si>
    <t>Pause Music</t>
  </si>
  <si>
    <t>Bluetooth 8</t>
  </si>
  <si>
    <t>Play music</t>
  </si>
  <si>
    <t>I'm done</t>
  </si>
  <si>
    <t>Bluetooth 1</t>
  </si>
  <si>
    <t>Student 18</t>
  </si>
  <si>
    <t>Student 19</t>
  </si>
  <si>
    <t>Student 20</t>
  </si>
  <si>
    <t>Student 21</t>
  </si>
  <si>
    <t>Student 22</t>
  </si>
  <si>
    <t>Fav 0 Canes</t>
  </si>
  <si>
    <t>Search 0 Starbucks</t>
  </si>
  <si>
    <t>Contacts 0 Miguel</t>
  </si>
  <si>
    <t>Contacts 0 Zach</t>
  </si>
  <si>
    <t>Recent 0 Zach</t>
  </si>
  <si>
    <t>Contacts 0 Seema</t>
  </si>
  <si>
    <t>Search 0 Canes</t>
  </si>
  <si>
    <t>Recent 0 Miguel</t>
  </si>
  <si>
    <t>Vol down 0 AM</t>
  </si>
  <si>
    <t>Vol 0 AM</t>
  </si>
  <si>
    <t>Search 0 Walmart</t>
  </si>
  <si>
    <t>Recent 0 Adam</t>
  </si>
  <si>
    <t>Search 0 Mobile</t>
  </si>
  <si>
    <t>Vol up 0 FM</t>
  </si>
  <si>
    <t>Channel up 0 FM</t>
  </si>
  <si>
    <t>Search 0 Shell</t>
  </si>
  <si>
    <t>Contacts 0 Bin</t>
  </si>
  <si>
    <t>Search 0 In n' Out</t>
  </si>
  <si>
    <t>Recent 0 Seema</t>
  </si>
  <si>
    <t>Fav 0 Walmart</t>
  </si>
  <si>
    <t>Media 0 I'm done</t>
  </si>
  <si>
    <t>Volume up 0 FM</t>
  </si>
  <si>
    <t>Contacts 0 Talab</t>
  </si>
  <si>
    <t>Recent 0 Shokoufeh</t>
  </si>
  <si>
    <t>5.00</t>
  </si>
  <si>
    <t>-</t>
  </si>
  <si>
    <t>15.41</t>
  </si>
  <si>
    <t>9.61</t>
  </si>
  <si>
    <t>2.67</t>
  </si>
  <si>
    <t>12.00</t>
  </si>
  <si>
    <t>7.25</t>
  </si>
  <si>
    <t>6.23</t>
  </si>
  <si>
    <t>7.10</t>
  </si>
  <si>
    <t>7.76</t>
  </si>
  <si>
    <t>9.34</t>
  </si>
  <si>
    <t>2.86</t>
  </si>
  <si>
    <t>3.00</t>
  </si>
  <si>
    <t>9.41</t>
  </si>
  <si>
    <t>5.40</t>
  </si>
  <si>
    <t>3.12</t>
  </si>
  <si>
    <t>9.00</t>
  </si>
  <si>
    <t>12.59</t>
  </si>
  <si>
    <t>5.63</t>
  </si>
  <si>
    <t>4.58</t>
  </si>
  <si>
    <t>Student 23</t>
  </si>
  <si>
    <t>4.57</t>
  </si>
  <si>
    <t>3.48</t>
  </si>
  <si>
    <t>2.14</t>
  </si>
  <si>
    <t>Student 24</t>
  </si>
  <si>
    <t>8.11</t>
  </si>
  <si>
    <t>5.49</t>
  </si>
  <si>
    <t>2.97</t>
  </si>
  <si>
    <t>Student 25</t>
  </si>
  <si>
    <t>0.00</t>
  </si>
  <si>
    <t>4.89</t>
  </si>
  <si>
    <t>3.05</t>
  </si>
  <si>
    <t>2.17</t>
  </si>
  <si>
    <t>Student 26</t>
  </si>
  <si>
    <t>4.84</t>
  </si>
  <si>
    <t>3.67</t>
  </si>
  <si>
    <t>2.56</t>
  </si>
  <si>
    <t>Student 27</t>
  </si>
  <si>
    <t>6.00</t>
  </si>
  <si>
    <t>7.72</t>
  </si>
  <si>
    <t>5.58</t>
  </si>
  <si>
    <t>6.84</t>
  </si>
  <si>
    <t>Student 28</t>
  </si>
  <si>
    <t>2.00</t>
  </si>
  <si>
    <t>4.27</t>
  </si>
  <si>
    <t>3.82</t>
  </si>
  <si>
    <t>3.84</t>
  </si>
  <si>
    <t>Student 29</t>
  </si>
  <si>
    <t>1.00</t>
  </si>
  <si>
    <t>5.03</t>
  </si>
  <si>
    <t>4.08</t>
  </si>
  <si>
    <t>3.20</t>
  </si>
  <si>
    <t>Student 30</t>
  </si>
  <si>
    <t>11.63</t>
  </si>
  <si>
    <t>5.53</t>
  </si>
  <si>
    <t>4.48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</si>
</sst>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rgb="FF000000"/>
      <name val="Arial"/>
    </font>
    <font>
      <sz val="10"/>
      <color rgb="FFFFFFFF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name val="Arial"/>
      <family val="2"/>
    </font>
    <font>
      <sz val="10"/>
      <color rgb="FF000000"/>
      <name val="Arial"/>
    </font>
    <font>
      <sz val="10"/>
      <color rgb="FFFFFFFF"/>
      <name val="Arial"/>
    </font>
    <font>
      <sz val="10"/>
      <name val="Arial"/>
    </font>
    <font>
      <b/>
      <sz val="10"/>
      <color rgb="FF000000"/>
      <name val="Arial"/>
    </font>
  </fonts>
  <fills count="9">
    <fill>
      <patternFill patternType="none"/>
    </fill>
    <fill>
      <patternFill patternType="gray125"/>
    </fill>
    <fill>
      <patternFill patternType="solid">
        <fgColor rgb="FF999999"/>
        <bgColor rgb="FF999999"/>
      </patternFill>
    </fill>
    <fill>
      <patternFill patternType="solid">
        <fgColor rgb="FFFFE599"/>
        <bgColor rgb="FFFFE599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rgb="FFFF0000"/>
      </patternFill>
    </fill>
    <fill>
      <patternFill patternType="solid">
        <fgColor rgb="FF000000"/>
        <bgColor rgb="FF000000"/>
      </patternFill>
    </fill>
    <fill>
      <patternFill patternType="solid">
        <fgColor rgb="FF0000FF"/>
        <bgColor rgb="FF0000FF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74">
    <xf numFmtId="0" fontId="0" fillId="0" borderId="0" xfId="0" applyFont="1" applyAlignment="1"/>
    <xf numFmtId="0" fontId="1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/>
    <xf numFmtId="0" fontId="1" fillId="5" borderId="0" xfId="0" applyFont="1" applyFill="1" applyAlignment="1"/>
    <xf numFmtId="0" fontId="3" fillId="5" borderId="0" xfId="0" applyFont="1" applyFill="1" applyAlignment="1"/>
    <xf numFmtId="0" fontId="4" fillId="5" borderId="0" xfId="0" applyFont="1" applyFill="1" applyAlignment="1"/>
    <xf numFmtId="0" fontId="3" fillId="5" borderId="0" xfId="0" applyFont="1" applyFill="1" applyAlignment="1">
      <alignment horizontal="right"/>
    </xf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2" fillId="0" borderId="0" xfId="0" applyFont="1" applyAlignment="1"/>
    <xf numFmtId="2" fontId="2" fillId="0" borderId="0" xfId="0" applyNumberFormat="1" applyFont="1"/>
    <xf numFmtId="0" fontId="2" fillId="0" borderId="0" xfId="0" applyFont="1" applyAlignment="1">
      <alignment horizontal="center"/>
    </xf>
    <xf numFmtId="0" fontId="1" fillId="8" borderId="2" xfId="0" applyFont="1" applyFill="1" applyBorder="1" applyAlignment="1"/>
    <xf numFmtId="0" fontId="2" fillId="0" borderId="3" xfId="0" applyFont="1" applyBorder="1" applyAlignment="1"/>
    <xf numFmtId="0" fontId="2" fillId="0" borderId="3" xfId="0" applyFont="1" applyBorder="1" applyAlignment="1">
      <alignment horizontal="right"/>
    </xf>
    <xf numFmtId="0" fontId="1" fillId="8" borderId="3" xfId="0" applyFont="1" applyFill="1" applyBorder="1" applyAlignment="1"/>
    <xf numFmtId="0" fontId="1" fillId="8" borderId="4" xfId="0" applyFont="1" applyFill="1" applyBorder="1" applyAlignment="1"/>
    <xf numFmtId="0" fontId="2" fillId="0" borderId="4" xfId="0" applyFont="1" applyBorder="1" applyAlignment="1"/>
    <xf numFmtId="0" fontId="2" fillId="0" borderId="4" xfId="0" applyFont="1" applyBorder="1" applyAlignment="1">
      <alignment horizontal="right"/>
    </xf>
    <xf numFmtId="0" fontId="2" fillId="5" borderId="0" xfId="0" applyFont="1" applyFill="1" applyAlignment="1"/>
    <xf numFmtId="2" fontId="2" fillId="5" borderId="0" xfId="0" applyNumberFormat="1" applyFont="1" applyFill="1" applyAlignment="1"/>
    <xf numFmtId="0" fontId="2" fillId="5" borderId="5" xfId="0" applyFont="1" applyFill="1" applyBorder="1" applyAlignment="1"/>
    <xf numFmtId="0" fontId="4" fillId="5" borderId="5" xfId="0" applyFont="1" applyFill="1" applyBorder="1" applyAlignment="1"/>
    <xf numFmtId="0" fontId="2" fillId="0" borderId="5" xfId="0" applyFont="1" applyBorder="1" applyAlignment="1"/>
    <xf numFmtId="0" fontId="2" fillId="5" borderId="6" xfId="0" applyFont="1" applyFill="1" applyBorder="1" applyAlignment="1"/>
    <xf numFmtId="0" fontId="1" fillId="7" borderId="6" xfId="0" applyFont="1" applyFill="1" applyBorder="1" applyAlignment="1">
      <alignment horizontal="center"/>
    </xf>
    <xf numFmtId="0" fontId="2" fillId="0" borderId="7" xfId="0" applyFont="1" applyBorder="1" applyAlignment="1"/>
    <xf numFmtId="0" fontId="2" fillId="0" borderId="7" xfId="0" applyFont="1" applyBorder="1" applyAlignment="1">
      <alignment horizontal="right"/>
    </xf>
    <xf numFmtId="0" fontId="2" fillId="0" borderId="6" xfId="0" applyFont="1" applyBorder="1" applyAlignment="1"/>
    <xf numFmtId="0" fontId="2" fillId="0" borderId="6" xfId="0" applyFont="1" applyBorder="1" applyAlignment="1">
      <alignment horizontal="right"/>
    </xf>
    <xf numFmtId="0" fontId="1" fillId="7" borderId="4" xfId="0" applyFont="1" applyFill="1" applyBorder="1" applyAlignment="1">
      <alignment horizontal="center"/>
    </xf>
    <xf numFmtId="0" fontId="2" fillId="0" borderId="2" xfId="0" applyFont="1" applyBorder="1" applyAlignment="1"/>
    <xf numFmtId="0" fontId="2" fillId="0" borderId="2" xfId="0" applyFont="1" applyBorder="1" applyAlignment="1">
      <alignment horizontal="right"/>
    </xf>
    <xf numFmtId="0" fontId="1" fillId="5" borderId="0" xfId="0" applyFont="1" applyFill="1"/>
    <xf numFmtId="0" fontId="2" fillId="0" borderId="0" xfId="0" applyFont="1" applyAlignment="1">
      <alignment horizontal="right"/>
    </xf>
    <xf numFmtId="0" fontId="5" fillId="0" borderId="0" xfId="0" applyFont="1" applyAlignment="1"/>
    <xf numFmtId="0" fontId="1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 vertical="center"/>
      <protection locked="0"/>
    </xf>
    <xf numFmtId="0" fontId="2" fillId="3" borderId="10" xfId="0" applyFont="1" applyFill="1" applyBorder="1" applyAlignment="1" applyProtection="1">
      <alignment horizontal="center" vertical="center"/>
      <protection locked="0"/>
    </xf>
    <xf numFmtId="0" fontId="2" fillId="4" borderId="10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2" fillId="3" borderId="9" xfId="0" applyFont="1" applyFill="1" applyBorder="1" applyAlignment="1" applyProtection="1">
      <alignment horizontal="center" vertical="center"/>
      <protection locked="0"/>
    </xf>
    <xf numFmtId="0" fontId="2" fillId="4" borderId="11" xfId="0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/>
    <xf numFmtId="0" fontId="6" fillId="5" borderId="0" xfId="0" applyFont="1" applyFill="1" applyAlignment="1"/>
    <xf numFmtId="0" fontId="9" fillId="5" borderId="0" xfId="0" applyFont="1" applyFill="1" applyAlignment="1"/>
    <xf numFmtId="0" fontId="6" fillId="5" borderId="0" xfId="0" applyFont="1" applyFill="1" applyAlignment="1">
      <alignment horizontal="right"/>
    </xf>
    <xf numFmtId="0" fontId="6" fillId="5" borderId="0" xfId="0" applyFont="1" applyFill="1"/>
    <xf numFmtId="2" fontId="6" fillId="5" borderId="0" xfId="0" applyNumberFormat="1" applyFont="1" applyFill="1"/>
    <xf numFmtId="0" fontId="6" fillId="5" borderId="0" xfId="0" applyFont="1" applyFill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8" fillId="0" borderId="0" xfId="0" applyFont="1" applyAlignment="1"/>
    <xf numFmtId="2" fontId="8" fillId="0" borderId="0" xfId="0" applyNumberFormat="1" applyFont="1"/>
    <xf numFmtId="0" fontId="7" fillId="8" borderId="2" xfId="0" applyFont="1" applyFill="1" applyBorder="1" applyAlignment="1"/>
    <xf numFmtId="0" fontId="8" fillId="0" borderId="3" xfId="0" applyFont="1" applyBorder="1" applyAlignment="1"/>
    <xf numFmtId="0" fontId="8" fillId="0" borderId="3" xfId="0" applyFont="1" applyBorder="1" applyAlignment="1">
      <alignment horizontal="right"/>
    </xf>
    <xf numFmtId="0" fontId="7" fillId="8" borderId="3" xfId="0" applyFont="1" applyFill="1" applyBorder="1" applyAlignment="1"/>
    <xf numFmtId="0" fontId="7" fillId="8" borderId="4" xfId="0" applyFont="1" applyFill="1" applyBorder="1" applyAlignment="1"/>
    <xf numFmtId="0" fontId="8" fillId="0" borderId="4" xfId="0" applyFont="1" applyBorder="1" applyAlignment="1"/>
    <xf numFmtId="0" fontId="8" fillId="0" borderId="4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1" fillId="6" borderId="0" xfId="0" applyFont="1" applyFill="1" applyAlignment="1">
      <alignment horizontal="center" vertical="center"/>
    </xf>
    <xf numFmtId="0" fontId="0" fillId="0" borderId="0" xfId="0" applyFont="1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525"/>
  <sheetViews>
    <sheetView tabSelected="1" zoomScale="115" zoomScaleNormal="115" workbookViewId="0">
      <pane ySplit="1" topLeftCell="A2" activePane="bottomLeft" state="frozen"/>
      <selection activeCell="C11" sqref="C11"/>
      <selection pane="bottomLeft" activeCell="G14" sqref="G14"/>
    </sheetView>
  </sheetViews>
  <sheetFormatPr defaultColWidth="14.42578125" defaultRowHeight="15.75" customHeight="1" x14ac:dyDescent="0.2"/>
  <cols>
    <col min="1" max="1" width="14.42578125" style="47"/>
    <col min="2" max="2" width="11.85546875" style="47" customWidth="1"/>
    <col min="3" max="3" width="14.42578125" style="47"/>
    <col min="4" max="4" width="17.140625" style="47" customWidth="1"/>
    <col min="5" max="5" width="17.42578125" style="47" customWidth="1"/>
    <col min="6" max="6" width="18.42578125" style="47" customWidth="1"/>
    <col min="7" max="8" width="15.140625" style="47" customWidth="1"/>
    <col min="9" max="9" width="16.5703125" style="47" customWidth="1"/>
    <col min="10" max="10" width="14.42578125" style="47"/>
    <col min="11" max="11" width="15.42578125" style="47" customWidth="1"/>
    <col min="12" max="12" width="18.28515625" style="47" customWidth="1"/>
    <col min="13" max="13" width="16.7109375" style="47" customWidth="1"/>
    <col min="14" max="14" width="17.42578125" style="47" customWidth="1"/>
    <col min="15" max="16" width="12.28515625" style="47" customWidth="1"/>
    <col min="17" max="16384" width="14.42578125" style="47"/>
  </cols>
  <sheetData>
    <row r="1" spans="1:11" ht="48" customHeight="1" x14ac:dyDescent="0.2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</row>
    <row r="2" spans="1:11" ht="12.75" x14ac:dyDescent="0.2">
      <c r="A2" s="48">
        <v>1</v>
      </c>
      <c r="B2" s="48">
        <v>1</v>
      </c>
      <c r="C2" s="48">
        <v>19.56165789473685</v>
      </c>
      <c r="D2" s="48">
        <v>0</v>
      </c>
      <c r="E2" s="48">
        <v>9.2899999999999991</v>
      </c>
      <c r="F2" s="48">
        <v>4</v>
      </c>
      <c r="G2" s="48">
        <v>0</v>
      </c>
      <c r="H2" s="48">
        <v>0.23423684210526316</v>
      </c>
      <c r="I2" s="48">
        <v>0.23421052631578942</v>
      </c>
      <c r="J2" s="48">
        <v>145.22147368421048</v>
      </c>
      <c r="K2" s="48">
        <v>0.48413157894736847</v>
      </c>
    </row>
    <row r="3" spans="1:11" ht="12.75" x14ac:dyDescent="0.2">
      <c r="A3" s="49">
        <v>1</v>
      </c>
      <c r="B3" s="49">
        <v>1</v>
      </c>
      <c r="C3" s="49">
        <v>16.486368421052632</v>
      </c>
      <c r="D3" s="49">
        <v>0</v>
      </c>
      <c r="E3" s="49">
        <v>8.6300000000000008</v>
      </c>
      <c r="F3" s="49">
        <v>4</v>
      </c>
      <c r="G3" s="49">
        <v>4.3631578947368417E-2</v>
      </c>
      <c r="H3" s="49">
        <v>0.16842105263157894</v>
      </c>
      <c r="I3" s="49">
        <v>-13.286842105263156</v>
      </c>
      <c r="J3" s="49">
        <v>45.274973684210529</v>
      </c>
      <c r="K3" s="49">
        <v>0.1746842105263158</v>
      </c>
    </row>
    <row r="4" spans="1:11" ht="12.75" x14ac:dyDescent="0.2">
      <c r="A4" s="50">
        <v>1</v>
      </c>
      <c r="B4" s="50">
        <v>1</v>
      </c>
      <c r="C4" s="50">
        <v>19.956342105263154</v>
      </c>
      <c r="D4" s="50">
        <v>1</v>
      </c>
      <c r="E4" s="50">
        <v>8.98</v>
      </c>
      <c r="F4" s="50">
        <v>3</v>
      </c>
      <c r="G4" s="50">
        <v>1.5E-3</v>
      </c>
      <c r="H4" s="50">
        <v>0.22784210526315787</v>
      </c>
      <c r="I4" s="50">
        <v>-8.3947368421052655</v>
      </c>
      <c r="J4" s="50">
        <v>28.153868421052632</v>
      </c>
      <c r="K4" s="50">
        <v>0.14549999999999996</v>
      </c>
    </row>
    <row r="5" spans="1:11" ht="12.75" x14ac:dyDescent="0.2">
      <c r="A5" s="49">
        <v>1</v>
      </c>
      <c r="B5" s="49">
        <v>1</v>
      </c>
      <c r="C5" s="49">
        <v>11.710263157894737</v>
      </c>
      <c r="D5" s="49">
        <v>0</v>
      </c>
      <c r="E5" s="49">
        <v>3.74</v>
      </c>
      <c r="F5" s="49">
        <v>3</v>
      </c>
      <c r="G5" s="49">
        <v>1.1157894736842104E-2</v>
      </c>
      <c r="H5" s="49">
        <v>5.105263157894737E-2</v>
      </c>
      <c r="I5" s="49">
        <v>-0.47105263157894733</v>
      </c>
      <c r="J5" s="49">
        <v>33.61771052631579</v>
      </c>
      <c r="K5" s="49">
        <v>1.9763157894736847E-2</v>
      </c>
    </row>
    <row r="6" spans="1:11" ht="12.75" x14ac:dyDescent="0.2">
      <c r="A6" s="50">
        <v>1</v>
      </c>
      <c r="B6" s="50">
        <v>1</v>
      </c>
      <c r="C6" s="50">
        <v>7.7703947368421034</v>
      </c>
      <c r="D6" s="50">
        <v>0</v>
      </c>
      <c r="E6" s="50">
        <v>2.29</v>
      </c>
      <c r="F6" s="50">
        <v>2</v>
      </c>
      <c r="G6" s="50">
        <v>1.973684210526316E-2</v>
      </c>
      <c r="H6" s="50">
        <v>8.0552631578947362E-2</v>
      </c>
      <c r="I6" s="50">
        <v>-16.149999999999999</v>
      </c>
      <c r="J6" s="50">
        <v>17.494263157894739</v>
      </c>
      <c r="K6" s="50">
        <v>0.24539473684210525</v>
      </c>
    </row>
    <row r="7" spans="1:11" ht="12.75" x14ac:dyDescent="0.2">
      <c r="A7" s="51">
        <v>1</v>
      </c>
      <c r="B7" s="51">
        <v>1</v>
      </c>
      <c r="C7" s="51">
        <v>16.478026315789474</v>
      </c>
      <c r="D7" s="51">
        <v>0</v>
      </c>
      <c r="E7" s="51">
        <v>4.29</v>
      </c>
      <c r="F7" s="51">
        <v>2</v>
      </c>
      <c r="G7" s="51">
        <v>4.6315789473684206E-3</v>
      </c>
      <c r="H7" s="51">
        <v>0.4836052631578947</v>
      </c>
      <c r="I7" s="51">
        <v>-1.5078947368421052</v>
      </c>
      <c r="J7" s="51">
        <v>15.010526315789477</v>
      </c>
      <c r="K7" s="51">
        <v>2.5710526315789458E-2</v>
      </c>
    </row>
    <row r="8" spans="1:11" ht="12.75" x14ac:dyDescent="0.2">
      <c r="A8" s="48">
        <v>1</v>
      </c>
      <c r="B8" s="48">
        <v>2</v>
      </c>
      <c r="C8" s="48">
        <v>23.362260319207493</v>
      </c>
      <c r="D8" s="48">
        <v>0</v>
      </c>
      <c r="E8" s="48">
        <v>4.41</v>
      </c>
      <c r="F8" s="48">
        <v>4</v>
      </c>
      <c r="G8" s="48">
        <v>0</v>
      </c>
      <c r="H8" s="48">
        <v>0.49077875619152395</v>
      </c>
      <c r="I8" s="48">
        <v>0.51034672537148917</v>
      </c>
      <c r="J8" s="48">
        <v>0</v>
      </c>
      <c r="K8" s="48">
        <v>-0.29121794166208037</v>
      </c>
    </row>
    <row r="9" spans="1:11" ht="12.75" x14ac:dyDescent="0.2">
      <c r="A9" s="49">
        <v>1</v>
      </c>
      <c r="B9" s="49">
        <v>2</v>
      </c>
      <c r="C9" s="49">
        <v>34.939642267473857</v>
      </c>
      <c r="D9" s="49">
        <v>0</v>
      </c>
      <c r="E9" s="49">
        <v>5.17</v>
      </c>
      <c r="F9" s="49">
        <v>4</v>
      </c>
      <c r="G9" s="49">
        <v>6.3973582828838757E-3</v>
      </c>
      <c r="H9" s="49">
        <v>0.50325151348376607</v>
      </c>
      <c r="I9" s="49">
        <v>-12.193615850302708</v>
      </c>
      <c r="J9" s="49">
        <v>102.15478315905345</v>
      </c>
      <c r="K9" s="49">
        <v>-0.22411887727022564</v>
      </c>
    </row>
    <row r="10" spans="1:11" ht="12.75" x14ac:dyDescent="0.2">
      <c r="A10" s="50">
        <v>1</v>
      </c>
      <c r="B10" s="50">
        <v>2</v>
      </c>
      <c r="C10" s="50">
        <v>38.007719867914105</v>
      </c>
      <c r="D10" s="50">
        <v>0</v>
      </c>
      <c r="E10" s="50">
        <v>5.4</v>
      </c>
      <c r="F10" s="50">
        <v>3</v>
      </c>
      <c r="G10" s="50">
        <v>2.4986241056686844E-3</v>
      </c>
      <c r="H10" s="50">
        <v>0.66399174463401156</v>
      </c>
      <c r="I10" s="50">
        <v>-6.9895432030819798E-2</v>
      </c>
      <c r="J10" s="50">
        <v>79.319921849201805</v>
      </c>
      <c r="K10" s="50">
        <v>0.21485470555861277</v>
      </c>
    </row>
    <row r="11" spans="1:11" ht="12.75" x14ac:dyDescent="0.2">
      <c r="A11" s="49">
        <v>1</v>
      </c>
      <c r="B11" s="49">
        <v>2</v>
      </c>
      <c r="C11" s="49">
        <v>36.883058888277397</v>
      </c>
      <c r="D11" s="49">
        <v>0</v>
      </c>
      <c r="E11" s="49">
        <v>3.01</v>
      </c>
      <c r="F11" s="49">
        <v>3</v>
      </c>
      <c r="G11" s="49">
        <v>1.8161805173362687E-5</v>
      </c>
      <c r="H11" s="49">
        <v>0.60353824986240812</v>
      </c>
      <c r="I11" s="49">
        <v>-13.309631260319202</v>
      </c>
      <c r="J11" s="49">
        <v>21.35891634562465</v>
      </c>
      <c r="K11" s="49">
        <v>0.29873087506879464</v>
      </c>
    </row>
    <row r="12" spans="1:11" ht="12.75" x14ac:dyDescent="0.2">
      <c r="A12" s="50">
        <v>1</v>
      </c>
      <c r="B12" s="50">
        <v>2</v>
      </c>
      <c r="C12" s="50">
        <v>36.267837094111101</v>
      </c>
      <c r="D12" s="50">
        <v>0</v>
      </c>
      <c r="E12" s="50">
        <v>1.75</v>
      </c>
      <c r="F12" s="50">
        <v>2</v>
      </c>
      <c r="G12" s="50">
        <v>0</v>
      </c>
      <c r="H12" s="50">
        <v>0.53570555861309677</v>
      </c>
      <c r="I12" s="50">
        <v>-12.990203632361041</v>
      </c>
      <c r="J12" s="50">
        <v>31.74100605393507</v>
      </c>
      <c r="K12" s="50">
        <v>0.12026692350027525</v>
      </c>
    </row>
    <row r="13" spans="1:11" ht="12.75" x14ac:dyDescent="0.2">
      <c r="A13" s="51">
        <v>1</v>
      </c>
      <c r="B13" s="51">
        <v>2</v>
      </c>
      <c r="C13" s="51">
        <v>34.750372592184931</v>
      </c>
      <c r="D13" s="51">
        <v>1</v>
      </c>
      <c r="E13" s="51">
        <v>9.8699999999999992</v>
      </c>
      <c r="F13" s="51">
        <v>2</v>
      </c>
      <c r="G13" s="51">
        <v>0</v>
      </c>
      <c r="H13" s="51">
        <v>0.54745514584480304</v>
      </c>
      <c r="I13" s="51">
        <v>-6.0594386351128335E-2</v>
      </c>
      <c r="J13" s="51">
        <v>0</v>
      </c>
      <c r="K13" s="51">
        <v>0.13704127682993941</v>
      </c>
    </row>
    <row r="14" spans="1:11" ht="12.75" x14ac:dyDescent="0.2">
      <c r="A14" s="48">
        <v>1</v>
      </c>
      <c r="B14" s="48">
        <v>3</v>
      </c>
      <c r="C14" s="48">
        <v>18.905793103448271</v>
      </c>
      <c r="D14" s="48">
        <v>0</v>
      </c>
      <c r="E14" s="48">
        <v>4.16</v>
      </c>
      <c r="F14" s="48">
        <v>4</v>
      </c>
      <c r="G14" s="48">
        <v>6.1034482758620685E-3</v>
      </c>
      <c r="H14" s="48">
        <v>0.31000000000000011</v>
      </c>
      <c r="I14" s="48">
        <v>0.11034482758620692</v>
      </c>
      <c r="J14" s="48">
        <v>0</v>
      </c>
      <c r="K14" s="48">
        <v>0.31168965517241376</v>
      </c>
    </row>
    <row r="15" spans="1:11" ht="12.75" x14ac:dyDescent="0.2">
      <c r="A15" s="49">
        <v>1</v>
      </c>
      <c r="B15" s="49">
        <v>3</v>
      </c>
      <c r="C15" s="49">
        <v>9.1640344827586215</v>
      </c>
      <c r="D15" s="49">
        <v>0</v>
      </c>
      <c r="E15" s="49">
        <v>3.42</v>
      </c>
      <c r="F15" s="49">
        <v>4</v>
      </c>
      <c r="G15" s="49">
        <v>4.1482758620689661E-2</v>
      </c>
      <c r="H15" s="49">
        <v>6.9620689655172402E-2</v>
      </c>
      <c r="I15" s="49">
        <v>-17.882758620689657</v>
      </c>
      <c r="J15" s="49">
        <v>9.2116206896551738</v>
      </c>
      <c r="K15" s="49">
        <v>-8.3862068965517234E-2</v>
      </c>
    </row>
    <row r="16" spans="1:11" ht="12.75" x14ac:dyDescent="0.2">
      <c r="A16" s="50">
        <v>1</v>
      </c>
      <c r="B16" s="50">
        <v>3</v>
      </c>
      <c r="C16" s="50">
        <v>15.101551724137931</v>
      </c>
      <c r="D16" s="50">
        <v>0</v>
      </c>
      <c r="E16" s="50">
        <v>2.54</v>
      </c>
      <c r="F16" s="50">
        <v>3</v>
      </c>
      <c r="G16" s="50">
        <v>2.4862068965517244E-2</v>
      </c>
      <c r="H16" s="50">
        <v>0.14048275862068968</v>
      </c>
      <c r="I16" s="50">
        <v>0.39999999999999986</v>
      </c>
      <c r="J16" s="50">
        <v>0</v>
      </c>
      <c r="K16" s="50">
        <v>-0.17306896551724135</v>
      </c>
    </row>
    <row r="17" spans="1:11" ht="12.75" x14ac:dyDescent="0.2">
      <c r="A17" s="49">
        <v>1</v>
      </c>
      <c r="B17" s="49">
        <v>3</v>
      </c>
      <c r="C17" s="49">
        <v>16.546482758620691</v>
      </c>
      <c r="D17" s="49">
        <v>0</v>
      </c>
      <c r="E17" s="49">
        <v>4.34</v>
      </c>
      <c r="F17" s="49">
        <v>3</v>
      </c>
      <c r="G17" s="49">
        <v>2.379310344827586E-2</v>
      </c>
      <c r="H17" s="49">
        <v>0.18075862068965518</v>
      </c>
      <c r="I17" s="49">
        <v>-12.075862068965519</v>
      </c>
      <c r="J17" s="49">
        <v>22.481655172413795</v>
      </c>
      <c r="K17" s="49">
        <v>-3.4827586206896658E-3</v>
      </c>
    </row>
    <row r="18" spans="1:11" ht="12.75" x14ac:dyDescent="0.2">
      <c r="A18" s="50">
        <v>1</v>
      </c>
      <c r="B18" s="50">
        <v>3</v>
      </c>
      <c r="C18" s="50">
        <v>14.982931034482759</v>
      </c>
      <c r="D18" s="50">
        <v>0</v>
      </c>
      <c r="E18" s="50">
        <v>1.57</v>
      </c>
      <c r="F18" s="50">
        <v>2</v>
      </c>
      <c r="G18" s="50">
        <v>7.9310344827586213E-3</v>
      </c>
      <c r="H18" s="50">
        <v>0.18637931034482763</v>
      </c>
      <c r="I18" s="50">
        <v>-3.4482758620689523E-2</v>
      </c>
      <c r="J18" s="50">
        <v>28.824206896551726</v>
      </c>
      <c r="K18" s="50">
        <v>-1.1206896551724127E-2</v>
      </c>
    </row>
    <row r="19" spans="1:11" ht="12.75" x14ac:dyDescent="0.2">
      <c r="A19" s="51">
        <v>1</v>
      </c>
      <c r="B19" s="51">
        <v>3</v>
      </c>
      <c r="C19" s="51">
        <v>13.144793103448272</v>
      </c>
      <c r="D19" s="51">
        <v>0</v>
      </c>
      <c r="E19" s="51">
        <v>2.6</v>
      </c>
      <c r="F19" s="51">
        <v>2</v>
      </c>
      <c r="G19" s="51">
        <v>2.7413793103448277E-2</v>
      </c>
      <c r="H19" s="51">
        <v>9.8896551724137943E-2</v>
      </c>
      <c r="I19" s="51">
        <v>-18.310344827586217</v>
      </c>
      <c r="J19" s="51">
        <v>34.72706896551724</v>
      </c>
      <c r="K19" s="51">
        <v>0.30144827586206885</v>
      </c>
    </row>
    <row r="20" spans="1:11" ht="12.75" x14ac:dyDescent="0.2">
      <c r="A20" s="48">
        <v>2</v>
      </c>
      <c r="B20" s="48">
        <v>1</v>
      </c>
      <c r="C20" s="48">
        <v>13.200259259259258</v>
      </c>
      <c r="D20" s="48">
        <v>0</v>
      </c>
      <c r="E20" s="48">
        <v>5.09</v>
      </c>
      <c r="F20" s="48">
        <v>4</v>
      </c>
      <c r="G20" s="48">
        <v>0</v>
      </c>
      <c r="H20" s="48">
        <v>0.17603703703703696</v>
      </c>
      <c r="I20" s="48">
        <v>-5.7814814814814799</v>
      </c>
      <c r="J20" s="48">
        <v>0</v>
      </c>
      <c r="K20" s="48">
        <v>5.2555555555555557E-2</v>
      </c>
    </row>
    <row r="21" spans="1:11" ht="12.75" x14ac:dyDescent="0.2">
      <c r="A21" s="49">
        <v>2</v>
      </c>
      <c r="B21" s="49">
        <v>1</v>
      </c>
      <c r="C21" s="49">
        <v>19.608296296296299</v>
      </c>
      <c r="D21" s="49">
        <v>0</v>
      </c>
      <c r="E21" s="49">
        <v>4.58</v>
      </c>
      <c r="F21" s="49">
        <v>4</v>
      </c>
      <c r="G21" s="49">
        <v>8.518518518518519E-3</v>
      </c>
      <c r="H21" s="49">
        <v>0.14888888888888888</v>
      </c>
      <c r="I21" s="49">
        <v>0.11111111111111115</v>
      </c>
      <c r="J21" s="49">
        <v>0</v>
      </c>
      <c r="K21" s="49">
        <v>0.18211111111111108</v>
      </c>
    </row>
    <row r="22" spans="1:11" ht="12.75" x14ac:dyDescent="0.2">
      <c r="A22" s="50">
        <v>2</v>
      </c>
      <c r="B22" s="50">
        <v>1</v>
      </c>
      <c r="C22" s="50">
        <v>11.583111111111112</v>
      </c>
      <c r="D22" s="50">
        <v>0</v>
      </c>
      <c r="E22" s="50">
        <v>2.58</v>
      </c>
      <c r="F22" s="50">
        <v>3</v>
      </c>
      <c r="G22" s="50">
        <v>1.988888888888889E-2</v>
      </c>
      <c r="H22" s="50">
        <v>0.1411111111111111</v>
      </c>
      <c r="I22" s="50">
        <v>-21.225925925925921</v>
      </c>
      <c r="J22" s="50">
        <v>35.946296296296296</v>
      </c>
      <c r="K22" s="50">
        <v>9.6888888888888899E-2</v>
      </c>
    </row>
    <row r="23" spans="1:11" ht="12.75" x14ac:dyDescent="0.2">
      <c r="A23" s="49">
        <v>2</v>
      </c>
      <c r="B23" s="49">
        <v>1</v>
      </c>
      <c r="C23" s="49">
        <v>19.694518518518517</v>
      </c>
      <c r="D23" s="49">
        <v>0</v>
      </c>
      <c r="E23" s="49">
        <v>5.33</v>
      </c>
      <c r="F23" s="49">
        <v>3</v>
      </c>
      <c r="G23" s="49">
        <v>0</v>
      </c>
      <c r="H23" s="49">
        <v>0.16366666666666665</v>
      </c>
      <c r="I23" s="49">
        <v>-5.9888888888888898</v>
      </c>
      <c r="J23" s="49">
        <v>0</v>
      </c>
      <c r="K23" s="49">
        <v>5.9185185185185188E-2</v>
      </c>
    </row>
    <row r="24" spans="1:11" ht="12.75" x14ac:dyDescent="0.2">
      <c r="A24" s="50">
        <v>2</v>
      </c>
      <c r="B24" s="50">
        <v>1</v>
      </c>
      <c r="C24" s="50">
        <v>16.37233333333333</v>
      </c>
      <c r="D24" s="50">
        <v>0</v>
      </c>
      <c r="E24" s="50">
        <v>1.36</v>
      </c>
      <c r="F24" s="50">
        <v>2</v>
      </c>
      <c r="G24" s="50">
        <v>1.4592592592592593E-2</v>
      </c>
      <c r="H24" s="50">
        <v>7.5444444444444439E-2</v>
      </c>
      <c r="I24" s="50">
        <v>-5.7814814814814799</v>
      </c>
      <c r="J24" s="50">
        <v>27.994703703703703</v>
      </c>
      <c r="K24" s="50">
        <v>-0.102925925925926</v>
      </c>
    </row>
    <row r="25" spans="1:11" ht="12.75" x14ac:dyDescent="0.2">
      <c r="A25" s="51">
        <v>2</v>
      </c>
      <c r="B25" s="51">
        <v>1</v>
      </c>
      <c r="C25" s="51">
        <v>9.4452962962962967</v>
      </c>
      <c r="D25" s="51">
        <v>0</v>
      </c>
      <c r="E25" s="51">
        <v>3.72</v>
      </c>
      <c r="F25" s="51">
        <v>2</v>
      </c>
      <c r="G25" s="51">
        <v>0</v>
      </c>
      <c r="H25" s="51">
        <v>7.4333333333333335E-2</v>
      </c>
      <c r="I25" s="51">
        <v>0.11111111111111108</v>
      </c>
      <c r="J25" s="51">
        <v>18.113333333333326</v>
      </c>
      <c r="K25" s="51">
        <v>2.3962962962962967E-2</v>
      </c>
    </row>
    <row r="26" spans="1:11" ht="12.75" x14ac:dyDescent="0.2">
      <c r="A26" s="48">
        <v>2</v>
      </c>
      <c r="B26" s="48">
        <v>2</v>
      </c>
      <c r="C26" s="48">
        <v>10.870646070192784</v>
      </c>
      <c r="D26" s="48">
        <v>0</v>
      </c>
      <c r="E26" s="48">
        <v>5</v>
      </c>
      <c r="F26" s="48">
        <v>4</v>
      </c>
      <c r="G26" s="48">
        <v>0</v>
      </c>
      <c r="H26" s="48">
        <v>0.14947899159663813</v>
      </c>
      <c r="I26" s="48">
        <v>1.0389026198714768</v>
      </c>
      <c r="J26" s="48">
        <v>16.970426099851707</v>
      </c>
      <c r="K26" s="48">
        <v>0.6852718734552623</v>
      </c>
    </row>
    <row r="27" spans="1:11" ht="12.75" x14ac:dyDescent="0.2">
      <c r="A27" s="49">
        <v>2</v>
      </c>
      <c r="B27" s="49">
        <v>2</v>
      </c>
      <c r="C27" s="49">
        <v>22.533027681660908</v>
      </c>
      <c r="D27" s="49">
        <v>0</v>
      </c>
      <c r="E27" s="49">
        <v>5.73</v>
      </c>
      <c r="F27" s="49">
        <v>4</v>
      </c>
      <c r="G27" s="49">
        <v>0</v>
      </c>
      <c r="H27" s="49">
        <v>0.22943598615916871</v>
      </c>
      <c r="I27" s="49">
        <v>5.8131487889273699E-2</v>
      </c>
      <c r="J27" s="49">
        <v>4.8088981710331202</v>
      </c>
      <c r="K27" s="49">
        <v>0.29544340088976773</v>
      </c>
    </row>
    <row r="28" spans="1:11" ht="12.75" x14ac:dyDescent="0.2">
      <c r="A28" s="50">
        <v>2</v>
      </c>
      <c r="B28" s="50">
        <v>2</v>
      </c>
      <c r="C28" s="50">
        <v>26.264284725654896</v>
      </c>
      <c r="D28" s="50">
        <v>0</v>
      </c>
      <c r="E28" s="50">
        <v>3.18</v>
      </c>
      <c r="F28" s="50">
        <v>3</v>
      </c>
      <c r="G28" s="50">
        <v>0</v>
      </c>
      <c r="H28" s="50">
        <v>0.25592387543252226</v>
      </c>
      <c r="I28" s="50">
        <v>-9.3825012357884763</v>
      </c>
      <c r="J28" s="50">
        <v>0</v>
      </c>
      <c r="K28" s="50">
        <v>-9.2438952051408771E-2</v>
      </c>
    </row>
    <row r="29" spans="1:11" ht="12.75" x14ac:dyDescent="0.2">
      <c r="A29" s="49">
        <v>2</v>
      </c>
      <c r="B29" s="49">
        <v>2</v>
      </c>
      <c r="C29" s="49">
        <v>28.042085022244201</v>
      </c>
      <c r="D29" s="49">
        <v>0</v>
      </c>
      <c r="E29" s="49">
        <v>3.05</v>
      </c>
      <c r="F29" s="49">
        <v>3</v>
      </c>
      <c r="G29" s="49">
        <v>0</v>
      </c>
      <c r="H29" s="49">
        <v>0.2592199703410793</v>
      </c>
      <c r="I29" s="49">
        <v>-0.54819574888779043</v>
      </c>
      <c r="J29" s="49">
        <v>0</v>
      </c>
      <c r="K29" s="49">
        <v>0.12799555116164135</v>
      </c>
    </row>
    <row r="30" spans="1:11" ht="12.75" x14ac:dyDescent="0.2">
      <c r="A30" s="50">
        <v>2</v>
      </c>
      <c r="B30" s="50">
        <v>2</v>
      </c>
      <c r="C30" s="50">
        <v>28.067464656450838</v>
      </c>
      <c r="D30" s="50">
        <v>0</v>
      </c>
      <c r="E30" s="50">
        <v>14.71</v>
      </c>
      <c r="F30" s="50">
        <v>2</v>
      </c>
      <c r="G30" s="50">
        <v>0</v>
      </c>
      <c r="H30" s="50">
        <v>0.25700939199208922</v>
      </c>
      <c r="I30" s="50">
        <v>-9.7542758279782618</v>
      </c>
      <c r="J30" s="50">
        <v>0</v>
      </c>
      <c r="K30" s="50">
        <v>0.2185931784478499</v>
      </c>
    </row>
    <row r="31" spans="1:11" ht="12.75" x14ac:dyDescent="0.2">
      <c r="A31" s="51">
        <v>2</v>
      </c>
      <c r="B31" s="51">
        <v>2</v>
      </c>
      <c r="C31" s="51">
        <v>28.263288680178125</v>
      </c>
      <c r="D31" s="51">
        <v>2</v>
      </c>
      <c r="E31" s="51">
        <v>3.17</v>
      </c>
      <c r="F31" s="51">
        <v>2</v>
      </c>
      <c r="G31" s="51">
        <v>0</v>
      </c>
      <c r="H31" s="51">
        <v>0.24471379139891491</v>
      </c>
      <c r="I31" s="51">
        <v>-5.3765200197726122</v>
      </c>
      <c r="J31" s="51">
        <v>0</v>
      </c>
      <c r="K31" s="51">
        <v>0.49337320810677271</v>
      </c>
    </row>
    <row r="32" spans="1:11" ht="12.75" x14ac:dyDescent="0.2">
      <c r="A32" s="48">
        <v>2</v>
      </c>
      <c r="B32" s="48">
        <v>3</v>
      </c>
      <c r="C32" s="48">
        <v>12.314965517241381</v>
      </c>
      <c r="D32" s="48">
        <v>0</v>
      </c>
      <c r="E32" s="48">
        <v>6.2</v>
      </c>
      <c r="F32" s="48">
        <v>4</v>
      </c>
      <c r="G32" s="48">
        <v>0</v>
      </c>
      <c r="H32" s="48">
        <v>0.16782758620689661</v>
      </c>
      <c r="I32" s="48">
        <v>-0.59999999999999987</v>
      </c>
      <c r="J32" s="48">
        <v>20.736586206896551</v>
      </c>
      <c r="K32" s="48">
        <v>9.2862068965517214E-2</v>
      </c>
    </row>
    <row r="33" spans="1:11" ht="12.75" x14ac:dyDescent="0.2">
      <c r="A33" s="49">
        <v>2</v>
      </c>
      <c r="B33" s="49">
        <v>3</v>
      </c>
      <c r="C33" s="49">
        <v>13.487275862068964</v>
      </c>
      <c r="D33" s="49">
        <v>0</v>
      </c>
      <c r="E33" s="49">
        <v>7.73</v>
      </c>
      <c r="F33" s="49">
        <v>4</v>
      </c>
      <c r="G33" s="49">
        <v>3.7068965517241384E-2</v>
      </c>
      <c r="H33" s="49">
        <v>7.5241379310344844E-2</v>
      </c>
      <c r="I33" s="49">
        <v>-0.18965517241379309</v>
      </c>
      <c r="J33" s="49">
        <v>5.1388275862068955</v>
      </c>
      <c r="K33" s="49">
        <v>-0.19982758620689656</v>
      </c>
    </row>
    <row r="34" spans="1:11" ht="12.75" x14ac:dyDescent="0.2">
      <c r="A34" s="50">
        <v>2</v>
      </c>
      <c r="B34" s="50">
        <v>3</v>
      </c>
      <c r="C34" s="50">
        <v>13.731</v>
      </c>
      <c r="D34" s="50">
        <v>0</v>
      </c>
      <c r="E34" s="50">
        <v>8.31</v>
      </c>
      <c r="F34" s="50">
        <v>3</v>
      </c>
      <c r="G34" s="50">
        <v>0</v>
      </c>
      <c r="H34" s="50">
        <v>0.16679310344827589</v>
      </c>
      <c r="I34" s="50">
        <v>-19.572413793103436</v>
      </c>
      <c r="J34" s="50">
        <v>60.851137931034479</v>
      </c>
      <c r="K34" s="50">
        <v>-3.9379310344827577E-2</v>
      </c>
    </row>
    <row r="35" spans="1:11" ht="12.75" x14ac:dyDescent="0.2">
      <c r="A35" s="49">
        <v>2</v>
      </c>
      <c r="B35" s="49">
        <v>3</v>
      </c>
      <c r="C35" s="49">
        <v>14.823758620689659</v>
      </c>
      <c r="D35" s="49">
        <v>0</v>
      </c>
      <c r="E35" s="49">
        <v>4.29</v>
      </c>
      <c r="F35" s="49">
        <v>3</v>
      </c>
      <c r="G35" s="49">
        <v>1.0586206896551724E-2</v>
      </c>
      <c r="H35" s="49">
        <v>0.13344827586206898</v>
      </c>
      <c r="I35" s="49">
        <v>-8.586206896551726</v>
      </c>
      <c r="J35" s="49">
        <v>6.8657241379310356</v>
      </c>
      <c r="K35" s="49">
        <v>-0.12975862068965516</v>
      </c>
    </row>
    <row r="36" spans="1:11" ht="12.75" x14ac:dyDescent="0.2">
      <c r="A36" s="50">
        <v>2</v>
      </c>
      <c r="B36" s="50">
        <v>3</v>
      </c>
      <c r="C36" s="50">
        <v>14.458517241379313</v>
      </c>
      <c r="D36" s="50">
        <v>0</v>
      </c>
      <c r="E36" s="50">
        <v>3.14</v>
      </c>
      <c r="F36" s="50">
        <v>2</v>
      </c>
      <c r="G36" s="50">
        <v>3.1310344827586205E-2</v>
      </c>
      <c r="H36" s="50">
        <v>0.16034482758620691</v>
      </c>
      <c r="I36" s="50">
        <v>-4.4241379310344815</v>
      </c>
      <c r="J36" s="50">
        <v>26.659137931034479</v>
      </c>
      <c r="K36" s="50">
        <v>-0.26824137931034486</v>
      </c>
    </row>
    <row r="37" spans="1:11" ht="12.75" x14ac:dyDescent="0.2">
      <c r="A37" s="51">
        <v>2</v>
      </c>
      <c r="B37" s="51">
        <v>3</v>
      </c>
      <c r="C37" s="51">
        <v>11.11913793103448</v>
      </c>
      <c r="D37" s="51">
        <v>0</v>
      </c>
      <c r="E37" s="51">
        <v>3.18</v>
      </c>
      <c r="F37" s="51">
        <v>2</v>
      </c>
      <c r="G37" s="51">
        <v>3.5793103448275861E-2</v>
      </c>
      <c r="H37" s="51">
        <v>9.5068965517241352E-2</v>
      </c>
      <c r="I37" s="51">
        <v>-20.286206896551725</v>
      </c>
      <c r="J37" s="51">
        <v>35.898482758620688</v>
      </c>
      <c r="K37" s="51">
        <v>5.5344827586206909E-2</v>
      </c>
    </row>
    <row r="38" spans="1:11" ht="12.75" x14ac:dyDescent="0.2">
      <c r="A38" s="48">
        <v>3</v>
      </c>
      <c r="B38" s="48">
        <v>1</v>
      </c>
      <c r="C38" s="48">
        <v>13.771275862068968</v>
      </c>
      <c r="D38" s="48">
        <v>0</v>
      </c>
      <c r="E38" s="48">
        <v>4.54</v>
      </c>
      <c r="F38" s="48">
        <v>4</v>
      </c>
      <c r="G38" s="48">
        <v>0</v>
      </c>
      <c r="H38" s="48">
        <v>0.18720689655172409</v>
      </c>
      <c r="I38" s="48">
        <v>1.7275862068965513</v>
      </c>
      <c r="J38" s="48">
        <v>41.897551724137934</v>
      </c>
      <c r="K38" s="48">
        <v>-8.5586206896551748E-2</v>
      </c>
    </row>
    <row r="39" spans="1:11" ht="12.75" x14ac:dyDescent="0.2">
      <c r="A39" s="49">
        <v>3</v>
      </c>
      <c r="B39" s="49">
        <v>1</v>
      </c>
      <c r="C39" s="49">
        <v>16.93241379310345</v>
      </c>
      <c r="D39" s="49">
        <v>0</v>
      </c>
      <c r="E39" s="49">
        <v>5.24</v>
      </c>
      <c r="F39" s="49">
        <v>4</v>
      </c>
      <c r="G39" s="49">
        <v>0</v>
      </c>
      <c r="H39" s="49">
        <v>0.11086206896551723</v>
      </c>
      <c r="I39" s="49">
        <v>-0.57586206896551717</v>
      </c>
      <c r="J39" s="49">
        <v>127.64662068965517</v>
      </c>
      <c r="K39" s="49">
        <v>-0.30134482758620684</v>
      </c>
    </row>
    <row r="40" spans="1:11" ht="12.75" x14ac:dyDescent="0.2">
      <c r="A40" s="50">
        <v>3</v>
      </c>
      <c r="B40" s="50">
        <v>1</v>
      </c>
      <c r="C40" s="50">
        <v>10.145241379310345</v>
      </c>
      <c r="D40" s="50">
        <v>0</v>
      </c>
      <c r="E40" s="50">
        <v>2.84</v>
      </c>
      <c r="F40" s="50">
        <v>3</v>
      </c>
      <c r="G40" s="50">
        <v>3.9E-2</v>
      </c>
      <c r="H40" s="50">
        <v>0.13448275862068967</v>
      </c>
      <c r="I40" s="50">
        <v>-23.627586206896549</v>
      </c>
      <c r="J40" s="50">
        <v>12.403241379310346</v>
      </c>
      <c r="K40" s="50">
        <v>0.20548275862068968</v>
      </c>
    </row>
    <row r="41" spans="1:11" ht="12.75" x14ac:dyDescent="0.2">
      <c r="A41" s="49">
        <v>3</v>
      </c>
      <c r="B41" s="49">
        <v>1</v>
      </c>
      <c r="C41" s="49">
        <v>16.774551724137929</v>
      </c>
      <c r="D41" s="49">
        <v>0</v>
      </c>
      <c r="E41" s="49">
        <v>3.36</v>
      </c>
      <c r="F41" s="49">
        <v>3</v>
      </c>
      <c r="G41" s="49">
        <v>0</v>
      </c>
      <c r="H41" s="49">
        <v>0.10624137931034484</v>
      </c>
      <c r="I41" s="49">
        <v>-4.113793103448276</v>
      </c>
      <c r="J41" s="49">
        <v>0</v>
      </c>
      <c r="K41" s="49">
        <v>-0.23262068965517246</v>
      </c>
    </row>
    <row r="42" spans="1:11" ht="12.75" x14ac:dyDescent="0.2">
      <c r="A42" s="50">
        <v>3</v>
      </c>
      <c r="B42" s="50">
        <v>1</v>
      </c>
      <c r="C42" s="50">
        <v>15.705103448275862</v>
      </c>
      <c r="D42" s="50">
        <v>0</v>
      </c>
      <c r="E42" s="50">
        <v>2.27</v>
      </c>
      <c r="F42" s="50">
        <v>2</v>
      </c>
      <c r="G42" s="50">
        <v>0</v>
      </c>
      <c r="H42" s="50">
        <v>0.10324137931034481</v>
      </c>
      <c r="I42" s="50">
        <v>-7.6620689655172409</v>
      </c>
      <c r="J42" s="50">
        <v>13.090931034482759</v>
      </c>
      <c r="K42" s="50">
        <v>-0.34462068965517245</v>
      </c>
    </row>
    <row r="43" spans="1:11" ht="12.75" x14ac:dyDescent="0.2">
      <c r="A43" s="49">
        <v>3</v>
      </c>
      <c r="B43" s="49">
        <v>1</v>
      </c>
      <c r="C43" s="49">
        <v>10.412517241379309</v>
      </c>
      <c r="D43" s="49">
        <v>0</v>
      </c>
      <c r="E43" s="49">
        <v>1.8</v>
      </c>
      <c r="F43" s="49">
        <v>2</v>
      </c>
      <c r="G43" s="49">
        <v>0</v>
      </c>
      <c r="H43" s="49">
        <v>6.5931034482758624E-2</v>
      </c>
      <c r="I43" s="49">
        <v>9.6551724137931047E-2</v>
      </c>
      <c r="J43" s="49">
        <v>22.173137931034482</v>
      </c>
      <c r="K43" s="49">
        <v>-0.23810344827586205</v>
      </c>
    </row>
    <row r="44" spans="1:11" ht="12.75" x14ac:dyDescent="0.2">
      <c r="A44" s="48">
        <v>3</v>
      </c>
      <c r="B44" s="48">
        <v>2</v>
      </c>
      <c r="C44" s="48">
        <v>18.257292513368988</v>
      </c>
      <c r="D44" s="48">
        <v>0</v>
      </c>
      <c r="E44" s="48">
        <v>4.4400000000000004</v>
      </c>
      <c r="F44" s="48">
        <v>4</v>
      </c>
      <c r="G44" s="48">
        <v>4.400160427807482E-2</v>
      </c>
      <c r="H44" s="48">
        <v>0.31717914438502431</v>
      </c>
      <c r="I44" s="48">
        <v>-22.282192513369061</v>
      </c>
      <c r="J44" s="48">
        <v>18.35875989304812</v>
      </c>
      <c r="K44" s="48">
        <v>-4.3016042780745769E-3</v>
      </c>
    </row>
    <row r="45" spans="1:11" ht="12.75" x14ac:dyDescent="0.2">
      <c r="A45" s="49">
        <v>3</v>
      </c>
      <c r="B45" s="49">
        <v>2</v>
      </c>
      <c r="C45" s="49">
        <v>28.022241176470608</v>
      </c>
      <c r="D45" s="49">
        <v>0</v>
      </c>
      <c r="E45" s="49">
        <v>4.97</v>
      </c>
      <c r="F45" s="49">
        <v>4</v>
      </c>
      <c r="G45" s="49">
        <v>0</v>
      </c>
      <c r="H45" s="49">
        <v>0.30066042780748337</v>
      </c>
      <c r="I45" s="49">
        <v>-5.1888770053476083</v>
      </c>
      <c r="J45" s="49">
        <v>0</v>
      </c>
      <c r="K45" s="49">
        <v>-0.34459946524064172</v>
      </c>
    </row>
    <row r="46" spans="1:11" ht="12.75" x14ac:dyDescent="0.2">
      <c r="A46" s="50">
        <v>3</v>
      </c>
      <c r="B46" s="50">
        <v>2</v>
      </c>
      <c r="C46" s="50">
        <v>29.335921925133636</v>
      </c>
      <c r="D46" s="50">
        <v>0</v>
      </c>
      <c r="E46" s="50">
        <v>3.85</v>
      </c>
      <c r="F46" s="50">
        <v>3</v>
      </c>
      <c r="G46" s="50">
        <v>0</v>
      </c>
      <c r="H46" s="50">
        <v>0.29833155080213886</v>
      </c>
      <c r="I46" s="50">
        <v>-5.2859358288769842</v>
      </c>
      <c r="J46" s="50">
        <v>0</v>
      </c>
      <c r="K46" s="50">
        <v>-0.42908663101604377</v>
      </c>
    </row>
    <row r="47" spans="1:11" ht="12.75" x14ac:dyDescent="0.2">
      <c r="A47" s="49">
        <v>3</v>
      </c>
      <c r="B47" s="49">
        <v>2</v>
      </c>
      <c r="C47" s="49">
        <v>28.40787540106955</v>
      </c>
      <c r="D47" s="49">
        <v>0</v>
      </c>
      <c r="E47" s="49">
        <v>3.18</v>
      </c>
      <c r="F47" s="49">
        <v>3</v>
      </c>
      <c r="G47" s="49">
        <v>0</v>
      </c>
      <c r="H47" s="49">
        <v>0.26922780748662989</v>
      </c>
      <c r="I47" s="49">
        <v>-8.3367914438502613</v>
      </c>
      <c r="J47" s="49">
        <v>0</v>
      </c>
      <c r="K47" s="49">
        <v>-0.37290374331550769</v>
      </c>
    </row>
    <row r="48" spans="1:11" ht="12.75" x14ac:dyDescent="0.2">
      <c r="A48" s="50">
        <v>3</v>
      </c>
      <c r="B48" s="50">
        <v>2</v>
      </c>
      <c r="C48" s="50">
        <v>29.220411764705936</v>
      </c>
      <c r="D48" s="50">
        <v>0</v>
      </c>
      <c r="E48" s="50">
        <v>2</v>
      </c>
      <c r="F48" s="50">
        <v>2</v>
      </c>
      <c r="G48" s="50">
        <v>0</v>
      </c>
      <c r="H48" s="50">
        <v>0.31382780748663108</v>
      </c>
      <c r="I48" s="50">
        <v>-2.6320855614973113</v>
      </c>
      <c r="J48" s="50">
        <v>0</v>
      </c>
      <c r="K48" s="50">
        <v>-0.28201176470588174</v>
      </c>
    </row>
    <row r="49" spans="1:11" ht="12.75" x14ac:dyDescent="0.2">
      <c r="A49" s="51">
        <v>3</v>
      </c>
      <c r="B49" s="51">
        <v>2</v>
      </c>
      <c r="C49" s="51">
        <v>28.862486631016093</v>
      </c>
      <c r="D49" s="51">
        <v>0</v>
      </c>
      <c r="E49" s="51">
        <v>3.15</v>
      </c>
      <c r="F49" s="51">
        <v>2</v>
      </c>
      <c r="G49" s="51">
        <v>0</v>
      </c>
      <c r="H49" s="51">
        <v>0.25886256684491976</v>
      </c>
      <c r="I49" s="51">
        <v>-10.745775401069519</v>
      </c>
      <c r="J49" s="51">
        <v>30.787400534759374</v>
      </c>
      <c r="K49" s="51">
        <v>-0.16486898395721925</v>
      </c>
    </row>
    <row r="50" spans="1:11" ht="12.75" x14ac:dyDescent="0.2">
      <c r="A50" s="48">
        <v>3</v>
      </c>
      <c r="B50" s="48">
        <v>3</v>
      </c>
      <c r="C50" s="48">
        <v>15.287879999999996</v>
      </c>
      <c r="D50" s="48">
        <v>0</v>
      </c>
      <c r="E50" s="48">
        <v>4.7</v>
      </c>
      <c r="F50" s="48">
        <v>4</v>
      </c>
      <c r="G50" s="48">
        <v>0</v>
      </c>
      <c r="H50" s="48">
        <v>0.18411999999999998</v>
      </c>
      <c r="I50" s="48">
        <v>0.25999999999999995</v>
      </c>
      <c r="J50" s="48">
        <v>0</v>
      </c>
      <c r="K50" s="48">
        <v>-0.29655999999999999</v>
      </c>
    </row>
    <row r="51" spans="1:11" ht="12.75" x14ac:dyDescent="0.2">
      <c r="A51" s="49">
        <v>3</v>
      </c>
      <c r="B51" s="49">
        <v>3</v>
      </c>
      <c r="C51" s="49">
        <v>14.215839999999998</v>
      </c>
      <c r="D51" s="49">
        <v>0</v>
      </c>
      <c r="E51" s="49">
        <v>5.08</v>
      </c>
      <c r="F51" s="49">
        <v>4</v>
      </c>
      <c r="G51" s="49">
        <v>2.1879999999999997E-2</v>
      </c>
      <c r="H51" s="49">
        <v>6.8879999999999997E-2</v>
      </c>
      <c r="I51" s="49">
        <v>8.0000000000000071E-3</v>
      </c>
      <c r="J51" s="49">
        <v>2.7257599999999997</v>
      </c>
      <c r="K51" s="49">
        <v>-0.37095999999999996</v>
      </c>
    </row>
    <row r="52" spans="1:11" ht="12.75" x14ac:dyDescent="0.2">
      <c r="A52" s="50">
        <v>3</v>
      </c>
      <c r="B52" s="50">
        <v>3</v>
      </c>
      <c r="C52" s="50">
        <v>10.311120000000001</v>
      </c>
      <c r="D52" s="50">
        <v>0</v>
      </c>
      <c r="E52" s="50">
        <v>2.4700000000000002</v>
      </c>
      <c r="F52" s="50">
        <v>3</v>
      </c>
      <c r="G52" s="50">
        <v>1.1160000000000002E-2</v>
      </c>
      <c r="H52" s="50">
        <v>0.15324000000000002</v>
      </c>
      <c r="I52" s="50">
        <v>-22.215999999999994</v>
      </c>
      <c r="J52" s="50">
        <v>39.287959999999991</v>
      </c>
      <c r="K52" s="50">
        <v>8.3040000000000017E-2</v>
      </c>
    </row>
    <row r="53" spans="1:11" ht="12.75" x14ac:dyDescent="0.2">
      <c r="A53" s="49">
        <v>3</v>
      </c>
      <c r="B53" s="49">
        <v>3</v>
      </c>
      <c r="C53" s="49">
        <v>13.461159999999996</v>
      </c>
      <c r="D53" s="49">
        <v>0</v>
      </c>
      <c r="E53" s="49">
        <v>4.9400000000000004</v>
      </c>
      <c r="F53" s="49">
        <v>3</v>
      </c>
      <c r="G53" s="49">
        <v>3.4159999999999996E-2</v>
      </c>
      <c r="H53" s="49">
        <v>0.11075999999999998</v>
      </c>
      <c r="I53" s="49">
        <v>-0.61599999999999999</v>
      </c>
      <c r="J53" s="49">
        <v>41.110799999999998</v>
      </c>
      <c r="K53" s="49">
        <v>-0.29840000000000005</v>
      </c>
    </row>
    <row r="54" spans="1:11" ht="12.75" x14ac:dyDescent="0.2">
      <c r="A54" s="50">
        <v>3</v>
      </c>
      <c r="B54" s="50">
        <v>3</v>
      </c>
      <c r="C54" s="50">
        <v>16.849440000000001</v>
      </c>
      <c r="D54" s="50">
        <v>0</v>
      </c>
      <c r="E54" s="50">
        <v>2.0099999999999998</v>
      </c>
      <c r="F54" s="50">
        <v>2</v>
      </c>
      <c r="G54" s="50">
        <v>2.7919999999999997E-2</v>
      </c>
      <c r="H54" s="50">
        <v>0.12288000000000002</v>
      </c>
      <c r="I54" s="50">
        <v>-13.448000000000002</v>
      </c>
      <c r="J54" s="50">
        <v>43.930640000000004</v>
      </c>
      <c r="K54" s="50">
        <v>-0.24263999999999991</v>
      </c>
    </row>
    <row r="55" spans="1:11" ht="12.75" x14ac:dyDescent="0.2">
      <c r="A55" s="51">
        <v>3</v>
      </c>
      <c r="B55" s="51">
        <v>3</v>
      </c>
      <c r="C55" s="51">
        <v>11.605320000000001</v>
      </c>
      <c r="D55" s="51">
        <v>0</v>
      </c>
      <c r="E55" s="51">
        <v>1.91</v>
      </c>
      <c r="F55" s="51">
        <v>2</v>
      </c>
      <c r="G55" s="51">
        <v>1.4199999999999999E-2</v>
      </c>
      <c r="H55" s="51">
        <v>0.19012000000000001</v>
      </c>
      <c r="I55" s="51">
        <v>-0.24399999999999991</v>
      </c>
      <c r="J55" s="51">
        <v>37.063879999999997</v>
      </c>
      <c r="K55" s="51">
        <v>-0.37056000000000006</v>
      </c>
    </row>
    <row r="56" spans="1:11" ht="12.75" x14ac:dyDescent="0.2">
      <c r="A56" s="48">
        <v>4</v>
      </c>
      <c r="B56" s="48">
        <v>1</v>
      </c>
      <c r="C56" s="48">
        <v>9.7285128205128206</v>
      </c>
      <c r="D56" s="48">
        <v>1</v>
      </c>
      <c r="E56" s="48">
        <v>10.38</v>
      </c>
      <c r="F56" s="48">
        <v>4</v>
      </c>
      <c r="G56" s="48">
        <v>0</v>
      </c>
      <c r="H56" s="48">
        <v>0.15133333333333335</v>
      </c>
      <c r="I56" s="48">
        <v>0.59487179487179487</v>
      </c>
      <c r="J56" s="48">
        <v>0</v>
      </c>
      <c r="K56" s="48">
        <v>-4.0512820512820527E-2</v>
      </c>
    </row>
    <row r="57" spans="1:11" ht="12.75" x14ac:dyDescent="0.2">
      <c r="A57" s="49">
        <v>4</v>
      </c>
      <c r="B57" s="49">
        <v>1</v>
      </c>
      <c r="C57" s="49">
        <v>14.612179487179487</v>
      </c>
      <c r="D57" s="49">
        <v>1</v>
      </c>
      <c r="E57" s="49">
        <v>14.59</v>
      </c>
      <c r="F57" s="49">
        <v>4</v>
      </c>
      <c r="G57" s="49">
        <v>9.948717948717949E-3</v>
      </c>
      <c r="H57" s="49">
        <v>4.5435897435897425E-2</v>
      </c>
      <c r="I57" s="49">
        <v>5.1282051282051336E-2</v>
      </c>
      <c r="J57" s="49">
        <v>0</v>
      </c>
      <c r="K57" s="49">
        <v>-0.44289743589743596</v>
      </c>
    </row>
    <row r="58" spans="1:11" ht="12.75" x14ac:dyDescent="0.2">
      <c r="A58" s="50">
        <v>4</v>
      </c>
      <c r="B58" s="50">
        <v>1</v>
      </c>
      <c r="C58" s="50">
        <v>11.87553846153846</v>
      </c>
      <c r="D58" s="50">
        <v>0</v>
      </c>
      <c r="E58" s="50">
        <v>5.69</v>
      </c>
      <c r="F58" s="50">
        <v>3</v>
      </c>
      <c r="G58" s="50">
        <v>3.5128205128205129E-3</v>
      </c>
      <c r="H58" s="50">
        <v>0.11787179487179482</v>
      </c>
      <c r="I58" s="50">
        <v>-16.117948717948728</v>
      </c>
      <c r="J58" s="50">
        <v>23.671846153846158</v>
      </c>
      <c r="K58" s="50">
        <v>-0.18515384615384611</v>
      </c>
    </row>
    <row r="59" spans="1:11" ht="12.75" x14ac:dyDescent="0.2">
      <c r="A59" s="49">
        <v>4</v>
      </c>
      <c r="B59" s="49">
        <v>1</v>
      </c>
      <c r="C59" s="49">
        <v>17.539615384615388</v>
      </c>
      <c r="D59" s="49">
        <v>0</v>
      </c>
      <c r="E59" s="49">
        <v>4.16</v>
      </c>
      <c r="F59" s="49">
        <v>3</v>
      </c>
      <c r="G59" s="49">
        <v>0</v>
      </c>
      <c r="H59" s="49">
        <v>0.14133333333333331</v>
      </c>
      <c r="I59" s="49">
        <v>-8.4871794871794872</v>
      </c>
      <c r="J59" s="49">
        <v>13.903692307692305</v>
      </c>
      <c r="K59" s="49">
        <v>-0.27425641025641029</v>
      </c>
    </row>
    <row r="60" spans="1:11" ht="12.75" x14ac:dyDescent="0.2">
      <c r="A60" s="50">
        <v>4</v>
      </c>
      <c r="B60" s="50">
        <v>1</v>
      </c>
      <c r="C60" s="50">
        <v>11.774333333333333</v>
      </c>
      <c r="D60" s="50">
        <v>0</v>
      </c>
      <c r="E60" s="50">
        <v>4.37</v>
      </c>
      <c r="F60" s="50">
        <v>2</v>
      </c>
      <c r="G60" s="50">
        <v>0</v>
      </c>
      <c r="H60" s="50">
        <v>8.1435897435897422E-2</v>
      </c>
      <c r="I60" s="50">
        <v>-0.26410256410256405</v>
      </c>
      <c r="J60" s="50">
        <v>74.536589743589744</v>
      </c>
      <c r="K60" s="50">
        <v>-0.93546153846153834</v>
      </c>
    </row>
    <row r="61" spans="1:11" ht="12.75" x14ac:dyDescent="0.2">
      <c r="A61" s="51">
        <v>4</v>
      </c>
      <c r="B61" s="51">
        <v>1</v>
      </c>
      <c r="C61" s="51">
        <v>6.7756923076923083</v>
      </c>
      <c r="D61" s="51">
        <v>1</v>
      </c>
      <c r="E61" s="51">
        <v>3.56</v>
      </c>
      <c r="F61" s="51">
        <v>2</v>
      </c>
      <c r="G61" s="51">
        <v>1.8974358974358976E-2</v>
      </c>
      <c r="H61" s="51">
        <v>5.3410256410256415E-2</v>
      </c>
      <c r="I61" s="51">
        <v>-24.04871794871795</v>
      </c>
      <c r="J61" s="51">
        <v>66.453564102564101</v>
      </c>
      <c r="K61" s="51">
        <v>-0.20115384615384613</v>
      </c>
    </row>
    <row r="62" spans="1:11" ht="12.75" x14ac:dyDescent="0.2">
      <c r="A62" s="48">
        <v>4</v>
      </c>
      <c r="B62" s="48">
        <v>2</v>
      </c>
      <c r="C62" s="48">
        <v>12.374140748550328</v>
      </c>
      <c r="D62" s="48">
        <v>0</v>
      </c>
      <c r="E62" s="48">
        <v>13.33</v>
      </c>
      <c r="F62" s="48">
        <v>4</v>
      </c>
      <c r="G62" s="48">
        <v>0</v>
      </c>
      <c r="H62" s="48">
        <v>0.13758091723774338</v>
      </c>
      <c r="I62" s="48">
        <v>0.6370585134422776</v>
      </c>
      <c r="J62" s="48">
        <v>23.391360569319971</v>
      </c>
      <c r="K62" s="48">
        <v>-0.32471375856615764</v>
      </c>
    </row>
    <row r="63" spans="1:11" ht="12.75" x14ac:dyDescent="0.2">
      <c r="A63" s="49">
        <v>4</v>
      </c>
      <c r="B63" s="49">
        <v>2</v>
      </c>
      <c r="C63" s="49">
        <v>16.603574591460205</v>
      </c>
      <c r="D63" s="49">
        <v>1</v>
      </c>
      <c r="E63" s="49">
        <v>7.3</v>
      </c>
      <c r="F63" s="49">
        <v>4</v>
      </c>
      <c r="G63" s="49">
        <v>0</v>
      </c>
      <c r="H63" s="49">
        <v>0.13095308381655196</v>
      </c>
      <c r="I63" s="49">
        <v>-6.2994201370584493E-2</v>
      </c>
      <c r="J63" s="49">
        <v>0</v>
      </c>
      <c r="K63" s="49">
        <v>-0.61168371112282405</v>
      </c>
    </row>
    <row r="64" spans="1:11" ht="12.75" x14ac:dyDescent="0.2">
      <c r="A64" s="50">
        <v>4</v>
      </c>
      <c r="B64" s="50">
        <v>2</v>
      </c>
      <c r="C64" s="50">
        <v>18.003654717975738</v>
      </c>
      <c r="D64" s="50">
        <v>1</v>
      </c>
      <c r="E64" s="50">
        <v>12.66</v>
      </c>
      <c r="F64" s="50">
        <v>3</v>
      </c>
      <c r="G64" s="50">
        <v>0</v>
      </c>
      <c r="H64" s="50">
        <v>0.14163468634686302</v>
      </c>
      <c r="I64" s="50">
        <v>-6.3799683711122697</v>
      </c>
      <c r="J64" s="50">
        <v>1.308897206114918</v>
      </c>
      <c r="K64" s="50">
        <v>-0.50049077490775007</v>
      </c>
    </row>
    <row r="65" spans="1:11" ht="12.75" x14ac:dyDescent="0.2">
      <c r="A65" s="49">
        <v>4</v>
      </c>
      <c r="B65" s="49">
        <v>2</v>
      </c>
      <c r="C65" s="49">
        <v>19.167594095940974</v>
      </c>
      <c r="D65" s="49">
        <v>0</v>
      </c>
      <c r="E65" s="49">
        <v>3.47</v>
      </c>
      <c r="F65" s="49">
        <v>3</v>
      </c>
      <c r="G65" s="49">
        <v>0</v>
      </c>
      <c r="H65" s="49">
        <v>0.19594464944649384</v>
      </c>
      <c r="I65" s="49">
        <v>-3.7573010015814576</v>
      </c>
      <c r="J65" s="49">
        <v>80.99920453347373</v>
      </c>
      <c r="K65" s="49">
        <v>0.34793726937269359</v>
      </c>
    </row>
    <row r="66" spans="1:11" ht="12.75" x14ac:dyDescent="0.2">
      <c r="A66" s="50">
        <v>4</v>
      </c>
      <c r="B66" s="50">
        <v>2</v>
      </c>
      <c r="C66" s="50">
        <v>27.020068002108591</v>
      </c>
      <c r="D66" s="50">
        <v>0</v>
      </c>
      <c r="E66" s="50">
        <v>5.35</v>
      </c>
      <c r="F66" s="50">
        <v>2</v>
      </c>
      <c r="G66" s="50">
        <v>1.7146020031628875E-2</v>
      </c>
      <c r="H66" s="50">
        <v>0.44466736953083685</v>
      </c>
      <c r="I66" s="50">
        <v>-0.39868212967843941</v>
      </c>
      <c r="J66" s="50">
        <v>21.7831544544017</v>
      </c>
      <c r="K66" s="50">
        <v>4.8124934106483885E-2</v>
      </c>
    </row>
    <row r="67" spans="1:11" ht="12.75" x14ac:dyDescent="0.2">
      <c r="A67" s="51">
        <v>4</v>
      </c>
      <c r="B67" s="51">
        <v>2</v>
      </c>
      <c r="C67" s="51">
        <v>21.452677912493463</v>
      </c>
      <c r="D67" s="51">
        <v>0</v>
      </c>
      <c r="E67" s="51">
        <v>4.32</v>
      </c>
      <c r="F67" s="51">
        <v>2</v>
      </c>
      <c r="G67" s="51">
        <v>0</v>
      </c>
      <c r="H67" s="51">
        <v>0.22751871375856444</v>
      </c>
      <c r="I67" s="51">
        <v>-10.82076963626781</v>
      </c>
      <c r="J67" s="51">
        <v>36.737424354243565</v>
      </c>
      <c r="K67" s="51">
        <v>-0.80065313653136561</v>
      </c>
    </row>
    <row r="68" spans="1:11" ht="12.75" x14ac:dyDescent="0.2">
      <c r="A68" s="48">
        <v>4</v>
      </c>
      <c r="B68" s="48">
        <v>3</v>
      </c>
      <c r="C68" s="48">
        <v>14.510285714285718</v>
      </c>
      <c r="D68" s="48">
        <v>0</v>
      </c>
      <c r="E68" s="48">
        <v>9.17</v>
      </c>
      <c r="F68" s="48">
        <v>4</v>
      </c>
      <c r="G68" s="48">
        <v>0</v>
      </c>
      <c r="H68" s="48">
        <v>0.15538095238095229</v>
      </c>
      <c r="I68" s="48">
        <v>0.78809523809523829</v>
      </c>
      <c r="J68" s="48">
        <v>0</v>
      </c>
      <c r="K68" s="48">
        <v>-0.498</v>
      </c>
    </row>
    <row r="69" spans="1:11" ht="12.75" x14ac:dyDescent="0.2">
      <c r="A69" s="49">
        <v>4</v>
      </c>
      <c r="B69" s="49">
        <v>3</v>
      </c>
      <c r="C69" s="49">
        <v>9.2851904761904756</v>
      </c>
      <c r="D69" s="49">
        <v>1</v>
      </c>
      <c r="E69" s="49">
        <v>19.05</v>
      </c>
      <c r="F69" s="49">
        <v>4</v>
      </c>
      <c r="G69" s="49">
        <v>2.754761904761905E-2</v>
      </c>
      <c r="H69" s="49">
        <v>8.7142857142857147E-2</v>
      </c>
      <c r="I69" s="49">
        <v>-17.94761904761905</v>
      </c>
      <c r="J69" s="49">
        <v>67.811833333333325</v>
      </c>
      <c r="K69" s="49">
        <v>-0.33959523809523817</v>
      </c>
    </row>
    <row r="70" spans="1:11" ht="12.75" x14ac:dyDescent="0.2">
      <c r="A70" s="50">
        <v>4</v>
      </c>
      <c r="B70" s="50">
        <v>3</v>
      </c>
      <c r="C70" s="50">
        <v>17.020333333333337</v>
      </c>
      <c r="D70" s="50">
        <v>1</v>
      </c>
      <c r="E70" s="50">
        <v>12.54</v>
      </c>
      <c r="F70" s="50">
        <v>3</v>
      </c>
      <c r="G70" s="50">
        <v>0</v>
      </c>
      <c r="H70" s="50">
        <v>0.12259523809523809</v>
      </c>
      <c r="I70" s="50">
        <v>-7.6738095238095259</v>
      </c>
      <c r="J70" s="50">
        <v>23.733452380952379</v>
      </c>
      <c r="K70" s="50">
        <v>-0.58885714285714286</v>
      </c>
    </row>
    <row r="71" spans="1:11" ht="12.75" x14ac:dyDescent="0.2">
      <c r="A71" s="49">
        <v>4</v>
      </c>
      <c r="B71" s="49">
        <v>3</v>
      </c>
      <c r="C71" s="49">
        <v>13.760309523809523</v>
      </c>
      <c r="D71" s="49">
        <v>0</v>
      </c>
      <c r="E71" s="49">
        <v>3.33</v>
      </c>
      <c r="F71" s="49">
        <v>3</v>
      </c>
      <c r="G71" s="49">
        <v>6.904761904761904E-3</v>
      </c>
      <c r="H71" s="49">
        <v>8.8357142857142856E-2</v>
      </c>
      <c r="I71" s="49">
        <v>-13.614285714285714</v>
      </c>
      <c r="J71" s="49">
        <v>0.14959523809523811</v>
      </c>
      <c r="K71" s="49">
        <v>-0.49633333333333335</v>
      </c>
    </row>
    <row r="72" spans="1:11" ht="12.75" x14ac:dyDescent="0.2">
      <c r="A72" s="50">
        <v>4</v>
      </c>
      <c r="B72" s="50">
        <v>3</v>
      </c>
      <c r="C72" s="50">
        <v>11.091071428571428</v>
      </c>
      <c r="D72" s="50">
        <v>0</v>
      </c>
      <c r="E72" s="50">
        <v>4.87</v>
      </c>
      <c r="F72" s="50">
        <v>2</v>
      </c>
      <c r="G72" s="50">
        <v>0.10042857142857142</v>
      </c>
      <c r="H72" s="50">
        <v>0.23564285714285715</v>
      </c>
      <c r="I72" s="50">
        <v>-17.459523809523809</v>
      </c>
      <c r="J72" s="50">
        <v>1.6979047619047618</v>
      </c>
      <c r="K72" s="50">
        <v>-0.36783333333333346</v>
      </c>
    </row>
    <row r="73" spans="1:11" ht="12.75" x14ac:dyDescent="0.2">
      <c r="A73" s="51">
        <v>4</v>
      </c>
      <c r="B73" s="51">
        <v>3</v>
      </c>
      <c r="C73" s="51">
        <v>9.3389523809523816</v>
      </c>
      <c r="D73" s="51">
        <v>0</v>
      </c>
      <c r="E73" s="51">
        <v>3.85</v>
      </c>
      <c r="F73" s="51">
        <v>2</v>
      </c>
      <c r="G73" s="51">
        <v>8.1928571428571434E-2</v>
      </c>
      <c r="H73" s="51">
        <v>0.1121190476190476</v>
      </c>
      <c r="I73" s="51">
        <v>-14.369047619047624</v>
      </c>
      <c r="J73" s="51">
        <v>0</v>
      </c>
      <c r="K73" s="51">
        <v>-0.48783333333333329</v>
      </c>
    </row>
    <row r="74" spans="1:11" ht="12.75" x14ac:dyDescent="0.2">
      <c r="A74" s="48">
        <v>5</v>
      </c>
      <c r="B74" s="48">
        <v>1</v>
      </c>
      <c r="C74" s="48">
        <v>12.783705882352942</v>
      </c>
      <c r="D74" s="48">
        <v>0</v>
      </c>
      <c r="E74" s="48">
        <v>10.56</v>
      </c>
      <c r="F74" s="48">
        <v>4</v>
      </c>
      <c r="G74" s="48">
        <v>0</v>
      </c>
      <c r="H74" s="48">
        <v>0.14649999999999996</v>
      </c>
      <c r="I74" s="48">
        <v>-3.2352941176470598E-2</v>
      </c>
      <c r="J74" s="48">
        <v>20.633529411764705</v>
      </c>
      <c r="K74" s="48">
        <v>-0.13523529411764704</v>
      </c>
    </row>
    <row r="75" spans="1:11" ht="12.75" x14ac:dyDescent="0.2">
      <c r="A75" s="49">
        <v>5</v>
      </c>
      <c r="B75" s="49">
        <v>1</v>
      </c>
      <c r="C75" s="49">
        <v>15.205794117647057</v>
      </c>
      <c r="D75" s="49">
        <v>0</v>
      </c>
      <c r="E75" s="49">
        <v>8.01</v>
      </c>
      <c r="F75" s="49">
        <v>4</v>
      </c>
      <c r="G75" s="49">
        <v>2.5294117647058828E-2</v>
      </c>
      <c r="H75" s="49">
        <v>8.6147058823529368E-2</v>
      </c>
      <c r="I75" s="49">
        <v>-5.2941176470588228E-2</v>
      </c>
      <c r="J75" s="49">
        <v>13.178529411764705</v>
      </c>
      <c r="K75" s="49">
        <v>-0.18847058823529411</v>
      </c>
    </row>
    <row r="76" spans="1:11" ht="12.75" x14ac:dyDescent="0.2">
      <c r="A76" s="50">
        <v>5</v>
      </c>
      <c r="B76" s="50">
        <v>1</v>
      </c>
      <c r="C76" s="50">
        <v>0.49811764705882355</v>
      </c>
      <c r="D76" s="50">
        <v>0</v>
      </c>
      <c r="E76" s="50">
        <v>3.77</v>
      </c>
      <c r="F76" s="50">
        <v>3</v>
      </c>
      <c r="G76" s="50">
        <v>9.9794117647058825E-2</v>
      </c>
      <c r="H76" s="50">
        <v>6.6764705882352941E-3</v>
      </c>
      <c r="I76" s="50">
        <v>-1.7</v>
      </c>
      <c r="J76" s="50">
        <v>53.402323529411753</v>
      </c>
      <c r="K76" s="50">
        <v>0.10302941176470583</v>
      </c>
    </row>
    <row r="77" spans="1:11" ht="12.75" x14ac:dyDescent="0.2">
      <c r="A77" s="49">
        <v>5</v>
      </c>
      <c r="B77" s="49">
        <v>1</v>
      </c>
      <c r="C77" s="49">
        <v>11.662823529411767</v>
      </c>
      <c r="D77" s="49">
        <v>0</v>
      </c>
      <c r="E77" s="49">
        <v>4.2</v>
      </c>
      <c r="F77" s="49">
        <v>3</v>
      </c>
      <c r="G77" s="49">
        <v>4.2352941176470593E-3</v>
      </c>
      <c r="H77" s="49">
        <v>0.13614705882352943</v>
      </c>
      <c r="I77" s="49">
        <v>-33.120588235294115</v>
      </c>
      <c r="J77" s="49">
        <v>8.663117647058824</v>
      </c>
      <c r="K77" s="49">
        <v>-0.2412352941176471</v>
      </c>
    </row>
    <row r="78" spans="1:11" ht="12.75" x14ac:dyDescent="0.2">
      <c r="A78" s="50">
        <v>5</v>
      </c>
      <c r="B78" s="50">
        <v>1</v>
      </c>
      <c r="C78" s="50">
        <v>16.680235294117647</v>
      </c>
      <c r="D78" s="50">
        <v>1</v>
      </c>
      <c r="E78" s="50">
        <v>5.23</v>
      </c>
      <c r="F78" s="50">
        <v>2</v>
      </c>
      <c r="G78" s="50">
        <v>0</v>
      </c>
      <c r="H78" s="50">
        <v>0.1178529411764706</v>
      </c>
      <c r="I78" s="50">
        <v>-9.5558823529411754</v>
      </c>
      <c r="J78" s="50">
        <v>0</v>
      </c>
      <c r="K78" s="50">
        <v>-0.2662647058823529</v>
      </c>
    </row>
    <row r="79" spans="1:11" ht="12.75" x14ac:dyDescent="0.2">
      <c r="A79" s="51">
        <v>5</v>
      </c>
      <c r="B79" s="51">
        <v>1</v>
      </c>
      <c r="C79" s="51">
        <v>12.710382352941178</v>
      </c>
      <c r="D79" s="51">
        <v>0</v>
      </c>
      <c r="E79" s="51">
        <v>2.19</v>
      </c>
      <c r="F79" s="51">
        <v>2</v>
      </c>
      <c r="G79" s="51">
        <v>0</v>
      </c>
      <c r="H79" s="51">
        <v>6.8941176470588214E-2</v>
      </c>
      <c r="I79" s="51">
        <v>-0.12058823529411761</v>
      </c>
      <c r="J79" s="51">
        <v>43.935470588235283</v>
      </c>
      <c r="K79" s="51">
        <v>-0.47744117647058837</v>
      </c>
    </row>
    <row r="80" spans="1:11" ht="12.75" x14ac:dyDescent="0.2">
      <c r="A80" s="48">
        <v>5</v>
      </c>
      <c r="B80" s="48">
        <v>2</v>
      </c>
      <c r="C80" s="48">
        <v>9.9008503937007806</v>
      </c>
      <c r="D80" s="48">
        <v>0</v>
      </c>
      <c r="E80" s="48">
        <v>9.69</v>
      </c>
      <c r="F80" s="48">
        <v>4</v>
      </c>
      <c r="G80" s="48">
        <v>0.10394698162729647</v>
      </c>
      <c r="H80" s="48">
        <v>0.1626141732283459</v>
      </c>
      <c r="I80" s="48">
        <v>0.68661417322834351</v>
      </c>
      <c r="J80" s="48">
        <v>18.021495538057749</v>
      </c>
      <c r="K80" s="48">
        <v>0.32938005249343638</v>
      </c>
    </row>
    <row r="81" spans="1:11" ht="12.75" x14ac:dyDescent="0.2">
      <c r="A81" s="49">
        <v>5</v>
      </c>
      <c r="B81" s="49">
        <v>2</v>
      </c>
      <c r="C81" s="49">
        <v>25.525191076115586</v>
      </c>
      <c r="D81" s="49">
        <v>0</v>
      </c>
      <c r="E81" s="49">
        <v>16.41</v>
      </c>
      <c r="F81" s="49">
        <v>4</v>
      </c>
      <c r="G81" s="49">
        <v>0</v>
      </c>
      <c r="H81" s="49">
        <v>0.27200682414698008</v>
      </c>
      <c r="I81" s="49">
        <v>3.6272965879265075E-2</v>
      </c>
      <c r="J81" s="49">
        <v>0</v>
      </c>
      <c r="K81" s="49">
        <v>-0.21065931758530274</v>
      </c>
    </row>
    <row r="82" spans="1:11" ht="12.75" x14ac:dyDescent="0.2">
      <c r="A82" s="50">
        <v>5</v>
      </c>
      <c r="B82" s="50">
        <v>2</v>
      </c>
      <c r="C82" s="50">
        <v>26.928525984251952</v>
      </c>
      <c r="D82" s="50">
        <v>0</v>
      </c>
      <c r="E82" s="50">
        <v>5.12</v>
      </c>
      <c r="F82" s="50">
        <v>3</v>
      </c>
      <c r="G82" s="50">
        <v>0</v>
      </c>
      <c r="H82" s="50">
        <v>0.24199790026246626</v>
      </c>
      <c r="I82" s="50">
        <v>-9.980472440944876</v>
      </c>
      <c r="J82" s="50">
        <v>0</v>
      </c>
      <c r="K82" s="50">
        <v>3.2935433070866167E-2</v>
      </c>
    </row>
    <row r="83" spans="1:11" ht="12.75" x14ac:dyDescent="0.2">
      <c r="A83" s="49">
        <v>5</v>
      </c>
      <c r="B83" s="49">
        <v>2</v>
      </c>
      <c r="C83" s="49">
        <v>27.767386351706101</v>
      </c>
      <c r="D83" s="49">
        <v>0</v>
      </c>
      <c r="E83" s="49">
        <v>4.78</v>
      </c>
      <c r="F83" s="49">
        <v>3</v>
      </c>
      <c r="G83" s="49">
        <v>0</v>
      </c>
      <c r="H83" s="49">
        <v>0.24853910761155251</v>
      </c>
      <c r="I83" s="49">
        <v>9.5013123359579989E-3</v>
      </c>
      <c r="J83" s="49">
        <v>0</v>
      </c>
      <c r="K83" s="49">
        <v>-0.28080104986876681</v>
      </c>
    </row>
    <row r="84" spans="1:11" ht="12.75" x14ac:dyDescent="0.2">
      <c r="A84" s="50">
        <v>5</v>
      </c>
      <c r="B84" s="50">
        <v>2</v>
      </c>
      <c r="C84" s="50">
        <v>26.093607349081378</v>
      </c>
      <c r="D84" s="50">
        <v>0</v>
      </c>
      <c r="E84" s="50">
        <v>2.37</v>
      </c>
      <c r="F84" s="50">
        <v>2</v>
      </c>
      <c r="G84" s="50">
        <v>0</v>
      </c>
      <c r="H84" s="50">
        <v>0.20999160104986775</v>
      </c>
      <c r="I84" s="50">
        <v>-10.431233595800592</v>
      </c>
      <c r="J84" s="50">
        <v>12.055869816272974</v>
      </c>
      <c r="K84" s="50">
        <v>-1.248293963254588E-2</v>
      </c>
    </row>
    <row r="85" spans="1:11" ht="12.75" x14ac:dyDescent="0.2">
      <c r="A85" s="51">
        <v>5</v>
      </c>
      <c r="B85" s="51">
        <v>2</v>
      </c>
      <c r="C85" s="51">
        <v>26.047402099737546</v>
      </c>
      <c r="D85" s="51">
        <v>0</v>
      </c>
      <c r="E85" s="51">
        <v>2.2799999999999998</v>
      </c>
      <c r="F85" s="51">
        <v>2</v>
      </c>
      <c r="G85" s="51">
        <v>0</v>
      </c>
      <c r="H85" s="51">
        <v>0.19861417322834635</v>
      </c>
      <c r="I85" s="51">
        <v>3.5380577427821594E-2</v>
      </c>
      <c r="J85" s="51">
        <v>0</v>
      </c>
      <c r="K85" s="51">
        <v>-0.22980052493438388</v>
      </c>
    </row>
    <row r="86" spans="1:11" ht="12.75" x14ac:dyDescent="0.2">
      <c r="A86" s="48">
        <v>5</v>
      </c>
      <c r="B86" s="48">
        <v>3</v>
      </c>
      <c r="C86" s="48">
        <v>12.092210526315791</v>
      </c>
      <c r="D86" s="48">
        <v>0</v>
      </c>
      <c r="E86" s="48">
        <v>2.42</v>
      </c>
      <c r="F86" s="48">
        <v>4</v>
      </c>
      <c r="G86" s="48">
        <v>0</v>
      </c>
      <c r="H86" s="48">
        <v>0.19063157894736843</v>
      </c>
      <c r="I86" s="48">
        <v>0.17894736842105263</v>
      </c>
      <c r="J86" s="48">
        <v>0</v>
      </c>
      <c r="K86" s="48">
        <v>3.1578947368421061E-2</v>
      </c>
    </row>
    <row r="87" spans="1:11" ht="12.75" x14ac:dyDescent="0.2">
      <c r="A87" s="49">
        <v>5</v>
      </c>
      <c r="B87" s="49">
        <v>3</v>
      </c>
      <c r="C87" s="49">
        <v>16.423052631578948</v>
      </c>
      <c r="D87" s="49">
        <v>0</v>
      </c>
      <c r="E87" s="49">
        <v>5.9</v>
      </c>
      <c r="F87" s="49">
        <v>4</v>
      </c>
      <c r="G87" s="49">
        <v>0</v>
      </c>
      <c r="H87" s="49">
        <v>0.10794736842105261</v>
      </c>
      <c r="I87" s="49">
        <v>1.578947368421053E-2</v>
      </c>
      <c r="J87" s="49">
        <v>0</v>
      </c>
      <c r="K87" s="49">
        <v>-0.35110526315789475</v>
      </c>
    </row>
    <row r="88" spans="1:11" ht="12.75" x14ac:dyDescent="0.2">
      <c r="A88" s="50">
        <v>5</v>
      </c>
      <c r="B88" s="50">
        <v>3</v>
      </c>
      <c r="C88" s="50">
        <v>16.40463157894737</v>
      </c>
      <c r="D88" s="50">
        <v>0</v>
      </c>
      <c r="E88" s="50">
        <v>3.85</v>
      </c>
      <c r="F88" s="50">
        <v>3</v>
      </c>
      <c r="G88" s="50">
        <v>3.5052631578947363E-2</v>
      </c>
      <c r="H88" s="50">
        <v>0.11584210526315793</v>
      </c>
      <c r="I88" s="50">
        <v>1.368421052631579</v>
      </c>
      <c r="J88" s="50">
        <v>5.7295263157894736</v>
      </c>
      <c r="K88" s="50">
        <v>-0.33452631578947373</v>
      </c>
    </row>
    <row r="89" spans="1:11" ht="12.75" x14ac:dyDescent="0.2">
      <c r="A89" s="49">
        <v>5</v>
      </c>
      <c r="B89" s="49">
        <v>3</v>
      </c>
      <c r="C89" s="49">
        <v>5.3563157894736841</v>
      </c>
      <c r="D89" s="49">
        <v>0</v>
      </c>
      <c r="E89" s="49">
        <v>3.12</v>
      </c>
      <c r="F89" s="49">
        <v>3</v>
      </c>
      <c r="G89" s="49">
        <v>3.7368421052631579E-2</v>
      </c>
      <c r="H89" s="49">
        <v>6.3105263157894734E-2</v>
      </c>
      <c r="I89" s="49">
        <v>-125.80000000000001</v>
      </c>
      <c r="J89" s="49">
        <v>0</v>
      </c>
      <c r="K89" s="49">
        <v>0.36789473684210533</v>
      </c>
    </row>
    <row r="90" spans="1:11" ht="12.75" x14ac:dyDescent="0.2">
      <c r="A90" s="50">
        <v>5</v>
      </c>
      <c r="B90" s="50">
        <v>3</v>
      </c>
      <c r="C90" s="50">
        <v>9.9082631578947353</v>
      </c>
      <c r="D90" s="50">
        <v>0</v>
      </c>
      <c r="E90" s="50">
        <v>2.95</v>
      </c>
      <c r="F90" s="50">
        <v>2</v>
      </c>
      <c r="G90" s="50">
        <v>0</v>
      </c>
      <c r="H90" s="50">
        <v>0.14221052631578945</v>
      </c>
      <c r="I90" s="50">
        <v>31.805263157894739</v>
      </c>
      <c r="J90" s="50">
        <v>175.14784210526318</v>
      </c>
      <c r="K90" s="50">
        <v>-0.20536842105263156</v>
      </c>
    </row>
    <row r="91" spans="1:11" ht="12.75" x14ac:dyDescent="0.2">
      <c r="A91" s="51">
        <v>5</v>
      </c>
      <c r="B91" s="51">
        <v>3</v>
      </c>
      <c r="C91" s="51">
        <v>13.746052631578948</v>
      </c>
      <c r="D91" s="51">
        <v>0</v>
      </c>
      <c r="E91" s="51">
        <v>2.2999999999999998</v>
      </c>
      <c r="F91" s="51">
        <v>2</v>
      </c>
      <c r="G91" s="51">
        <v>1.7736842105263155E-2</v>
      </c>
      <c r="H91" s="51">
        <v>7.7315789473684227E-2</v>
      </c>
      <c r="I91" s="51">
        <v>2.1052631578947375E-2</v>
      </c>
      <c r="J91" s="51">
        <v>49.961736842105267</v>
      </c>
      <c r="K91" s="51">
        <v>0.2781578947368421</v>
      </c>
    </row>
    <row r="92" spans="1:11" ht="12.75" x14ac:dyDescent="0.2">
      <c r="A92" s="48">
        <v>6</v>
      </c>
      <c r="B92" s="48">
        <v>1</v>
      </c>
      <c r="C92" s="48">
        <v>17.918121212121214</v>
      </c>
      <c r="D92" s="48">
        <v>0</v>
      </c>
      <c r="E92" s="48">
        <v>8.34</v>
      </c>
      <c r="F92" s="48">
        <v>4</v>
      </c>
      <c r="G92" s="48">
        <v>1.6363636363636363E-3</v>
      </c>
      <c r="H92" s="48">
        <v>0.29742424242424242</v>
      </c>
      <c r="I92" s="48">
        <v>0.16060606060606059</v>
      </c>
      <c r="J92" s="48">
        <v>26.729787878787878</v>
      </c>
      <c r="K92" s="48">
        <v>-3.9818181818181822E-2</v>
      </c>
    </row>
    <row r="93" spans="1:11" ht="12.75" x14ac:dyDescent="0.2">
      <c r="A93" s="49">
        <v>6</v>
      </c>
      <c r="B93" s="49">
        <v>1</v>
      </c>
      <c r="C93" s="49">
        <v>13.502848484848485</v>
      </c>
      <c r="D93" s="49">
        <v>0</v>
      </c>
      <c r="E93" s="49">
        <v>11.58</v>
      </c>
      <c r="F93" s="49">
        <v>3</v>
      </c>
      <c r="G93" s="49">
        <v>4.2969696969696977E-2</v>
      </c>
      <c r="H93" s="49">
        <v>0.11733333333333333</v>
      </c>
      <c r="I93" s="49">
        <v>-18.596969696969694</v>
      </c>
      <c r="J93" s="49">
        <v>15.33930303030303</v>
      </c>
      <c r="K93" s="49">
        <v>2.1454545454545473E-2</v>
      </c>
    </row>
    <row r="94" spans="1:11" ht="12.75" x14ac:dyDescent="0.2">
      <c r="A94" s="50">
        <v>6</v>
      </c>
      <c r="B94" s="50">
        <v>1</v>
      </c>
      <c r="C94" s="50">
        <v>20.558121212121211</v>
      </c>
      <c r="D94" s="50">
        <v>1</v>
      </c>
      <c r="E94" s="50">
        <v>14.47</v>
      </c>
      <c r="F94" s="50">
        <v>3</v>
      </c>
      <c r="G94" s="50">
        <v>0</v>
      </c>
      <c r="H94" s="50">
        <v>0.18463636363636363</v>
      </c>
      <c r="I94" s="50">
        <v>-4.6515151515151523</v>
      </c>
      <c r="J94" s="50">
        <v>0</v>
      </c>
      <c r="K94" s="50">
        <v>-0.18957575757575759</v>
      </c>
    </row>
    <row r="95" spans="1:11" ht="12.75" x14ac:dyDescent="0.2">
      <c r="A95" s="49">
        <v>6</v>
      </c>
      <c r="B95" s="49">
        <v>1</v>
      </c>
      <c r="C95" s="49">
        <v>19.209787878787875</v>
      </c>
      <c r="D95" s="49">
        <v>0</v>
      </c>
      <c r="E95" s="49">
        <v>1.97</v>
      </c>
      <c r="F95" s="49">
        <v>2</v>
      </c>
      <c r="G95" s="49">
        <v>8.1515151515151527E-3</v>
      </c>
      <c r="H95" s="49">
        <v>0.12463636363636363</v>
      </c>
      <c r="I95" s="49">
        <v>-5.1303030303030308</v>
      </c>
      <c r="J95" s="49">
        <v>46.458606060606066</v>
      </c>
      <c r="K95" s="49">
        <v>-0.30960606060606055</v>
      </c>
    </row>
    <row r="96" spans="1:11" ht="12.75" x14ac:dyDescent="0.2">
      <c r="A96" s="53">
        <v>6</v>
      </c>
      <c r="B96" s="53">
        <v>1</v>
      </c>
      <c r="C96" s="53">
        <v>8.9868181818181831</v>
      </c>
      <c r="D96" s="53">
        <v>0</v>
      </c>
      <c r="E96" s="53">
        <v>6.11</v>
      </c>
      <c r="F96" s="53">
        <v>2</v>
      </c>
      <c r="G96" s="53">
        <v>3.8545454545454549E-2</v>
      </c>
      <c r="H96" s="53">
        <v>8.6363636363636365E-2</v>
      </c>
      <c r="I96" s="53">
        <v>1.6454545454545455</v>
      </c>
      <c r="J96" s="53">
        <v>14.537181818181821</v>
      </c>
      <c r="K96" s="53">
        <v>-1.6848484848484845E-2</v>
      </c>
    </row>
    <row r="97" spans="1:11" ht="12.75" x14ac:dyDescent="0.2">
      <c r="A97" s="52">
        <v>6</v>
      </c>
      <c r="B97" s="52">
        <v>2</v>
      </c>
      <c r="C97" s="52">
        <v>21.39124906890131</v>
      </c>
      <c r="D97" s="52">
        <v>0</v>
      </c>
      <c r="E97" s="52">
        <v>3.61</v>
      </c>
      <c r="F97" s="52">
        <v>4</v>
      </c>
      <c r="G97" s="52">
        <v>0</v>
      </c>
      <c r="H97" s="52">
        <v>0.31792737430167584</v>
      </c>
      <c r="I97" s="52">
        <v>-1.0760707635009328</v>
      </c>
      <c r="J97" s="52">
        <v>0</v>
      </c>
      <c r="K97" s="52">
        <v>-4.7249999999999973E-2</v>
      </c>
    </row>
    <row r="98" spans="1:11" ht="12.75" x14ac:dyDescent="0.2">
      <c r="A98" s="50">
        <v>6</v>
      </c>
      <c r="B98" s="50">
        <v>2</v>
      </c>
      <c r="C98" s="50">
        <v>25.493155027932957</v>
      </c>
      <c r="D98" s="50">
        <v>0</v>
      </c>
      <c r="E98" s="50">
        <v>4.6500000000000004</v>
      </c>
      <c r="F98" s="50">
        <v>3</v>
      </c>
      <c r="G98" s="50">
        <v>0</v>
      </c>
      <c r="H98" s="50">
        <v>0.17148882681564201</v>
      </c>
      <c r="I98" s="50">
        <v>-8.3168528864059414</v>
      </c>
      <c r="J98" s="50">
        <v>0</v>
      </c>
      <c r="K98" s="50">
        <v>-0.46025744878957153</v>
      </c>
    </row>
    <row r="99" spans="1:11" ht="12.75" x14ac:dyDescent="0.2">
      <c r="A99" s="49">
        <v>6</v>
      </c>
      <c r="B99" s="49">
        <v>2</v>
      </c>
      <c r="C99" s="49">
        <v>23.783282588454423</v>
      </c>
      <c r="D99" s="49">
        <v>0</v>
      </c>
      <c r="E99" s="49">
        <v>5.1100000000000003</v>
      </c>
      <c r="F99" s="49">
        <v>3</v>
      </c>
      <c r="G99" s="49">
        <v>0</v>
      </c>
      <c r="H99" s="49">
        <v>0.25425977653631326</v>
      </c>
      <c r="I99" s="49">
        <v>-9.8882681564246525E-2</v>
      </c>
      <c r="J99" s="49">
        <v>0</v>
      </c>
      <c r="K99" s="49">
        <v>-2.2641992551210383E-2</v>
      </c>
    </row>
    <row r="100" spans="1:11" ht="12.75" x14ac:dyDescent="0.2">
      <c r="A100" s="50">
        <v>6</v>
      </c>
      <c r="B100" s="50">
        <v>2</v>
      </c>
      <c r="C100" s="50">
        <v>27.958170391061465</v>
      </c>
      <c r="D100" s="50">
        <v>0</v>
      </c>
      <c r="E100" s="50">
        <v>3.28</v>
      </c>
      <c r="F100" s="50">
        <v>2</v>
      </c>
      <c r="G100" s="50">
        <v>0</v>
      </c>
      <c r="H100" s="50">
        <v>0.30302746741154268</v>
      </c>
      <c r="I100" s="50">
        <v>-9.8536312849162293</v>
      </c>
      <c r="J100" s="50">
        <v>0</v>
      </c>
      <c r="K100" s="50">
        <v>-0.26818249534450622</v>
      </c>
    </row>
    <row r="101" spans="1:11" ht="12.75" x14ac:dyDescent="0.2">
      <c r="A101" s="51">
        <v>6</v>
      </c>
      <c r="B101" s="51">
        <v>2</v>
      </c>
      <c r="C101" s="51">
        <v>26.063718808193677</v>
      </c>
      <c r="D101" s="51">
        <v>0</v>
      </c>
      <c r="E101" s="51">
        <v>2.38</v>
      </c>
      <c r="F101" s="51">
        <v>2</v>
      </c>
      <c r="G101" s="51">
        <v>7.3030726256983203E-3</v>
      </c>
      <c r="H101" s="51">
        <v>0.23254376163873344</v>
      </c>
      <c r="I101" s="51">
        <v>-0.1541433891992551</v>
      </c>
      <c r="J101" s="51">
        <v>0</v>
      </c>
      <c r="K101" s="51">
        <v>0.32367085661080058</v>
      </c>
    </row>
    <row r="102" spans="1:11" ht="12.75" x14ac:dyDescent="0.2">
      <c r="A102" s="52">
        <v>6</v>
      </c>
      <c r="B102" s="52">
        <v>3</v>
      </c>
      <c r="C102" s="52">
        <v>14.870859374999997</v>
      </c>
      <c r="D102" s="52">
        <v>2</v>
      </c>
      <c r="E102" s="52">
        <v>8.18</v>
      </c>
      <c r="F102" s="52">
        <v>4</v>
      </c>
      <c r="G102" s="52">
        <v>2.5359375E-2</v>
      </c>
      <c r="H102" s="52">
        <v>0.21864062500000003</v>
      </c>
      <c r="I102" s="52">
        <v>-8.1906250000000007</v>
      </c>
      <c r="J102" s="52">
        <v>10.959031250000001</v>
      </c>
      <c r="K102" s="52">
        <v>-0.18107812499999998</v>
      </c>
    </row>
    <row r="103" spans="1:11" ht="12.75" x14ac:dyDescent="0.2">
      <c r="A103" s="50">
        <v>6</v>
      </c>
      <c r="B103" s="50">
        <v>3</v>
      </c>
      <c r="C103" s="50">
        <v>17.576281250000005</v>
      </c>
      <c r="D103" s="50">
        <v>1</v>
      </c>
      <c r="E103" s="50">
        <v>14.06</v>
      </c>
      <c r="F103" s="50">
        <v>3</v>
      </c>
      <c r="G103" s="50">
        <v>3.2250000000000001E-2</v>
      </c>
      <c r="H103" s="50">
        <v>0.22485937500000006</v>
      </c>
      <c r="I103" s="50">
        <v>-4.6484374999999991</v>
      </c>
      <c r="J103" s="50">
        <v>14.558828125000003</v>
      </c>
      <c r="K103" s="50">
        <v>-0.16029687500000001</v>
      </c>
    </row>
    <row r="104" spans="1:11" ht="12.75" x14ac:dyDescent="0.2">
      <c r="A104" s="49">
        <v>6</v>
      </c>
      <c r="B104" s="49">
        <v>3</v>
      </c>
      <c r="C104" s="49">
        <v>14.879859374999999</v>
      </c>
      <c r="D104" s="49">
        <v>0</v>
      </c>
      <c r="E104" s="49">
        <v>8.65</v>
      </c>
      <c r="F104" s="49">
        <v>3</v>
      </c>
      <c r="G104" s="49">
        <v>4.8953125E-2</v>
      </c>
      <c r="H104" s="49">
        <v>0.180140625</v>
      </c>
      <c r="I104" s="49">
        <v>-10.221874999999995</v>
      </c>
      <c r="J104" s="49">
        <v>47.627171874999995</v>
      </c>
      <c r="K104" s="49">
        <v>-6.8499999999999991E-2</v>
      </c>
    </row>
    <row r="105" spans="1:11" ht="12.75" x14ac:dyDescent="0.2">
      <c r="A105" s="50">
        <v>6</v>
      </c>
      <c r="B105" s="50">
        <v>3</v>
      </c>
      <c r="C105" s="50">
        <v>14.544437499999997</v>
      </c>
      <c r="D105" s="50">
        <v>0</v>
      </c>
      <c r="E105" s="50">
        <v>2.64</v>
      </c>
      <c r="F105" s="50">
        <v>2</v>
      </c>
      <c r="G105" s="50">
        <v>3.2750000000000001E-2</v>
      </c>
      <c r="H105" s="50">
        <v>0.18373437500000006</v>
      </c>
      <c r="I105" s="50">
        <v>-16.826562500000001</v>
      </c>
      <c r="J105" s="50">
        <v>0.73629687499999996</v>
      </c>
      <c r="K105" s="50">
        <v>-7.0046874999999995E-2</v>
      </c>
    </row>
    <row r="106" spans="1:11" ht="12.75" x14ac:dyDescent="0.2">
      <c r="A106" s="51">
        <v>6</v>
      </c>
      <c r="B106" s="51">
        <v>3</v>
      </c>
      <c r="C106" s="51">
        <v>17.184968749999999</v>
      </c>
      <c r="D106" s="51">
        <v>1</v>
      </c>
      <c r="E106" s="51">
        <v>3.97</v>
      </c>
      <c r="F106" s="51">
        <v>2</v>
      </c>
      <c r="G106" s="51">
        <v>2.775E-2</v>
      </c>
      <c r="H106" s="51">
        <v>0.13510937499999998</v>
      </c>
      <c r="I106" s="51">
        <v>-6.4390624999999995</v>
      </c>
      <c r="J106" s="51">
        <v>0</v>
      </c>
      <c r="K106" s="51">
        <v>-0.11723437500000006</v>
      </c>
    </row>
    <row r="107" spans="1:11" ht="12.75" x14ac:dyDescent="0.2">
      <c r="A107" s="48">
        <v>7</v>
      </c>
      <c r="B107" s="48">
        <v>1</v>
      </c>
      <c r="C107" s="48">
        <v>16.781842105263163</v>
      </c>
      <c r="D107" s="48">
        <v>0</v>
      </c>
      <c r="E107" s="48">
        <v>4.5999999999999996</v>
      </c>
      <c r="F107" s="48">
        <v>4</v>
      </c>
      <c r="G107" s="48">
        <v>7.5526315789473681E-3</v>
      </c>
      <c r="H107" s="48">
        <v>0.17921052631578943</v>
      </c>
      <c r="I107" s="48">
        <v>0.25789473684210512</v>
      </c>
      <c r="J107" s="48">
        <v>48.436368421052634</v>
      </c>
      <c r="K107" s="48">
        <v>0.30913157894736842</v>
      </c>
    </row>
    <row r="108" spans="1:11" ht="12.75" x14ac:dyDescent="0.2">
      <c r="A108" s="49">
        <v>7</v>
      </c>
      <c r="B108" s="49">
        <v>1</v>
      </c>
      <c r="C108" s="49">
        <v>11.579421052631579</v>
      </c>
      <c r="D108" s="49">
        <v>1</v>
      </c>
      <c r="E108" s="49">
        <v>7.91</v>
      </c>
      <c r="F108" s="49">
        <v>3</v>
      </c>
      <c r="G108" s="49">
        <v>1.8763157894736843E-2</v>
      </c>
      <c r="H108" s="49">
        <v>0.10997368421052629</v>
      </c>
      <c r="I108" s="49">
        <v>-17.286842105263158</v>
      </c>
      <c r="J108" s="49">
        <v>41.565605263157899</v>
      </c>
      <c r="K108" s="49">
        <v>-0.14244736842105263</v>
      </c>
    </row>
    <row r="109" spans="1:11" ht="12.75" x14ac:dyDescent="0.2">
      <c r="A109" s="50">
        <v>7</v>
      </c>
      <c r="B109" s="50">
        <v>1</v>
      </c>
      <c r="C109" s="50">
        <v>17.060578947368416</v>
      </c>
      <c r="D109" s="50">
        <v>1</v>
      </c>
      <c r="E109" s="50">
        <v>29.1</v>
      </c>
      <c r="F109" s="50">
        <v>3</v>
      </c>
      <c r="G109" s="50">
        <v>0</v>
      </c>
      <c r="H109" s="50">
        <v>0.13034210526315784</v>
      </c>
      <c r="I109" s="50">
        <v>-3.7552631578947366</v>
      </c>
      <c r="J109" s="50">
        <v>17.376973684210526</v>
      </c>
      <c r="K109" s="50">
        <v>-0.17352631578947364</v>
      </c>
    </row>
    <row r="110" spans="1:11" ht="12.75" x14ac:dyDescent="0.2">
      <c r="A110" s="49">
        <v>7</v>
      </c>
      <c r="B110" s="49">
        <v>1</v>
      </c>
      <c r="C110" s="49">
        <v>13.71207894736842</v>
      </c>
      <c r="D110" s="49">
        <v>0</v>
      </c>
      <c r="E110" s="49">
        <v>1.93</v>
      </c>
      <c r="F110" s="49">
        <v>2</v>
      </c>
      <c r="G110" s="49">
        <v>1.4368421052631581E-2</v>
      </c>
      <c r="H110" s="49">
        <v>0.10986842105263157</v>
      </c>
      <c r="I110" s="49">
        <v>-4.9342105263157894</v>
      </c>
      <c r="J110" s="49">
        <v>21.04747368421053</v>
      </c>
      <c r="K110" s="49">
        <v>-0.50460526315789445</v>
      </c>
    </row>
    <row r="111" spans="1:11" ht="12.75" x14ac:dyDescent="0.2">
      <c r="A111" s="53">
        <v>7</v>
      </c>
      <c r="B111" s="53">
        <v>1</v>
      </c>
      <c r="C111" s="53">
        <v>9.577</v>
      </c>
      <c r="D111" s="53">
        <v>0</v>
      </c>
      <c r="E111" s="53">
        <v>2.74</v>
      </c>
      <c r="F111" s="53">
        <v>2</v>
      </c>
      <c r="G111" s="53">
        <v>0</v>
      </c>
      <c r="H111" s="53">
        <v>4.7815789473684207E-2</v>
      </c>
      <c r="I111" s="53">
        <v>0.13947368421052631</v>
      </c>
      <c r="J111" s="53">
        <v>25.685684210526318</v>
      </c>
      <c r="K111" s="53">
        <v>-0.6271052631578945</v>
      </c>
    </row>
    <row r="112" spans="1:11" ht="12.75" x14ac:dyDescent="0.2">
      <c r="A112" s="52">
        <v>7</v>
      </c>
      <c r="B112" s="52">
        <v>2</v>
      </c>
      <c r="C112" s="52">
        <v>14.698911751662976</v>
      </c>
      <c r="D112" s="52">
        <v>0</v>
      </c>
      <c r="E112" s="52">
        <v>8.58</v>
      </c>
      <c r="F112" s="52">
        <v>4</v>
      </c>
      <c r="G112" s="52">
        <v>0</v>
      </c>
      <c r="H112" s="52">
        <v>0.14764079822616452</v>
      </c>
      <c r="I112" s="52">
        <v>-0.5025277161862518</v>
      </c>
      <c r="J112" s="52">
        <v>0</v>
      </c>
      <c r="K112" s="52">
        <v>0.20679689578713975</v>
      </c>
    </row>
    <row r="113" spans="1:11" ht="12.75" x14ac:dyDescent="0.2">
      <c r="A113" s="50">
        <v>7</v>
      </c>
      <c r="B113" s="50">
        <v>2</v>
      </c>
      <c r="C113" s="50">
        <v>16.373646563192924</v>
      </c>
      <c r="D113" s="50">
        <v>0</v>
      </c>
      <c r="E113" s="50">
        <v>6.07</v>
      </c>
      <c r="F113" s="50">
        <v>3</v>
      </c>
      <c r="G113" s="50">
        <v>0</v>
      </c>
      <c r="H113" s="50">
        <v>0.13508691796008682</v>
      </c>
      <c r="I113" s="50">
        <v>3.3791574279379642E-2</v>
      </c>
      <c r="J113" s="50">
        <v>34.046634146341439</v>
      </c>
      <c r="K113" s="50">
        <v>-0.10442527716186262</v>
      </c>
    </row>
    <row r="114" spans="1:11" ht="12.75" x14ac:dyDescent="0.2">
      <c r="A114" s="49">
        <v>7</v>
      </c>
      <c r="B114" s="49">
        <v>2</v>
      </c>
      <c r="C114" s="49">
        <v>18.227105986696266</v>
      </c>
      <c r="D114" s="49">
        <v>0</v>
      </c>
      <c r="E114" s="49">
        <v>3.8</v>
      </c>
      <c r="F114" s="49">
        <v>3</v>
      </c>
      <c r="G114" s="49">
        <v>0</v>
      </c>
      <c r="H114" s="49">
        <v>0.14324301552106511</v>
      </c>
      <c r="I114" s="49">
        <v>-8.6274501108647268</v>
      </c>
      <c r="J114" s="49">
        <v>63.109701995565423</v>
      </c>
      <c r="K114" s="49">
        <v>-0.37025099778270454</v>
      </c>
    </row>
    <row r="115" spans="1:11" ht="12.75" x14ac:dyDescent="0.2">
      <c r="A115" s="50">
        <v>7</v>
      </c>
      <c r="B115" s="50">
        <v>2</v>
      </c>
      <c r="C115" s="50">
        <v>18.512136585365798</v>
      </c>
      <c r="D115" s="50">
        <v>0</v>
      </c>
      <c r="E115" s="50">
        <v>1.4</v>
      </c>
      <c r="F115" s="50">
        <v>2</v>
      </c>
      <c r="G115" s="50">
        <v>0</v>
      </c>
      <c r="H115" s="50">
        <v>0.14412549889135104</v>
      </c>
      <c r="I115" s="50">
        <v>-7.2727272727272974E-2</v>
      </c>
      <c r="J115" s="50">
        <v>39.223954767184033</v>
      </c>
      <c r="K115" s="50">
        <v>-0.21132949002217305</v>
      </c>
    </row>
    <row r="116" spans="1:11" ht="12.75" x14ac:dyDescent="0.2">
      <c r="A116" s="51">
        <v>7</v>
      </c>
      <c r="B116" s="51">
        <v>2</v>
      </c>
      <c r="C116" s="51">
        <v>18.434257649667355</v>
      </c>
      <c r="D116" s="51">
        <v>0</v>
      </c>
      <c r="E116" s="51">
        <v>2.5499999999999998</v>
      </c>
      <c r="F116" s="51">
        <v>2</v>
      </c>
      <c r="G116" s="51">
        <v>0</v>
      </c>
      <c r="H116" s="51">
        <v>0.14005853658536593</v>
      </c>
      <c r="I116" s="51">
        <v>-6.8446119733924871</v>
      </c>
      <c r="J116" s="51">
        <v>104.90115920177392</v>
      </c>
      <c r="K116" s="51">
        <v>-0.5464390243902445</v>
      </c>
    </row>
    <row r="117" spans="1:11" ht="12.75" x14ac:dyDescent="0.2">
      <c r="A117" s="48">
        <v>7</v>
      </c>
      <c r="B117" s="48">
        <v>3</v>
      </c>
      <c r="C117" s="48">
        <v>14.884921052631578</v>
      </c>
      <c r="D117" s="48">
        <v>2</v>
      </c>
      <c r="E117" s="48">
        <v>13.11</v>
      </c>
      <c r="F117" s="48">
        <v>4</v>
      </c>
      <c r="G117" s="48">
        <v>0</v>
      </c>
      <c r="H117" s="48">
        <v>0.15273684210526317</v>
      </c>
      <c r="I117" s="48">
        <v>6.8421052631578938E-2</v>
      </c>
      <c r="J117" s="48">
        <v>0</v>
      </c>
      <c r="K117" s="48">
        <v>-0.42397368421052634</v>
      </c>
    </row>
    <row r="118" spans="1:11" ht="12.75" x14ac:dyDescent="0.2">
      <c r="A118" s="49">
        <v>7</v>
      </c>
      <c r="B118" s="49">
        <v>3</v>
      </c>
      <c r="C118" s="49">
        <v>8.8142368421052648</v>
      </c>
      <c r="D118" s="49">
        <v>0</v>
      </c>
      <c r="E118" s="49">
        <v>5.15</v>
      </c>
      <c r="F118" s="49">
        <v>3</v>
      </c>
      <c r="G118" s="49">
        <v>2.6236842105263159E-2</v>
      </c>
      <c r="H118" s="49">
        <v>8.6868421052631567E-2</v>
      </c>
      <c r="I118" s="49">
        <v>-16.194736842105261</v>
      </c>
      <c r="J118" s="49">
        <v>48.391263157894741</v>
      </c>
      <c r="K118" s="49">
        <v>-0.3411578947368421</v>
      </c>
    </row>
    <row r="119" spans="1:11" ht="12.75" x14ac:dyDescent="0.2">
      <c r="A119" s="50">
        <v>7</v>
      </c>
      <c r="B119" s="50">
        <v>3</v>
      </c>
      <c r="C119" s="50">
        <v>14.910578947368423</v>
      </c>
      <c r="D119" s="50">
        <v>0</v>
      </c>
      <c r="E119" s="50">
        <v>4.18</v>
      </c>
      <c r="F119" s="50">
        <v>3</v>
      </c>
      <c r="G119" s="50">
        <v>2.9868421052631579E-2</v>
      </c>
      <c r="H119" s="50">
        <v>0.16981578947368428</v>
      </c>
      <c r="I119" s="50">
        <v>-3.9973684210526317</v>
      </c>
      <c r="J119" s="50">
        <v>75.922684210526327</v>
      </c>
      <c r="K119" s="50">
        <v>-0.31115789473684219</v>
      </c>
    </row>
    <row r="120" spans="1:11" ht="12.75" x14ac:dyDescent="0.2">
      <c r="A120" s="49">
        <v>7</v>
      </c>
      <c r="B120" s="49">
        <v>3</v>
      </c>
      <c r="C120" s="49">
        <v>14.968394736842107</v>
      </c>
      <c r="D120" s="49">
        <v>1</v>
      </c>
      <c r="E120" s="49">
        <v>6.33</v>
      </c>
      <c r="F120" s="49">
        <v>2</v>
      </c>
      <c r="G120" s="49">
        <v>2.2105263157894735E-2</v>
      </c>
      <c r="H120" s="49">
        <v>0.14173684210526316</v>
      </c>
      <c r="I120" s="49">
        <v>-5.7789473684210506</v>
      </c>
      <c r="J120" s="49">
        <v>52.047184210526325</v>
      </c>
      <c r="K120" s="49">
        <v>-0.65752631578947374</v>
      </c>
    </row>
    <row r="121" spans="1:11" ht="12.75" x14ac:dyDescent="0.2">
      <c r="A121" s="53">
        <v>7</v>
      </c>
      <c r="B121" s="53">
        <v>3</v>
      </c>
      <c r="C121" s="53">
        <v>9.922842105263161</v>
      </c>
      <c r="D121" s="53">
        <v>0</v>
      </c>
      <c r="E121" s="53">
        <v>2.5</v>
      </c>
      <c r="F121" s="53">
        <v>2</v>
      </c>
      <c r="G121" s="53">
        <v>2.3368421052631583E-2</v>
      </c>
      <c r="H121" s="53">
        <v>7.0368421052631566E-2</v>
      </c>
      <c r="I121" s="53">
        <v>-14.892105263157895</v>
      </c>
      <c r="J121" s="53">
        <v>53.800710526315804</v>
      </c>
      <c r="K121" s="53">
        <v>-0.46136842105263176</v>
      </c>
    </row>
    <row r="122" spans="1:11" ht="12.75" x14ac:dyDescent="0.2">
      <c r="A122" s="52">
        <v>8</v>
      </c>
      <c r="B122" s="52">
        <v>1</v>
      </c>
      <c r="C122" s="52">
        <v>14.505961538461538</v>
      </c>
      <c r="D122" s="52">
        <v>0</v>
      </c>
      <c r="E122" s="52">
        <v>5.75</v>
      </c>
      <c r="F122" s="52">
        <v>4</v>
      </c>
      <c r="G122" s="52">
        <v>0</v>
      </c>
      <c r="H122" s="52">
        <v>0.14451923076923079</v>
      </c>
      <c r="I122" s="52">
        <v>0.20576923076923079</v>
      </c>
      <c r="J122" s="52">
        <v>84.348365384615363</v>
      </c>
      <c r="K122" s="52">
        <v>0.25021153846153843</v>
      </c>
    </row>
    <row r="123" spans="1:11" ht="12.75" x14ac:dyDescent="0.2">
      <c r="A123" s="50">
        <v>8</v>
      </c>
      <c r="B123" s="50">
        <v>1</v>
      </c>
      <c r="C123" s="50">
        <v>12.31382692307692</v>
      </c>
      <c r="D123" s="50">
        <v>1</v>
      </c>
      <c r="E123" s="50">
        <v>18.95</v>
      </c>
      <c r="F123" s="50">
        <v>3</v>
      </c>
      <c r="G123" s="50">
        <v>2.5730769230769227E-2</v>
      </c>
      <c r="H123" s="50">
        <v>0.10155769230769232</v>
      </c>
      <c r="I123" s="50">
        <v>-15.898076923076921</v>
      </c>
      <c r="J123" s="50">
        <v>27.123288461538461</v>
      </c>
      <c r="K123" s="50">
        <v>0.11448076923076927</v>
      </c>
    </row>
    <row r="124" spans="1:11" ht="12.75" x14ac:dyDescent="0.2">
      <c r="A124" s="49">
        <v>8</v>
      </c>
      <c r="B124" s="49">
        <v>1</v>
      </c>
      <c r="C124" s="49">
        <v>15.25675</v>
      </c>
      <c r="D124" s="49">
        <v>0</v>
      </c>
      <c r="E124" s="49">
        <v>3.04</v>
      </c>
      <c r="F124" s="49">
        <v>3</v>
      </c>
      <c r="G124" s="49">
        <v>5.3653846153846156E-3</v>
      </c>
      <c r="H124" s="49">
        <v>0.1041538461538461</v>
      </c>
      <c r="I124" s="49">
        <v>-6.6134615384615376</v>
      </c>
      <c r="J124" s="49">
        <v>11.017711538461539</v>
      </c>
      <c r="K124" s="49">
        <v>-0.54619230769230775</v>
      </c>
    </row>
    <row r="125" spans="1:11" ht="12.75" x14ac:dyDescent="0.2">
      <c r="A125" s="50">
        <v>8</v>
      </c>
      <c r="B125" s="50">
        <v>1</v>
      </c>
      <c r="C125" s="50">
        <v>8.8248846153846152</v>
      </c>
      <c r="D125" s="50">
        <v>0</v>
      </c>
      <c r="E125" s="50">
        <v>2.4300000000000002</v>
      </c>
      <c r="F125" s="50">
        <v>2</v>
      </c>
      <c r="G125" s="50">
        <v>4.5499999999999999E-2</v>
      </c>
      <c r="H125" s="50">
        <v>6.9499999999999992E-2</v>
      </c>
      <c r="I125" s="50">
        <v>-0.20961538461538465</v>
      </c>
      <c r="J125" s="50">
        <v>21.517884615384624</v>
      </c>
      <c r="K125" s="50">
        <v>-0.37636538461538477</v>
      </c>
    </row>
    <row r="126" spans="1:11" ht="12.75" x14ac:dyDescent="0.2">
      <c r="A126" s="51">
        <v>8</v>
      </c>
      <c r="B126" s="51">
        <v>1</v>
      </c>
      <c r="C126" s="51">
        <v>3.4714230769230778</v>
      </c>
      <c r="D126" s="51">
        <v>0</v>
      </c>
      <c r="E126" s="51">
        <v>3.11</v>
      </c>
      <c r="F126" s="51">
        <v>2</v>
      </c>
      <c r="G126" s="51">
        <v>4.6884615384615386E-2</v>
      </c>
      <c r="H126" s="51">
        <v>3.1903846153846158E-2</v>
      </c>
      <c r="I126" s="51">
        <v>-17.707692307692302</v>
      </c>
      <c r="J126" s="51">
        <v>45.645461538461532</v>
      </c>
      <c r="K126" s="51">
        <v>0.18923076923076929</v>
      </c>
    </row>
    <row r="127" spans="1:11" ht="12.75" x14ac:dyDescent="0.2">
      <c r="A127" s="48">
        <v>8</v>
      </c>
      <c r="B127" s="48">
        <v>2</v>
      </c>
      <c r="C127" s="48">
        <v>13.319034146341453</v>
      </c>
      <c r="D127" s="48">
        <v>2</v>
      </c>
      <c r="E127" s="48">
        <v>16.96</v>
      </c>
      <c r="F127" s="48">
        <v>4</v>
      </c>
      <c r="G127" s="48">
        <v>0</v>
      </c>
      <c r="H127" s="48">
        <v>0.14295414634146242</v>
      </c>
      <c r="I127" s="48">
        <v>-0.14102439024390434</v>
      </c>
      <c r="J127" s="48">
        <v>25.285427804878051</v>
      </c>
      <c r="K127" s="48">
        <v>0.59911414634146309</v>
      </c>
    </row>
    <row r="128" spans="1:11" ht="12.75" x14ac:dyDescent="0.2">
      <c r="A128" s="49">
        <v>8</v>
      </c>
      <c r="B128" s="49">
        <v>2</v>
      </c>
      <c r="C128" s="49">
        <v>15.471383902439008</v>
      </c>
      <c r="D128" s="49">
        <v>0</v>
      </c>
      <c r="E128" s="49">
        <v>4.18</v>
      </c>
      <c r="F128" s="49">
        <v>3</v>
      </c>
      <c r="G128" s="49">
        <v>0</v>
      </c>
      <c r="H128" s="49">
        <v>0.11217121951219569</v>
      </c>
      <c r="I128" s="49">
        <v>-3.2390243902438928E-2</v>
      </c>
      <c r="J128" s="49">
        <v>0</v>
      </c>
      <c r="K128" s="49">
        <v>0.17283121951219521</v>
      </c>
    </row>
    <row r="129" spans="1:11" ht="12.75" x14ac:dyDescent="0.2">
      <c r="A129" s="50">
        <v>8</v>
      </c>
      <c r="B129" s="50">
        <v>2</v>
      </c>
      <c r="C129" s="50">
        <v>17.859313658536571</v>
      </c>
      <c r="D129" s="50">
        <v>0</v>
      </c>
      <c r="E129" s="50">
        <v>4.54</v>
      </c>
      <c r="F129" s="50">
        <v>3</v>
      </c>
      <c r="G129" s="50">
        <v>0</v>
      </c>
      <c r="H129" s="50">
        <v>0.14277853658536585</v>
      </c>
      <c r="I129" s="50">
        <v>-8.3053658536585431</v>
      </c>
      <c r="J129" s="50">
        <v>0</v>
      </c>
      <c r="K129" s="50">
        <v>-2.8658536585363073E-3</v>
      </c>
    </row>
    <row r="130" spans="1:11" ht="12.75" x14ac:dyDescent="0.2">
      <c r="A130" s="49">
        <v>8</v>
      </c>
      <c r="B130" s="49">
        <v>2</v>
      </c>
      <c r="C130" s="49">
        <v>19.46470097560978</v>
      </c>
      <c r="D130" s="49">
        <v>0</v>
      </c>
      <c r="E130" s="49">
        <v>2.41</v>
      </c>
      <c r="F130" s="49">
        <v>2</v>
      </c>
      <c r="G130" s="49">
        <v>0</v>
      </c>
      <c r="H130" s="49">
        <v>0.17612390243902551</v>
      </c>
      <c r="I130" s="49">
        <v>-1.0513170731707462</v>
      </c>
      <c r="J130" s="49">
        <v>101.36343853658548</v>
      </c>
      <c r="K130" s="49">
        <v>0.37307707317073174</v>
      </c>
    </row>
    <row r="131" spans="1:11" ht="12.75" x14ac:dyDescent="0.2">
      <c r="A131" s="53">
        <v>8</v>
      </c>
      <c r="B131" s="53">
        <v>2</v>
      </c>
      <c r="C131" s="53">
        <v>21.037148780487787</v>
      </c>
      <c r="D131" s="53">
        <v>0</v>
      </c>
      <c r="E131" s="53">
        <v>2.4700000000000002</v>
      </c>
      <c r="F131" s="53">
        <v>2</v>
      </c>
      <c r="G131" s="53">
        <v>0</v>
      </c>
      <c r="H131" s="53">
        <v>0.12960487804877976</v>
      </c>
      <c r="I131" s="53">
        <v>-0.39531707317073145</v>
      </c>
      <c r="J131" s="53">
        <v>151.47205121951211</v>
      </c>
      <c r="K131" s="53">
        <v>-5.8935121951219513E-2</v>
      </c>
    </row>
    <row r="132" spans="1:11" ht="12.75" x14ac:dyDescent="0.2">
      <c r="A132" s="52">
        <v>8</v>
      </c>
      <c r="B132" s="52">
        <v>3</v>
      </c>
      <c r="C132" s="52">
        <v>14.615052631578946</v>
      </c>
      <c r="D132" s="52">
        <v>0</v>
      </c>
      <c r="E132" s="52">
        <v>6.9</v>
      </c>
      <c r="F132" s="52">
        <v>4</v>
      </c>
      <c r="G132" s="52">
        <v>0</v>
      </c>
      <c r="H132" s="52">
        <v>0.17005263157894734</v>
      </c>
      <c r="I132" s="52">
        <v>0.24736842105263163</v>
      </c>
      <c r="J132" s="52">
        <v>0</v>
      </c>
      <c r="K132" s="52">
        <v>-0.33555263157894738</v>
      </c>
    </row>
    <row r="133" spans="1:11" ht="12.75" x14ac:dyDescent="0.2">
      <c r="A133" s="50">
        <v>8</v>
      </c>
      <c r="B133" s="50">
        <v>3</v>
      </c>
      <c r="C133" s="50">
        <v>8.8376842105263176</v>
      </c>
      <c r="D133" s="50">
        <v>0</v>
      </c>
      <c r="E133" s="50">
        <v>4.6399999999999997</v>
      </c>
      <c r="F133" s="50">
        <v>3</v>
      </c>
      <c r="G133" s="50">
        <v>3.9736842105263154E-2</v>
      </c>
      <c r="H133" s="50">
        <v>0.10242105263157894</v>
      </c>
      <c r="I133" s="50">
        <v>-17.352631578947367</v>
      </c>
      <c r="J133" s="50">
        <v>57.24994736842104</v>
      </c>
      <c r="K133" s="50">
        <v>-7.4973684210526317E-2</v>
      </c>
    </row>
    <row r="134" spans="1:11" ht="12.75" x14ac:dyDescent="0.2">
      <c r="A134" s="49">
        <v>8</v>
      </c>
      <c r="B134" s="49">
        <v>3</v>
      </c>
      <c r="C134" s="49">
        <v>11.620368421052634</v>
      </c>
      <c r="D134" s="49">
        <v>0</v>
      </c>
      <c r="E134" s="49">
        <v>3.11</v>
      </c>
      <c r="F134" s="49">
        <v>3</v>
      </c>
      <c r="G134" s="49">
        <v>1.4447368421052632E-2</v>
      </c>
      <c r="H134" s="49">
        <v>0.10549999999999998</v>
      </c>
      <c r="I134" s="49">
        <v>-0.29473684210526313</v>
      </c>
      <c r="J134" s="49">
        <v>72.628499999999988</v>
      </c>
      <c r="K134" s="49">
        <v>8.2894736842105313E-2</v>
      </c>
    </row>
    <row r="135" spans="1:11" ht="12.75" x14ac:dyDescent="0.2">
      <c r="A135" s="50">
        <v>8</v>
      </c>
      <c r="B135" s="50">
        <v>3</v>
      </c>
      <c r="C135" s="50">
        <v>13.855210526315791</v>
      </c>
      <c r="D135" s="50">
        <v>0</v>
      </c>
      <c r="E135" s="50">
        <v>1.81</v>
      </c>
      <c r="F135" s="50">
        <v>2</v>
      </c>
      <c r="G135" s="50">
        <v>4.4631578947368418E-2</v>
      </c>
      <c r="H135" s="50">
        <v>0.16576315789473686</v>
      </c>
      <c r="I135" s="50">
        <v>-9.2947368421052623</v>
      </c>
      <c r="J135" s="50">
        <v>58.606894736842101</v>
      </c>
      <c r="K135" s="50">
        <v>-0.42655263157894735</v>
      </c>
    </row>
    <row r="136" spans="1:11" ht="12.75" x14ac:dyDescent="0.2">
      <c r="A136" s="51">
        <v>8</v>
      </c>
      <c r="B136" s="51">
        <v>3</v>
      </c>
      <c r="C136" s="51">
        <v>10.177289473684212</v>
      </c>
      <c r="D136" s="51">
        <v>0</v>
      </c>
      <c r="E136" s="51">
        <v>2.46</v>
      </c>
      <c r="F136" s="51">
        <v>2</v>
      </c>
      <c r="G136" s="51">
        <v>1.2894736842105263E-2</v>
      </c>
      <c r="H136" s="51">
        <v>4.7684210526315787E-2</v>
      </c>
      <c r="I136" s="51">
        <v>-0.58947368421052648</v>
      </c>
      <c r="J136" s="51">
        <v>58.980131578947386</v>
      </c>
      <c r="K136" s="51">
        <v>-0.45036842105263181</v>
      </c>
    </row>
    <row r="137" spans="1:11" ht="12.75" x14ac:dyDescent="0.2">
      <c r="A137" s="48">
        <v>9</v>
      </c>
      <c r="B137" s="48">
        <v>1</v>
      </c>
      <c r="C137" s="48">
        <v>15.696066666666667</v>
      </c>
      <c r="D137" s="48">
        <v>0</v>
      </c>
      <c r="E137" s="48">
        <v>25.24</v>
      </c>
      <c r="F137" s="48">
        <v>4</v>
      </c>
      <c r="G137" s="48">
        <v>1.755E-2</v>
      </c>
      <c r="H137" s="48">
        <v>0.15078333333333335</v>
      </c>
      <c r="I137" s="48">
        <v>0.54166666666666685</v>
      </c>
      <c r="J137" s="48">
        <v>67.103783333333311</v>
      </c>
      <c r="K137" s="48">
        <v>0.39898333333333319</v>
      </c>
    </row>
    <row r="138" spans="1:11" ht="12.75" x14ac:dyDescent="0.2">
      <c r="A138" s="49">
        <v>9</v>
      </c>
      <c r="B138" s="49">
        <v>1</v>
      </c>
      <c r="C138" s="49">
        <v>16.722316666666668</v>
      </c>
      <c r="D138" s="49">
        <v>0</v>
      </c>
      <c r="E138" s="49">
        <v>6.45</v>
      </c>
      <c r="F138" s="49">
        <v>3</v>
      </c>
      <c r="G138" s="49">
        <v>4.8333333333333327E-3</v>
      </c>
      <c r="H138" s="49">
        <v>0.1955166666666667</v>
      </c>
      <c r="I138" s="49">
        <v>-17.408333333333335</v>
      </c>
      <c r="J138" s="49">
        <v>89.997633333333354</v>
      </c>
      <c r="K138" s="49">
        <v>0.17379999999999995</v>
      </c>
    </row>
    <row r="139" spans="1:11" ht="12.75" x14ac:dyDescent="0.2">
      <c r="A139" s="49">
        <v>9</v>
      </c>
      <c r="B139" s="49">
        <v>1</v>
      </c>
      <c r="C139" s="49">
        <v>15.804366666666668</v>
      </c>
      <c r="D139" s="49">
        <v>0</v>
      </c>
      <c r="E139" s="49">
        <v>12.21</v>
      </c>
      <c r="F139" s="49">
        <v>2</v>
      </c>
      <c r="G139" s="49">
        <v>7.4333333333333343E-3</v>
      </c>
      <c r="H139" s="49">
        <v>0.14145000000000002</v>
      </c>
      <c r="I139" s="49">
        <v>-8.3933333333333326</v>
      </c>
      <c r="J139" s="49">
        <v>53.261533333333333</v>
      </c>
      <c r="K139" s="49">
        <v>0.20244999999999999</v>
      </c>
    </row>
    <row r="140" spans="1:11" ht="12.75" x14ac:dyDescent="0.2">
      <c r="A140" s="53">
        <v>9</v>
      </c>
      <c r="B140" s="53">
        <v>1</v>
      </c>
      <c r="C140" s="53">
        <v>16.662966666666662</v>
      </c>
      <c r="D140" s="53">
        <v>0</v>
      </c>
      <c r="E140" s="53">
        <v>3.24</v>
      </c>
      <c r="F140" s="53">
        <v>2</v>
      </c>
      <c r="G140" s="53">
        <v>2.3033333333333329E-2</v>
      </c>
      <c r="H140" s="53">
        <v>0.17655000000000004</v>
      </c>
      <c r="I140" s="53">
        <v>-12.841666666666667</v>
      </c>
      <c r="J140" s="53">
        <v>2.0240499999999999</v>
      </c>
      <c r="K140" s="53">
        <v>0.26708333333333328</v>
      </c>
    </row>
    <row r="141" spans="1:11" ht="12.75" x14ac:dyDescent="0.2">
      <c r="A141" s="52">
        <v>9</v>
      </c>
      <c r="B141" s="52">
        <v>2</v>
      </c>
      <c r="C141" s="52">
        <v>10.127311529026972</v>
      </c>
      <c r="D141" s="52">
        <v>1</v>
      </c>
      <c r="E141" s="52">
        <v>10.28</v>
      </c>
      <c r="F141" s="52">
        <v>4</v>
      </c>
      <c r="G141" s="52">
        <v>0</v>
      </c>
      <c r="H141" s="52">
        <v>0.11878291087489845</v>
      </c>
      <c r="I141" s="52">
        <v>-6.1488143908422312E-2</v>
      </c>
      <c r="J141" s="52">
        <v>13.419363041700738</v>
      </c>
      <c r="K141" s="52">
        <v>0.8023331970564177</v>
      </c>
    </row>
    <row r="142" spans="1:11" ht="12.75" x14ac:dyDescent="0.2">
      <c r="A142" s="50">
        <v>9</v>
      </c>
      <c r="B142" s="50">
        <v>2</v>
      </c>
      <c r="C142" s="50">
        <v>18.672477923139834</v>
      </c>
      <c r="D142" s="50">
        <v>0</v>
      </c>
      <c r="E142" s="50">
        <v>6.09</v>
      </c>
      <c r="F142" s="50">
        <v>3</v>
      </c>
      <c r="G142" s="50">
        <v>0</v>
      </c>
      <c r="H142" s="50">
        <v>0.1538340147179042</v>
      </c>
      <c r="I142" s="50">
        <v>6.475878986099734E-2</v>
      </c>
      <c r="J142" s="50">
        <v>12.050046197874078</v>
      </c>
      <c r="K142" s="50">
        <v>0.56083524121013872</v>
      </c>
    </row>
    <row r="143" spans="1:11" ht="12.75" x14ac:dyDescent="0.2">
      <c r="A143" s="49">
        <v>9</v>
      </c>
      <c r="B143" s="49">
        <v>2</v>
      </c>
      <c r="C143" s="49">
        <v>20.456005314799643</v>
      </c>
      <c r="D143" s="49">
        <v>0</v>
      </c>
      <c r="E143" s="49">
        <v>4.4000000000000004</v>
      </c>
      <c r="F143" s="49">
        <v>3</v>
      </c>
      <c r="G143" s="49">
        <v>0</v>
      </c>
      <c r="H143" s="49">
        <v>0.16616721177432439</v>
      </c>
      <c r="I143" s="49">
        <v>-7.6947260834014726</v>
      </c>
      <c r="J143" s="49">
        <v>5.4047412101390009</v>
      </c>
      <c r="K143" s="49">
        <v>0.63936426819296865</v>
      </c>
    </row>
    <row r="144" spans="1:11" ht="12.75" x14ac:dyDescent="0.2">
      <c r="A144" s="50">
        <v>9</v>
      </c>
      <c r="B144" s="50">
        <v>2</v>
      </c>
      <c r="C144" s="50">
        <v>21.354136958299254</v>
      </c>
      <c r="D144" s="50">
        <v>0</v>
      </c>
      <c r="E144" s="50">
        <v>3.81</v>
      </c>
      <c r="F144" s="50">
        <v>2</v>
      </c>
      <c r="G144" s="50">
        <v>0</v>
      </c>
      <c r="H144" s="50">
        <v>0.17661692559280429</v>
      </c>
      <c r="I144" s="50">
        <v>4.8814390842191767E-2</v>
      </c>
      <c r="J144" s="50">
        <v>0.27500613246116112</v>
      </c>
      <c r="K144" s="50">
        <v>0.52669419460343436</v>
      </c>
    </row>
    <row r="145" spans="1:11" ht="12.75" x14ac:dyDescent="0.2">
      <c r="A145" s="51">
        <v>9</v>
      </c>
      <c r="B145" s="51">
        <v>2</v>
      </c>
      <c r="C145" s="51">
        <v>20.88450367947673</v>
      </c>
      <c r="D145" s="51">
        <v>0</v>
      </c>
      <c r="E145" s="51">
        <v>3.17</v>
      </c>
      <c r="F145" s="51">
        <v>2</v>
      </c>
      <c r="G145" s="51">
        <v>0</v>
      </c>
      <c r="H145" s="51">
        <v>0.16340760425183826</v>
      </c>
      <c r="I145" s="51">
        <v>-8.0376533115290449</v>
      </c>
      <c r="J145" s="51">
        <v>67.047457890433321</v>
      </c>
      <c r="K145" s="51">
        <v>0.55389452166802977</v>
      </c>
    </row>
    <row r="146" spans="1:11" ht="12.75" x14ac:dyDescent="0.2">
      <c r="A146" s="48">
        <v>9</v>
      </c>
      <c r="B146" s="48">
        <v>3</v>
      </c>
      <c r="C146" s="48">
        <v>10.447785714285711</v>
      </c>
      <c r="D146" s="48">
        <v>0</v>
      </c>
      <c r="E146" s="48">
        <v>5.26</v>
      </c>
      <c r="F146" s="48">
        <v>4</v>
      </c>
      <c r="G146" s="48">
        <v>0</v>
      </c>
      <c r="H146" s="48">
        <v>0.11499999999999998</v>
      </c>
      <c r="I146" s="48">
        <v>-3.0952380952380943E-2</v>
      </c>
      <c r="J146" s="48">
        <v>0</v>
      </c>
      <c r="K146" s="48">
        <v>0.43621428571428567</v>
      </c>
    </row>
    <row r="147" spans="1:11" ht="12.75" x14ac:dyDescent="0.2">
      <c r="A147" s="49">
        <v>9</v>
      </c>
      <c r="B147" s="49">
        <v>3</v>
      </c>
      <c r="C147" s="49">
        <v>7.2987857142857155</v>
      </c>
      <c r="D147" s="49">
        <v>0</v>
      </c>
      <c r="E147" s="49">
        <v>5.54</v>
      </c>
      <c r="F147" s="49">
        <v>3</v>
      </c>
      <c r="G147" s="49">
        <v>0.14507142857142855</v>
      </c>
      <c r="H147" s="49">
        <v>4.9142857142857141E-2</v>
      </c>
      <c r="I147" s="49">
        <v>-21.145238095238096</v>
      </c>
      <c r="J147" s="49">
        <v>7.6451428571428561</v>
      </c>
      <c r="K147" s="49">
        <v>0.92033333333333289</v>
      </c>
    </row>
    <row r="148" spans="1:11" ht="12.75" x14ac:dyDescent="0.2">
      <c r="A148" s="50">
        <v>9</v>
      </c>
      <c r="B148" s="50">
        <v>3</v>
      </c>
      <c r="C148" s="50">
        <v>8.2896428571428569</v>
      </c>
      <c r="D148" s="50">
        <v>1</v>
      </c>
      <c r="E148" s="50">
        <v>2.06</v>
      </c>
      <c r="F148" s="50">
        <v>3</v>
      </c>
      <c r="G148" s="50">
        <v>4.9690476190476195E-2</v>
      </c>
      <c r="H148" s="50">
        <v>9.6833333333333341E-2</v>
      </c>
      <c r="I148" s="50">
        <v>-14.133333333333335</v>
      </c>
      <c r="J148" s="50">
        <v>61.982761904761901</v>
      </c>
      <c r="K148" s="50">
        <v>0.74335714285714294</v>
      </c>
    </row>
    <row r="149" spans="1:11" ht="12.75" x14ac:dyDescent="0.2">
      <c r="A149" s="49">
        <v>9</v>
      </c>
      <c r="B149" s="49">
        <v>3</v>
      </c>
      <c r="C149" s="49">
        <v>14.109404761904759</v>
      </c>
      <c r="D149" s="49">
        <v>1</v>
      </c>
      <c r="E149" s="49">
        <v>3.25</v>
      </c>
      <c r="F149" s="49">
        <v>2</v>
      </c>
      <c r="G149" s="49">
        <v>1.2285714285714285E-2</v>
      </c>
      <c r="H149" s="49">
        <v>0.14992857142857144</v>
      </c>
      <c r="I149" s="49">
        <v>-7.5309523809523808</v>
      </c>
      <c r="J149" s="49">
        <v>46.370738095238089</v>
      </c>
      <c r="K149" s="49">
        <v>0.80469047619047607</v>
      </c>
    </row>
    <row r="150" spans="1:11" ht="12.75" x14ac:dyDescent="0.2">
      <c r="A150" s="53">
        <v>9</v>
      </c>
      <c r="B150" s="53">
        <v>3</v>
      </c>
      <c r="C150" s="53">
        <v>7.7511190476190492</v>
      </c>
      <c r="D150" s="53">
        <v>1</v>
      </c>
      <c r="E150" s="53">
        <v>8.19</v>
      </c>
      <c r="F150" s="53">
        <v>2</v>
      </c>
      <c r="G150" s="53">
        <v>0.14683333333333332</v>
      </c>
      <c r="H150" s="53">
        <v>7.509523809523809E-2</v>
      </c>
      <c r="I150" s="53">
        <v>-1.8214285714285714</v>
      </c>
      <c r="J150" s="53">
        <v>66.414285714285711</v>
      </c>
      <c r="K150" s="53">
        <v>0.34669047619047599</v>
      </c>
    </row>
    <row r="151" spans="1:11" ht="12.75" x14ac:dyDescent="0.2">
      <c r="A151" s="52">
        <v>10</v>
      </c>
      <c r="B151" s="52">
        <v>1</v>
      </c>
      <c r="C151" s="52">
        <v>14.146119047619049</v>
      </c>
      <c r="D151" s="52">
        <v>0</v>
      </c>
      <c r="E151" s="52">
        <v>7.74</v>
      </c>
      <c r="F151" s="52">
        <v>4</v>
      </c>
      <c r="G151" s="52">
        <v>5.261904761904761E-3</v>
      </c>
      <c r="H151" s="52">
        <v>0.14852380952380953</v>
      </c>
      <c r="I151" s="52">
        <v>0.43571428571428555</v>
      </c>
      <c r="J151" s="52">
        <v>107.35461904761902</v>
      </c>
      <c r="K151" s="52">
        <v>0.56850000000000001</v>
      </c>
    </row>
    <row r="152" spans="1:11" ht="12.75" x14ac:dyDescent="0.2">
      <c r="A152" s="50">
        <v>10</v>
      </c>
      <c r="B152" s="50">
        <v>1</v>
      </c>
      <c r="C152" s="50">
        <v>13.871285714285714</v>
      </c>
      <c r="D152" s="50">
        <v>0</v>
      </c>
      <c r="E152" s="50">
        <v>4.9800000000000004</v>
      </c>
      <c r="F152" s="50">
        <v>3</v>
      </c>
      <c r="G152" s="50">
        <v>1.8690476190476188E-2</v>
      </c>
      <c r="H152" s="50">
        <v>0.15307142857142855</v>
      </c>
      <c r="I152" s="50">
        <v>-11.87142857142857</v>
      </c>
      <c r="J152" s="50">
        <v>14.365880952380952</v>
      </c>
      <c r="K152" s="50">
        <v>-3.4333333333333362E-2</v>
      </c>
    </row>
    <row r="153" spans="1:11" ht="12.75" x14ac:dyDescent="0.2">
      <c r="A153" s="49">
        <v>10</v>
      </c>
      <c r="B153" s="49">
        <v>1</v>
      </c>
      <c r="C153" s="49">
        <v>16.344047619047622</v>
      </c>
      <c r="D153" s="49">
        <v>0</v>
      </c>
      <c r="E153" s="49">
        <v>5.12</v>
      </c>
      <c r="F153" s="49">
        <v>3</v>
      </c>
      <c r="G153" s="49">
        <v>0</v>
      </c>
      <c r="H153" s="49">
        <v>0.10169047619047619</v>
      </c>
      <c r="I153" s="49">
        <v>-6.9761904761904763</v>
      </c>
      <c r="J153" s="49">
        <v>0</v>
      </c>
      <c r="K153" s="49">
        <v>0.71723809523809523</v>
      </c>
    </row>
    <row r="154" spans="1:11" ht="12.75" x14ac:dyDescent="0.2">
      <c r="A154" s="50">
        <v>10</v>
      </c>
      <c r="B154" s="50">
        <v>1</v>
      </c>
      <c r="C154" s="50">
        <v>14.988261904761909</v>
      </c>
      <c r="D154" s="50">
        <v>0</v>
      </c>
      <c r="E154" s="50">
        <v>4.2</v>
      </c>
      <c r="F154" s="50">
        <v>2</v>
      </c>
      <c r="G154" s="50">
        <v>0</v>
      </c>
      <c r="H154" s="50">
        <v>0.11428571428571432</v>
      </c>
      <c r="I154" s="50">
        <v>-0.79047619047619089</v>
      </c>
      <c r="J154" s="50">
        <v>8.4364285714285732</v>
      </c>
      <c r="K154" s="50">
        <v>0.196047619047619</v>
      </c>
    </row>
    <row r="155" spans="1:11" ht="12.75" x14ac:dyDescent="0.2">
      <c r="A155" s="51">
        <v>10</v>
      </c>
      <c r="B155" s="51">
        <v>1</v>
      </c>
      <c r="C155" s="51">
        <v>12.014238095238097</v>
      </c>
      <c r="D155" s="51">
        <v>0</v>
      </c>
      <c r="E155" s="51">
        <v>2.76</v>
      </c>
      <c r="F155" s="51">
        <v>2</v>
      </c>
      <c r="G155" s="51">
        <v>1.7119047619047617E-2</v>
      </c>
      <c r="H155" s="51">
        <v>0.12566666666666665</v>
      </c>
      <c r="I155" s="51">
        <v>-15.707142857142859</v>
      </c>
      <c r="J155" s="51">
        <v>20.696428571428573</v>
      </c>
      <c r="K155" s="51">
        <v>-7.047619047619047E-2</v>
      </c>
    </row>
    <row r="156" spans="1:11" ht="12.75" x14ac:dyDescent="0.2">
      <c r="A156" s="48">
        <v>10</v>
      </c>
      <c r="B156" s="48">
        <v>2</v>
      </c>
      <c r="C156" s="48">
        <v>14.181570543702652</v>
      </c>
      <c r="D156" s="48">
        <v>1</v>
      </c>
      <c r="E156" s="48">
        <v>12.24</v>
      </c>
      <c r="F156" s="48">
        <v>4</v>
      </c>
      <c r="G156" s="48">
        <v>0</v>
      </c>
      <c r="H156" s="48">
        <v>0.13664624913970999</v>
      </c>
      <c r="I156" s="48">
        <v>-0.27852718513420849</v>
      </c>
      <c r="J156" s="48">
        <v>11.14174294562973</v>
      </c>
      <c r="K156" s="48">
        <v>0.94688953888506278</v>
      </c>
    </row>
    <row r="157" spans="1:11" ht="12.75" x14ac:dyDescent="0.2">
      <c r="A157" s="49">
        <v>10</v>
      </c>
      <c r="B157" s="49">
        <v>2</v>
      </c>
      <c r="C157" s="49">
        <v>18.402519270474858</v>
      </c>
      <c r="D157" s="49">
        <v>2</v>
      </c>
      <c r="E157" s="49">
        <v>14.48</v>
      </c>
      <c r="F157" s="49">
        <v>3</v>
      </c>
      <c r="G157" s="49">
        <v>0</v>
      </c>
      <c r="H157" s="49">
        <v>0.13380144528561524</v>
      </c>
      <c r="I157" s="49">
        <v>-5.7195801789401184</v>
      </c>
      <c r="J157" s="49">
        <v>68.882732622160958</v>
      </c>
      <c r="K157" s="49">
        <v>0.58880213351686272</v>
      </c>
    </row>
    <row r="158" spans="1:11" ht="12.75" x14ac:dyDescent="0.2">
      <c r="A158" s="50">
        <v>10</v>
      </c>
      <c r="B158" s="50">
        <v>2</v>
      </c>
      <c r="C158" s="50">
        <v>18.075516517549826</v>
      </c>
      <c r="D158" s="50">
        <v>0</v>
      </c>
      <c r="E158" s="50">
        <v>8.67</v>
      </c>
      <c r="F158" s="50">
        <v>3</v>
      </c>
      <c r="G158" s="50">
        <v>0</v>
      </c>
      <c r="H158" s="50">
        <v>0.15413833448038528</v>
      </c>
      <c r="I158" s="50">
        <v>-0.87914659325532774</v>
      </c>
      <c r="J158" s="50">
        <v>8.5168799036476237</v>
      </c>
      <c r="K158" s="50">
        <v>0.49590880935994641</v>
      </c>
    </row>
    <row r="159" spans="1:11" ht="12.75" x14ac:dyDescent="0.2">
      <c r="A159" s="49">
        <v>10</v>
      </c>
      <c r="B159" s="49">
        <v>2</v>
      </c>
      <c r="C159" s="49">
        <v>18.117944941500372</v>
      </c>
      <c r="D159" s="49">
        <v>0</v>
      </c>
      <c r="E159" s="49">
        <v>3.65</v>
      </c>
      <c r="F159" s="49">
        <v>2</v>
      </c>
      <c r="G159" s="49">
        <v>2.2670337233310395E-3</v>
      </c>
      <c r="H159" s="49">
        <v>0.13406434962147207</v>
      </c>
      <c r="I159" s="49">
        <v>-7.0411562284927793</v>
      </c>
      <c r="J159" s="49">
        <v>110.22790467997243</v>
      </c>
      <c r="K159" s="49">
        <v>0.40300550584996608</v>
      </c>
    </row>
    <row r="160" spans="1:11" ht="12.75" x14ac:dyDescent="0.2">
      <c r="A160" s="53">
        <v>10</v>
      </c>
      <c r="B160" s="53">
        <v>2</v>
      </c>
      <c r="C160" s="53">
        <v>17.365099793530671</v>
      </c>
      <c r="D160" s="53">
        <v>0</v>
      </c>
      <c r="E160" s="53">
        <v>4.71</v>
      </c>
      <c r="F160" s="53">
        <v>2</v>
      </c>
      <c r="G160" s="53">
        <v>1.4460426703372321E-2</v>
      </c>
      <c r="H160" s="53">
        <v>0.13854507914659314</v>
      </c>
      <c r="I160" s="53">
        <v>-7.0818995182379413E-2</v>
      </c>
      <c r="J160" s="53">
        <v>94.699694425327138</v>
      </c>
      <c r="K160" s="53">
        <v>0.24894115622849325</v>
      </c>
    </row>
    <row r="161" spans="1:11" ht="12.75" x14ac:dyDescent="0.2">
      <c r="A161" s="52">
        <v>10</v>
      </c>
      <c r="B161" s="52">
        <v>3</v>
      </c>
      <c r="C161" s="52">
        <v>16.088153846153848</v>
      </c>
      <c r="D161" s="52">
        <v>0</v>
      </c>
      <c r="E161" s="52">
        <v>7.21</v>
      </c>
      <c r="F161" s="52">
        <v>4</v>
      </c>
      <c r="G161" s="52">
        <v>0</v>
      </c>
      <c r="H161" s="52">
        <v>0.18930769230769232</v>
      </c>
      <c r="I161" s="52">
        <v>0.24102564102564103</v>
      </c>
      <c r="J161" s="52">
        <v>0</v>
      </c>
      <c r="K161" s="52">
        <v>-0.10264102564102565</v>
      </c>
    </row>
    <row r="162" spans="1:11" ht="12.75" x14ac:dyDescent="0.2">
      <c r="A162" s="50">
        <v>10</v>
      </c>
      <c r="B162" s="50">
        <v>3</v>
      </c>
      <c r="C162" s="50">
        <v>12.649230769230771</v>
      </c>
      <c r="D162" s="50">
        <v>0</v>
      </c>
      <c r="E162" s="50">
        <v>5.38</v>
      </c>
      <c r="F162" s="50">
        <v>3</v>
      </c>
      <c r="G162" s="50">
        <v>4.1461538461538459E-2</v>
      </c>
      <c r="H162" s="50">
        <v>0.13130769230769229</v>
      </c>
      <c r="I162" s="50">
        <v>-17.517948717948709</v>
      </c>
      <c r="J162" s="50">
        <v>30.479435897435906</v>
      </c>
      <c r="K162" s="50">
        <v>0.26469230769230773</v>
      </c>
    </row>
    <row r="163" spans="1:11" ht="12.75" x14ac:dyDescent="0.2">
      <c r="A163" s="49">
        <v>10</v>
      </c>
      <c r="B163" s="49">
        <v>3</v>
      </c>
      <c r="C163" s="49">
        <v>15.210307692307687</v>
      </c>
      <c r="D163" s="49">
        <v>0</v>
      </c>
      <c r="E163" s="49">
        <v>5.52</v>
      </c>
      <c r="F163" s="49">
        <v>3</v>
      </c>
      <c r="G163" s="49">
        <v>0</v>
      </c>
      <c r="H163" s="49">
        <v>0.10694871794871794</v>
      </c>
      <c r="I163" s="49">
        <v>-9.2358974358974368</v>
      </c>
      <c r="J163" s="49">
        <v>6.5324871794871795</v>
      </c>
      <c r="K163" s="49">
        <v>-2.5641025641025664E-2</v>
      </c>
    </row>
    <row r="164" spans="1:11" ht="12.75" x14ac:dyDescent="0.2">
      <c r="A164" s="50">
        <v>10</v>
      </c>
      <c r="B164" s="50">
        <v>3</v>
      </c>
      <c r="C164" s="50">
        <v>15.038051282051283</v>
      </c>
      <c r="D164" s="50">
        <v>0</v>
      </c>
      <c r="E164" s="50">
        <v>3.94</v>
      </c>
      <c r="F164" s="50">
        <v>2</v>
      </c>
      <c r="G164" s="50">
        <v>1.9E-2</v>
      </c>
      <c r="H164" s="50">
        <v>0.11046153846153849</v>
      </c>
      <c r="I164" s="50">
        <v>-16.043589743589745</v>
      </c>
      <c r="J164" s="50">
        <v>4.6249487179487181</v>
      </c>
      <c r="K164" s="50">
        <v>4.9999999999999906E-3</v>
      </c>
    </row>
    <row r="165" spans="1:11" ht="12.75" x14ac:dyDescent="0.2">
      <c r="A165" s="51">
        <v>10</v>
      </c>
      <c r="B165" s="51">
        <v>3</v>
      </c>
      <c r="C165" s="51">
        <v>9.1251282051282043</v>
      </c>
      <c r="D165" s="51">
        <v>0</v>
      </c>
      <c r="E165" s="51">
        <v>4.51</v>
      </c>
      <c r="F165" s="51">
        <v>2</v>
      </c>
      <c r="G165" s="51">
        <v>7.9846153846153844E-2</v>
      </c>
      <c r="H165" s="51">
        <v>9.274358974358976E-2</v>
      </c>
      <c r="I165" s="51">
        <v>1.0717948717948718</v>
      </c>
      <c r="J165" s="51">
        <v>82.758153846153846</v>
      </c>
      <c r="K165" s="51">
        <v>-0.34866666666666662</v>
      </c>
    </row>
    <row r="166" spans="1:11" ht="12.75" x14ac:dyDescent="0.2">
      <c r="A166" s="48">
        <v>11</v>
      </c>
      <c r="B166" s="48">
        <v>1</v>
      </c>
      <c r="C166" s="48">
        <v>15.298696969696969</v>
      </c>
      <c r="D166" s="48">
        <v>1</v>
      </c>
      <c r="E166" s="48">
        <v>16.53</v>
      </c>
      <c r="F166" s="48">
        <v>4</v>
      </c>
      <c r="G166" s="48">
        <v>0</v>
      </c>
      <c r="H166" s="48">
        <v>0.15578787878787881</v>
      </c>
      <c r="I166" s="48">
        <v>0.36666666666666675</v>
      </c>
      <c r="J166" s="48">
        <v>121.78563636363634</v>
      </c>
      <c r="K166" s="48">
        <v>0.17924242424242409</v>
      </c>
    </row>
    <row r="167" spans="1:11" ht="12.75" x14ac:dyDescent="0.2">
      <c r="A167" s="49">
        <v>11</v>
      </c>
      <c r="B167" s="49">
        <v>1</v>
      </c>
      <c r="C167" s="49">
        <v>14.899303030303024</v>
      </c>
      <c r="D167" s="49">
        <v>0</v>
      </c>
      <c r="E167" s="49">
        <v>12.93</v>
      </c>
      <c r="F167" s="49">
        <v>4</v>
      </c>
      <c r="G167" s="49">
        <v>5.787878787878788E-3</v>
      </c>
      <c r="H167" s="49">
        <v>9.0727272727272726E-2</v>
      </c>
      <c r="I167" s="49">
        <v>-15.060606060606061</v>
      </c>
      <c r="J167" s="49">
        <v>93.411757575757562</v>
      </c>
      <c r="K167" s="49">
        <v>4.7818181818181829E-2</v>
      </c>
    </row>
    <row r="168" spans="1:11" ht="12.75" x14ac:dyDescent="0.2">
      <c r="A168" s="50">
        <v>11</v>
      </c>
      <c r="B168" s="50">
        <v>1</v>
      </c>
      <c r="C168" s="50">
        <v>17.628999999999994</v>
      </c>
      <c r="D168" s="50">
        <v>1</v>
      </c>
      <c r="E168" s="50">
        <v>5.13</v>
      </c>
      <c r="F168" s="50">
        <v>3</v>
      </c>
      <c r="G168" s="50">
        <v>0</v>
      </c>
      <c r="H168" s="50">
        <v>0.1863030303030303</v>
      </c>
      <c r="I168" s="50">
        <v>-1.9848484848484849</v>
      </c>
      <c r="J168" s="50">
        <v>71.914272727272717</v>
      </c>
      <c r="K168" s="50">
        <v>0.1745454545454545</v>
      </c>
    </row>
    <row r="169" spans="1:11" ht="12.75" x14ac:dyDescent="0.2">
      <c r="A169" s="49">
        <v>11</v>
      </c>
      <c r="B169" s="49">
        <v>1</v>
      </c>
      <c r="C169" s="49">
        <v>19.570121212121219</v>
      </c>
      <c r="D169" s="49">
        <v>0</v>
      </c>
      <c r="E169" s="49">
        <v>6.18</v>
      </c>
      <c r="F169" s="49">
        <v>3</v>
      </c>
      <c r="G169" s="49">
        <v>9.3939393939393937E-3</v>
      </c>
      <c r="H169" s="49">
        <v>0.14690909090909093</v>
      </c>
      <c r="I169" s="49">
        <v>-8.1696969696969681</v>
      </c>
      <c r="J169" s="49">
        <v>16.189454545454542</v>
      </c>
      <c r="K169" s="49">
        <v>-7.4424242424242434E-2</v>
      </c>
    </row>
    <row r="170" spans="1:11" ht="12.75" x14ac:dyDescent="0.2">
      <c r="A170" s="50">
        <v>11</v>
      </c>
      <c r="B170" s="50">
        <v>1</v>
      </c>
      <c r="C170" s="50">
        <v>12.046272727272727</v>
      </c>
      <c r="D170" s="50">
        <v>2</v>
      </c>
      <c r="E170" s="50">
        <v>8.6199999999999992</v>
      </c>
      <c r="F170" s="50">
        <v>2</v>
      </c>
      <c r="G170" s="50">
        <v>2.290909090909091E-2</v>
      </c>
      <c r="H170" s="50">
        <v>9.9151515151515157E-2</v>
      </c>
      <c r="I170" s="50">
        <v>-1.5060606060606061</v>
      </c>
      <c r="J170" s="50">
        <v>20.941939393939393</v>
      </c>
      <c r="K170" s="50">
        <v>0.41118181818181809</v>
      </c>
    </row>
    <row r="171" spans="1:11" ht="12.75" x14ac:dyDescent="0.2">
      <c r="A171" s="51">
        <v>11</v>
      </c>
      <c r="B171" s="51">
        <v>1</v>
      </c>
      <c r="C171" s="51">
        <v>4.1048181818181817</v>
      </c>
      <c r="D171" s="51">
        <v>0</v>
      </c>
      <c r="E171" s="51">
        <v>3.24</v>
      </c>
      <c r="F171" s="51">
        <v>2</v>
      </c>
      <c r="G171" s="51">
        <v>5.2575757575757567E-2</v>
      </c>
      <c r="H171" s="51">
        <v>5.4696969696969695E-2</v>
      </c>
      <c r="I171" s="51">
        <v>-7.542424242424242</v>
      </c>
      <c r="J171" s="51">
        <v>31.866454545454548</v>
      </c>
      <c r="K171" s="51">
        <v>0.29263636363636375</v>
      </c>
    </row>
    <row r="172" spans="1:11" ht="12.75" x14ac:dyDescent="0.2">
      <c r="A172" s="48">
        <v>11</v>
      </c>
      <c r="B172" s="48">
        <v>2</v>
      </c>
      <c r="C172" s="48">
        <v>15.430051566265048</v>
      </c>
      <c r="D172" s="48">
        <v>0</v>
      </c>
      <c r="E172" s="48">
        <v>18.3</v>
      </c>
      <c r="F172" s="48">
        <v>4</v>
      </c>
      <c r="G172" s="48">
        <v>0</v>
      </c>
      <c r="H172" s="48">
        <v>0.20920626506023976</v>
      </c>
      <c r="I172" s="48">
        <v>-0.68183132530120416</v>
      </c>
      <c r="J172" s="48">
        <v>17.440591325301202</v>
      </c>
      <c r="K172" s="48">
        <v>0.66771132530120503</v>
      </c>
    </row>
    <row r="173" spans="1:11" ht="12.75" x14ac:dyDescent="0.2">
      <c r="A173" s="49">
        <v>11</v>
      </c>
      <c r="B173" s="49">
        <v>2</v>
      </c>
      <c r="C173" s="49">
        <v>18.067065542168621</v>
      </c>
      <c r="D173" s="49">
        <v>3</v>
      </c>
      <c r="E173" s="49">
        <v>18.53</v>
      </c>
      <c r="F173" s="49">
        <v>4</v>
      </c>
      <c r="G173" s="49">
        <v>7.5286746987951831E-3</v>
      </c>
      <c r="H173" s="49">
        <v>0.14606698795180775</v>
      </c>
      <c r="I173" s="49">
        <v>9.7831325301205488E-2</v>
      </c>
      <c r="J173" s="49">
        <v>0</v>
      </c>
      <c r="K173" s="49">
        <v>0.32410746987951833</v>
      </c>
    </row>
    <row r="174" spans="1:11" ht="12.75" x14ac:dyDescent="0.2">
      <c r="A174" s="50">
        <v>11</v>
      </c>
      <c r="B174" s="50">
        <v>2</v>
      </c>
      <c r="C174" s="50">
        <v>23.639258313252959</v>
      </c>
      <c r="D174" s="50">
        <v>0</v>
      </c>
      <c r="E174" s="50">
        <v>5.35</v>
      </c>
      <c r="F174" s="50">
        <v>3</v>
      </c>
      <c r="G174" s="50">
        <v>0</v>
      </c>
      <c r="H174" s="50">
        <v>0.20390650602409602</v>
      </c>
      <c r="I174" s="50">
        <v>-9.2773975903613941</v>
      </c>
      <c r="J174" s="50">
        <v>2.975797108433734</v>
      </c>
      <c r="K174" s="50">
        <v>-0.27295084337349368</v>
      </c>
    </row>
    <row r="175" spans="1:11" ht="12.75" x14ac:dyDescent="0.2">
      <c r="A175" s="49">
        <v>11</v>
      </c>
      <c r="B175" s="49">
        <v>2</v>
      </c>
      <c r="C175" s="49">
        <v>24.686160963855436</v>
      </c>
      <c r="D175" s="49">
        <v>2</v>
      </c>
      <c r="E175" s="49">
        <v>15.63</v>
      </c>
      <c r="F175" s="49">
        <v>3</v>
      </c>
      <c r="G175" s="49">
        <v>0</v>
      </c>
      <c r="H175" s="49">
        <v>0.21801156626505869</v>
      </c>
      <c r="I175" s="49">
        <v>8.3421686746987994E-2</v>
      </c>
      <c r="J175" s="49">
        <v>26.476152289156623</v>
      </c>
      <c r="K175" s="49">
        <v>0.13070891566265072</v>
      </c>
    </row>
    <row r="176" spans="1:11" ht="12.75" x14ac:dyDescent="0.2">
      <c r="A176" s="50">
        <v>11</v>
      </c>
      <c r="B176" s="50">
        <v>2</v>
      </c>
      <c r="C176" s="50">
        <v>18.604495903614431</v>
      </c>
      <c r="D176" s="50">
        <v>0</v>
      </c>
      <c r="E176" s="50">
        <v>4.1399999999999997</v>
      </c>
      <c r="F176" s="50">
        <v>2</v>
      </c>
      <c r="G176" s="50">
        <v>6.2891566265060254E-4</v>
      </c>
      <c r="H176" s="50">
        <v>9.0780240963854342E-2</v>
      </c>
      <c r="I176" s="50">
        <v>-9.6091566265060262</v>
      </c>
      <c r="J176" s="50">
        <v>107.04873927710847</v>
      </c>
      <c r="K176" s="50">
        <v>-0.31998361445783119</v>
      </c>
    </row>
    <row r="177" spans="1:11" ht="12.75" x14ac:dyDescent="0.2">
      <c r="A177" s="51">
        <v>11</v>
      </c>
      <c r="B177" s="51">
        <v>2</v>
      </c>
      <c r="C177" s="51">
        <v>20.167737831325283</v>
      </c>
      <c r="D177" s="51">
        <v>0</v>
      </c>
      <c r="E177" s="51">
        <v>3.09</v>
      </c>
      <c r="F177" s="51">
        <v>2</v>
      </c>
      <c r="G177" s="51">
        <v>0</v>
      </c>
      <c r="H177" s="51">
        <v>0.13133542168674697</v>
      </c>
      <c r="I177" s="51">
        <v>5.2722891566265195E-2</v>
      </c>
      <c r="J177" s="51">
        <v>0</v>
      </c>
      <c r="K177" s="51">
        <v>0.10198216867469882</v>
      </c>
    </row>
    <row r="178" spans="1:11" ht="12.75" x14ac:dyDescent="0.2">
      <c r="A178" s="48">
        <v>11</v>
      </c>
      <c r="B178" s="48">
        <v>3</v>
      </c>
      <c r="C178" s="48">
        <v>13.620303030303029</v>
      </c>
      <c r="D178" s="48">
        <v>0</v>
      </c>
      <c r="E178" s="48">
        <v>5.79</v>
      </c>
      <c r="F178" s="48">
        <v>4</v>
      </c>
      <c r="G178" s="48">
        <v>0</v>
      </c>
      <c r="H178" s="48">
        <v>0.17369696969696977</v>
      </c>
      <c r="I178" s="48">
        <v>0.64242424242424234</v>
      </c>
      <c r="J178" s="48">
        <v>0</v>
      </c>
      <c r="K178" s="48">
        <v>0.58269696969696971</v>
      </c>
    </row>
    <row r="179" spans="1:11" ht="12.75" x14ac:dyDescent="0.2">
      <c r="A179" s="49">
        <v>11</v>
      </c>
      <c r="B179" s="49">
        <v>3</v>
      </c>
      <c r="C179" s="49">
        <v>10.615484848484845</v>
      </c>
      <c r="D179" s="49">
        <v>2</v>
      </c>
      <c r="E179" s="49">
        <v>14.14</v>
      </c>
      <c r="F179" s="49">
        <v>4</v>
      </c>
      <c r="G179" s="49">
        <v>4.8515151515151511E-2</v>
      </c>
      <c r="H179" s="49">
        <v>8.5454545454545464E-2</v>
      </c>
      <c r="I179" s="49">
        <v>-15.633333333333333</v>
      </c>
      <c r="J179" s="49">
        <v>20.092696969696973</v>
      </c>
      <c r="K179" s="49">
        <v>0.58530303030303021</v>
      </c>
    </row>
    <row r="180" spans="1:11" ht="12.75" x14ac:dyDescent="0.2">
      <c r="A180" s="50">
        <v>11</v>
      </c>
      <c r="B180" s="50">
        <v>3</v>
      </c>
      <c r="C180" s="50">
        <v>14.20009090909091</v>
      </c>
      <c r="D180" s="50">
        <v>1</v>
      </c>
      <c r="E180" s="50">
        <v>8.86</v>
      </c>
      <c r="F180" s="50">
        <v>3</v>
      </c>
      <c r="G180" s="50">
        <v>3.3636363636363631E-2</v>
      </c>
      <c r="H180" s="50">
        <v>0.14681818181818179</v>
      </c>
      <c r="I180" s="50">
        <v>0.74545454545454537</v>
      </c>
      <c r="J180" s="50">
        <v>0</v>
      </c>
      <c r="K180" s="50">
        <v>-0.16066666666666662</v>
      </c>
    </row>
    <row r="181" spans="1:11" ht="12.75" x14ac:dyDescent="0.2">
      <c r="A181" s="49">
        <v>11</v>
      </c>
      <c r="B181" s="49">
        <v>3</v>
      </c>
      <c r="C181" s="49">
        <v>14.174454545454545</v>
      </c>
      <c r="D181" s="49">
        <v>0</v>
      </c>
      <c r="E181" s="49">
        <v>9.1199999999999992</v>
      </c>
      <c r="F181" s="49">
        <v>3</v>
      </c>
      <c r="G181" s="49">
        <v>0</v>
      </c>
      <c r="H181" s="49">
        <v>0.15193939393939399</v>
      </c>
      <c r="I181" s="49">
        <v>-11.375757575757577</v>
      </c>
      <c r="J181" s="49">
        <v>64.069515151515148</v>
      </c>
      <c r="K181" s="49">
        <v>-0.27290909090909093</v>
      </c>
    </row>
    <row r="182" spans="1:11" ht="12.75" x14ac:dyDescent="0.2">
      <c r="A182" s="50">
        <v>11</v>
      </c>
      <c r="B182" s="50">
        <v>3</v>
      </c>
      <c r="C182" s="50">
        <v>14.73881818181818</v>
      </c>
      <c r="D182" s="50">
        <v>1</v>
      </c>
      <c r="E182" s="50">
        <v>5.17</v>
      </c>
      <c r="F182" s="50">
        <v>2</v>
      </c>
      <c r="G182" s="50">
        <v>3.1787878787878789E-2</v>
      </c>
      <c r="H182" s="50">
        <v>0.15624242424242424</v>
      </c>
      <c r="I182" s="50">
        <v>-1.0272727272727273</v>
      </c>
      <c r="J182" s="50">
        <v>55.175969696969702</v>
      </c>
      <c r="K182" s="50">
        <v>0.18554545454545454</v>
      </c>
    </row>
    <row r="183" spans="1:11" ht="12.75" x14ac:dyDescent="0.2">
      <c r="A183" s="51">
        <v>11</v>
      </c>
      <c r="B183" s="51">
        <v>3</v>
      </c>
      <c r="C183" s="51">
        <v>7.6552121212121227</v>
      </c>
      <c r="D183" s="51">
        <v>0</v>
      </c>
      <c r="E183" s="51">
        <v>5.67</v>
      </c>
      <c r="F183" s="51">
        <v>2</v>
      </c>
      <c r="G183" s="51">
        <v>5.2727272727272727E-2</v>
      </c>
      <c r="H183" s="51">
        <v>8.5242424242424245E-2</v>
      </c>
      <c r="I183" s="51">
        <v>-13.463636363636363</v>
      </c>
      <c r="J183" s="51">
        <v>85.761545454545455</v>
      </c>
      <c r="K183" s="51">
        <v>0.35363636363636342</v>
      </c>
    </row>
    <row r="184" spans="1:11" ht="12.75" x14ac:dyDescent="0.2">
      <c r="A184" s="48">
        <v>12</v>
      </c>
      <c r="B184" s="48">
        <v>1</v>
      </c>
      <c r="C184" s="48">
        <v>18.459147058823532</v>
      </c>
      <c r="D184" s="48">
        <v>0</v>
      </c>
      <c r="E184" s="48">
        <v>6.93</v>
      </c>
      <c r="F184" s="48">
        <v>4</v>
      </c>
      <c r="G184" s="48">
        <v>0</v>
      </c>
      <c r="H184" s="48">
        <v>0.28541176470588231</v>
      </c>
      <c r="I184" s="48">
        <v>8.8235294117647078E-2</v>
      </c>
      <c r="J184" s="48">
        <v>47.453705882352949</v>
      </c>
      <c r="K184" s="48">
        <v>-0.16194117647058826</v>
      </c>
    </row>
    <row r="185" spans="1:11" ht="12.75" x14ac:dyDescent="0.2">
      <c r="A185" s="49">
        <v>12</v>
      </c>
      <c r="B185" s="49">
        <v>1</v>
      </c>
      <c r="C185" s="49">
        <v>10.228294117647058</v>
      </c>
      <c r="D185" s="49">
        <v>0</v>
      </c>
      <c r="E185" s="49">
        <v>11.15</v>
      </c>
      <c r="F185" s="49">
        <v>4</v>
      </c>
      <c r="G185" s="49">
        <v>5.864705882352942E-2</v>
      </c>
      <c r="H185" s="49">
        <v>6.9999999999999979E-2</v>
      </c>
      <c r="I185" s="49">
        <v>-4.7705882352941176</v>
      </c>
      <c r="J185" s="49">
        <v>34.217470588235294</v>
      </c>
      <c r="K185" s="49">
        <v>0.14767647058823524</v>
      </c>
    </row>
    <row r="186" spans="1:11" ht="12.75" x14ac:dyDescent="0.2">
      <c r="A186" s="50">
        <v>12</v>
      </c>
      <c r="B186" s="50">
        <v>1</v>
      </c>
      <c r="C186" s="50">
        <v>19.553441176470585</v>
      </c>
      <c r="D186" s="50">
        <v>0</v>
      </c>
      <c r="E186" s="50">
        <v>6.3</v>
      </c>
      <c r="F186" s="50">
        <v>3</v>
      </c>
      <c r="G186" s="50">
        <v>0</v>
      </c>
      <c r="H186" s="50">
        <v>0.28429411764705881</v>
      </c>
      <c r="I186" s="50">
        <v>-14.067647058823528</v>
      </c>
      <c r="J186" s="50">
        <v>0.74820588235294117</v>
      </c>
      <c r="K186" s="50">
        <v>-0.72435294117647064</v>
      </c>
    </row>
    <row r="187" spans="1:11" ht="12.75" x14ac:dyDescent="0.2">
      <c r="A187" s="49">
        <v>12</v>
      </c>
      <c r="B187" s="49">
        <v>1</v>
      </c>
      <c r="C187" s="49">
        <v>21.292941176470585</v>
      </c>
      <c r="D187" s="49">
        <v>0</v>
      </c>
      <c r="E187" s="49">
        <v>3.73</v>
      </c>
      <c r="F187" s="49">
        <v>3</v>
      </c>
      <c r="G187" s="49">
        <v>5.4411764705882349E-3</v>
      </c>
      <c r="H187" s="49">
        <v>0.13976470588235296</v>
      </c>
      <c r="I187" s="49">
        <v>-6.4558823529411757</v>
      </c>
      <c r="J187" s="49">
        <v>39.667676470588241</v>
      </c>
      <c r="K187" s="49">
        <v>-0.37852941176470584</v>
      </c>
    </row>
    <row r="188" spans="1:11" ht="12.75" x14ac:dyDescent="0.2">
      <c r="A188" s="50">
        <v>12</v>
      </c>
      <c r="B188" s="50">
        <v>1</v>
      </c>
      <c r="C188" s="50">
        <v>9.2062941176470598</v>
      </c>
      <c r="D188" s="50">
        <v>1</v>
      </c>
      <c r="E188" s="50">
        <v>4.68</v>
      </c>
      <c r="F188" s="50">
        <v>2</v>
      </c>
      <c r="G188" s="50">
        <v>3.2088235294117647E-2</v>
      </c>
      <c r="H188" s="50">
        <v>5.1911764705882352E-2</v>
      </c>
      <c r="I188" s="50">
        <v>-2.1411764705882357</v>
      </c>
      <c r="J188" s="50">
        <v>13.302294117647056</v>
      </c>
      <c r="K188" s="50">
        <v>2.5823529411764721E-2</v>
      </c>
    </row>
    <row r="189" spans="1:11" ht="12.75" x14ac:dyDescent="0.2">
      <c r="A189" s="51">
        <v>12</v>
      </c>
      <c r="B189" s="51">
        <v>1</v>
      </c>
      <c r="C189" s="51">
        <v>10.612264705882357</v>
      </c>
      <c r="D189" s="51">
        <v>0</v>
      </c>
      <c r="E189" s="51">
        <v>2.98</v>
      </c>
      <c r="F189" s="51">
        <v>2</v>
      </c>
      <c r="G189" s="51">
        <v>1.1941176470588235E-2</v>
      </c>
      <c r="H189" s="51">
        <v>0.13685294117647057</v>
      </c>
      <c r="I189" s="51">
        <v>-27.347058823529412</v>
      </c>
      <c r="J189" s="51">
        <v>28.522058823529413</v>
      </c>
      <c r="K189" s="51">
        <v>-2.2470588235294117E-2</v>
      </c>
    </row>
    <row r="190" spans="1:11" ht="12.75" x14ac:dyDescent="0.2">
      <c r="A190" s="48">
        <v>12</v>
      </c>
      <c r="B190" s="48">
        <v>2</v>
      </c>
      <c r="C190" s="48">
        <v>15.994008849557513</v>
      </c>
      <c r="D190" s="48">
        <v>0</v>
      </c>
      <c r="E190" s="48">
        <v>3.04</v>
      </c>
      <c r="F190" s="48">
        <v>4</v>
      </c>
      <c r="G190" s="48">
        <v>0</v>
      </c>
      <c r="H190" s="48">
        <v>0.22343805309734466</v>
      </c>
      <c r="I190" s="48">
        <v>-0.43279867256637111</v>
      </c>
      <c r="J190" s="48">
        <v>25.735555309734508</v>
      </c>
      <c r="K190" s="48">
        <v>0.34684292035398123</v>
      </c>
    </row>
    <row r="191" spans="1:11" ht="12.75" x14ac:dyDescent="0.2">
      <c r="A191" s="49">
        <v>12</v>
      </c>
      <c r="B191" s="49">
        <v>2</v>
      </c>
      <c r="C191" s="49">
        <v>21.409877765486705</v>
      </c>
      <c r="D191" s="49">
        <v>1</v>
      </c>
      <c r="E191" s="49">
        <v>9.09</v>
      </c>
      <c r="F191" s="49">
        <v>4</v>
      </c>
      <c r="G191" s="49">
        <v>0</v>
      </c>
      <c r="H191" s="49">
        <v>0.17061504424778515</v>
      </c>
      <c r="I191" s="49">
        <v>-4.2311946902654794E-2</v>
      </c>
      <c r="J191" s="49">
        <v>0</v>
      </c>
      <c r="K191" s="49">
        <v>-5.9587942477875716E-2</v>
      </c>
    </row>
    <row r="192" spans="1:11" ht="12.75" x14ac:dyDescent="0.2">
      <c r="A192" s="50">
        <v>12</v>
      </c>
      <c r="B192" s="50">
        <v>2</v>
      </c>
      <c r="C192" s="50">
        <v>19.523138827433623</v>
      </c>
      <c r="D192" s="50">
        <v>0</v>
      </c>
      <c r="E192" s="50">
        <v>3.55</v>
      </c>
      <c r="F192" s="50">
        <v>3</v>
      </c>
      <c r="G192" s="50">
        <v>0</v>
      </c>
      <c r="H192" s="50">
        <v>0.14620298672566293</v>
      </c>
      <c r="I192" s="50">
        <v>-10.500000000000039</v>
      </c>
      <c r="J192" s="50">
        <v>0</v>
      </c>
      <c r="K192" s="50">
        <v>-0.26937665929203569</v>
      </c>
    </row>
    <row r="193" spans="1:11" ht="12.75" x14ac:dyDescent="0.2">
      <c r="A193" s="49">
        <v>12</v>
      </c>
      <c r="B193" s="49">
        <v>2</v>
      </c>
      <c r="C193" s="49">
        <v>23.688831305309741</v>
      </c>
      <c r="D193" s="49">
        <v>0</v>
      </c>
      <c r="E193" s="49">
        <v>4.1399999999999997</v>
      </c>
      <c r="F193" s="49">
        <v>3</v>
      </c>
      <c r="G193" s="49">
        <v>0</v>
      </c>
      <c r="H193" s="49">
        <v>0.24657356194690422</v>
      </c>
      <c r="I193" s="49">
        <v>-8.2300884955752884E-2</v>
      </c>
      <c r="J193" s="49">
        <v>0</v>
      </c>
      <c r="K193" s="49">
        <v>-0.27158241150442475</v>
      </c>
    </row>
    <row r="194" spans="1:11" ht="12.75" x14ac:dyDescent="0.2">
      <c r="A194" s="50">
        <v>12</v>
      </c>
      <c r="B194" s="50">
        <v>2</v>
      </c>
      <c r="C194" s="50">
        <v>25.565670907079664</v>
      </c>
      <c r="D194" s="50">
        <v>0</v>
      </c>
      <c r="E194" s="50">
        <v>3.6</v>
      </c>
      <c r="F194" s="50">
        <v>2</v>
      </c>
      <c r="G194" s="50">
        <v>0</v>
      </c>
      <c r="H194" s="50">
        <v>0.22928097345132642</v>
      </c>
      <c r="I194" s="50">
        <v>-6.9200774336282995</v>
      </c>
      <c r="J194" s="50">
        <v>0</v>
      </c>
      <c r="K194" s="50">
        <v>-5.1699115044247602E-2</v>
      </c>
    </row>
    <row r="195" spans="1:11" ht="12.75" x14ac:dyDescent="0.2">
      <c r="A195" s="51">
        <v>12</v>
      </c>
      <c r="B195" s="51">
        <v>2</v>
      </c>
      <c r="C195" s="51">
        <v>27.82659845132736</v>
      </c>
      <c r="D195" s="51">
        <v>0</v>
      </c>
      <c r="E195" s="51">
        <v>1.78</v>
      </c>
      <c r="F195" s="51">
        <v>2</v>
      </c>
      <c r="G195" s="51">
        <v>0</v>
      </c>
      <c r="H195" s="51">
        <v>0.29848506637168254</v>
      </c>
      <c r="I195" s="51">
        <v>-3.8657632743362811</v>
      </c>
      <c r="J195" s="51">
        <v>25.087951327433622</v>
      </c>
      <c r="K195" s="51">
        <v>-0.34136559734513289</v>
      </c>
    </row>
    <row r="196" spans="1:11" ht="12.75" x14ac:dyDescent="0.2">
      <c r="A196" s="48">
        <v>12</v>
      </c>
      <c r="B196" s="48">
        <v>3</v>
      </c>
      <c r="C196" s="48">
        <v>16.035777777777778</v>
      </c>
      <c r="D196" s="48">
        <v>0</v>
      </c>
      <c r="E196" s="48">
        <v>3.98</v>
      </c>
      <c r="F196" s="48">
        <v>4</v>
      </c>
      <c r="G196" s="48">
        <v>0</v>
      </c>
      <c r="H196" s="48">
        <v>0.27200000000000002</v>
      </c>
      <c r="I196" s="48">
        <v>-1.8518518518518504E-2</v>
      </c>
      <c r="J196" s="48">
        <v>0</v>
      </c>
      <c r="K196" s="48">
        <v>-0.28259259259259256</v>
      </c>
    </row>
    <row r="197" spans="1:11" ht="12.75" x14ac:dyDescent="0.2">
      <c r="A197" s="49">
        <v>12</v>
      </c>
      <c r="B197" s="49">
        <v>3</v>
      </c>
      <c r="C197" s="49">
        <v>11.684185185185187</v>
      </c>
      <c r="D197" s="49">
        <v>0</v>
      </c>
      <c r="E197" s="49">
        <v>4.72</v>
      </c>
      <c r="F197" s="49">
        <v>4</v>
      </c>
      <c r="G197" s="49">
        <v>0.13837037037037037</v>
      </c>
      <c r="H197" s="49">
        <v>5.7666666666666679E-2</v>
      </c>
      <c r="I197" s="49">
        <v>-0.52962962962962967</v>
      </c>
      <c r="J197" s="49">
        <v>7.4265925925925922</v>
      </c>
      <c r="K197" s="49">
        <v>-3.0111111111111151E-2</v>
      </c>
    </row>
    <row r="198" spans="1:11" ht="12.75" x14ac:dyDescent="0.2">
      <c r="A198" s="50">
        <v>12</v>
      </c>
      <c r="B198" s="50">
        <v>3</v>
      </c>
      <c r="C198" s="50">
        <v>16.472592592592594</v>
      </c>
      <c r="D198" s="50">
        <v>1</v>
      </c>
      <c r="E198" s="50">
        <v>6.01</v>
      </c>
      <c r="F198" s="50">
        <v>3</v>
      </c>
      <c r="G198" s="50">
        <v>0</v>
      </c>
      <c r="H198" s="50">
        <v>0.28129629629629621</v>
      </c>
      <c r="I198" s="50">
        <v>-20.107407407407408</v>
      </c>
      <c r="J198" s="50">
        <v>59.471296296296295</v>
      </c>
      <c r="K198" s="50">
        <v>0.2844444444444445</v>
      </c>
    </row>
    <row r="199" spans="1:11" ht="12.75" x14ac:dyDescent="0.2">
      <c r="A199" s="49">
        <v>12</v>
      </c>
      <c r="B199" s="49">
        <v>3</v>
      </c>
      <c r="C199" s="49">
        <v>16.595740740740737</v>
      </c>
      <c r="D199" s="49">
        <v>0</v>
      </c>
      <c r="E199" s="49">
        <v>4.99</v>
      </c>
      <c r="F199" s="49">
        <v>3</v>
      </c>
      <c r="G199" s="49">
        <v>3.1259259259259257E-2</v>
      </c>
      <c r="H199" s="49">
        <v>0.15870370370370368</v>
      </c>
      <c r="I199" s="49">
        <v>-11.348148148148148</v>
      </c>
      <c r="J199" s="49">
        <v>1.7234814814814814</v>
      </c>
      <c r="K199" s="49">
        <v>-0.28985185185185181</v>
      </c>
    </row>
    <row r="200" spans="1:11" ht="12.75" x14ac:dyDescent="0.2">
      <c r="A200" s="50">
        <v>12</v>
      </c>
      <c r="B200" s="50">
        <v>3</v>
      </c>
      <c r="C200" s="50">
        <v>14.175740740740743</v>
      </c>
      <c r="D200" s="50">
        <v>0</v>
      </c>
      <c r="E200" s="50">
        <v>2.0299999999999998</v>
      </c>
      <c r="F200" s="50">
        <v>2</v>
      </c>
      <c r="G200" s="50">
        <v>3.3296296296296296E-2</v>
      </c>
      <c r="H200" s="50">
        <v>0.128</v>
      </c>
      <c r="I200" s="50">
        <v>-2.6111111111111094</v>
      </c>
      <c r="J200" s="50">
        <v>29.385185185185179</v>
      </c>
      <c r="K200" s="50">
        <v>-0.25414814814814823</v>
      </c>
    </row>
    <row r="201" spans="1:11" ht="12.75" x14ac:dyDescent="0.2">
      <c r="A201" s="51">
        <v>12</v>
      </c>
      <c r="B201" s="51">
        <v>3</v>
      </c>
      <c r="C201" s="51">
        <v>9.1939259259259281</v>
      </c>
      <c r="D201" s="51">
        <v>0</v>
      </c>
      <c r="E201" s="51">
        <v>3.54</v>
      </c>
      <c r="F201" s="51">
        <v>2</v>
      </c>
      <c r="G201" s="51">
        <v>3.3037037037037031E-2</v>
      </c>
      <c r="H201" s="51">
        <v>7.637037037037038E-2</v>
      </c>
      <c r="I201" s="51">
        <v>-6.1407407407407408</v>
      </c>
      <c r="J201" s="51">
        <v>33.056481481481484</v>
      </c>
      <c r="K201" s="51">
        <v>-3.1407407407407328E-2</v>
      </c>
    </row>
    <row r="202" spans="1:11" ht="12.75" x14ac:dyDescent="0.2">
      <c r="A202" s="48">
        <v>13</v>
      </c>
      <c r="B202" s="48">
        <v>1</v>
      </c>
      <c r="C202" s="48">
        <v>18.273315789473688</v>
      </c>
      <c r="D202" s="48">
        <v>1</v>
      </c>
      <c r="E202" s="48">
        <v>23.44</v>
      </c>
      <c r="F202" s="48">
        <v>4</v>
      </c>
      <c r="G202" s="48">
        <v>1.5552631578947368E-2</v>
      </c>
      <c r="H202" s="48">
        <v>0.28568421052631582</v>
      </c>
      <c r="I202" s="48">
        <v>-0.21052631578947362</v>
      </c>
      <c r="J202" s="48">
        <v>20.577578947368419</v>
      </c>
      <c r="K202" s="48">
        <v>-0.24634210526315781</v>
      </c>
    </row>
    <row r="203" spans="1:11" ht="12.75" x14ac:dyDescent="0.2">
      <c r="A203" s="49">
        <v>13</v>
      </c>
      <c r="B203" s="49">
        <v>1</v>
      </c>
      <c r="C203" s="49">
        <v>9.6676578947368412</v>
      </c>
      <c r="D203" s="49">
        <v>0</v>
      </c>
      <c r="E203" s="49">
        <v>8.4</v>
      </c>
      <c r="F203" s="49">
        <v>4</v>
      </c>
      <c r="G203" s="49">
        <v>0.10068421052631578</v>
      </c>
      <c r="H203" s="49">
        <v>0.10828947368421053</v>
      </c>
      <c r="I203" s="49">
        <v>-13.397368421052631</v>
      </c>
      <c r="J203" s="49">
        <v>30.919921052631576</v>
      </c>
      <c r="K203" s="49">
        <v>6.2684210526315787E-2</v>
      </c>
    </row>
    <row r="204" spans="1:11" ht="12.75" x14ac:dyDescent="0.2">
      <c r="A204" s="50">
        <v>13</v>
      </c>
      <c r="B204" s="50">
        <v>1</v>
      </c>
      <c r="C204" s="50">
        <v>25.787736842105264</v>
      </c>
      <c r="D204" s="50">
        <v>0</v>
      </c>
      <c r="E204" s="50">
        <v>3.4</v>
      </c>
      <c r="F204" s="50">
        <v>3</v>
      </c>
      <c r="G204" s="50">
        <v>2.3684210526315788E-4</v>
      </c>
      <c r="H204" s="50">
        <v>0.56984210526315759</v>
      </c>
      <c r="I204" s="50">
        <v>-10.168421052631579</v>
      </c>
      <c r="J204" s="50">
        <v>35.480710526315782</v>
      </c>
      <c r="K204" s="50">
        <v>-0.1658421052631579</v>
      </c>
    </row>
    <row r="205" spans="1:11" ht="12.75" x14ac:dyDescent="0.2">
      <c r="A205" s="49">
        <v>13</v>
      </c>
      <c r="B205" s="49">
        <v>1</v>
      </c>
      <c r="C205" s="49">
        <v>13.587026315789471</v>
      </c>
      <c r="D205" s="49">
        <v>0</v>
      </c>
      <c r="E205" s="49">
        <v>3.32</v>
      </c>
      <c r="F205" s="49">
        <v>3</v>
      </c>
      <c r="G205" s="49">
        <v>2.8131578947368421E-2</v>
      </c>
      <c r="H205" s="49">
        <v>4.4947368421052639E-2</v>
      </c>
      <c r="I205" s="49">
        <v>-4.210526315789475E-2</v>
      </c>
      <c r="J205" s="49">
        <v>28.544289473684206</v>
      </c>
      <c r="K205" s="49">
        <v>-0.35678947368421049</v>
      </c>
    </row>
    <row r="206" spans="1:11" ht="12.75" x14ac:dyDescent="0.2">
      <c r="A206" s="50">
        <v>13</v>
      </c>
      <c r="B206" s="50">
        <v>1</v>
      </c>
      <c r="C206" s="50">
        <v>9.1019736842105257</v>
      </c>
      <c r="D206" s="50">
        <v>0</v>
      </c>
      <c r="E206" s="50">
        <v>3.29</v>
      </c>
      <c r="F206" s="50">
        <v>2</v>
      </c>
      <c r="G206" s="50">
        <v>2.5052631578947368E-2</v>
      </c>
      <c r="H206" s="50">
        <v>8.8710526315789476E-2</v>
      </c>
      <c r="I206" s="50">
        <v>-19.38684210526316</v>
      </c>
      <c r="J206" s="50">
        <v>23.890421052631574</v>
      </c>
      <c r="K206" s="50">
        <v>-4.9210526315788374E-3</v>
      </c>
    </row>
    <row r="207" spans="1:11" ht="12.75" x14ac:dyDescent="0.2">
      <c r="A207" s="51">
        <v>13</v>
      </c>
      <c r="B207" s="51">
        <v>1</v>
      </c>
      <c r="C207" s="51">
        <v>8.6891052631578933</v>
      </c>
      <c r="D207" s="51">
        <v>0</v>
      </c>
      <c r="E207" s="51">
        <v>1.78</v>
      </c>
      <c r="F207" s="51">
        <v>2</v>
      </c>
      <c r="G207" s="51">
        <v>0</v>
      </c>
      <c r="H207" s="51">
        <v>5.4210526315789466E-2</v>
      </c>
      <c r="I207" s="51">
        <v>7.8947368421052613E-2</v>
      </c>
      <c r="J207" s="51">
        <v>24.728000000000002</v>
      </c>
      <c r="K207" s="51">
        <v>-0.3738157894736841</v>
      </c>
    </row>
    <row r="208" spans="1:11" ht="12.75" x14ac:dyDescent="0.2">
      <c r="A208" s="48">
        <v>13</v>
      </c>
      <c r="B208" s="48">
        <v>2</v>
      </c>
      <c r="C208" s="48">
        <v>19.933105840846732</v>
      </c>
      <c r="D208" s="48">
        <v>0</v>
      </c>
      <c r="E208" s="48">
        <v>8.0500000000000007</v>
      </c>
      <c r="F208" s="48">
        <v>4</v>
      </c>
      <c r="G208" s="48">
        <v>0</v>
      </c>
      <c r="H208" s="48">
        <v>0.26322148177185128</v>
      </c>
      <c r="I208" s="48">
        <v>0.34982359858878953</v>
      </c>
      <c r="J208" s="48">
        <v>26.721153273226189</v>
      </c>
      <c r="K208" s="48">
        <v>0.23525362602900701</v>
      </c>
    </row>
    <row r="209" spans="1:11" ht="12.75" x14ac:dyDescent="0.2">
      <c r="A209" s="49">
        <v>13</v>
      </c>
      <c r="B209" s="49">
        <v>2</v>
      </c>
      <c r="C209" s="49">
        <v>27.225206193649527</v>
      </c>
      <c r="D209" s="49">
        <v>0</v>
      </c>
      <c r="E209" s="49">
        <v>3.79</v>
      </c>
      <c r="F209" s="49">
        <v>4</v>
      </c>
      <c r="G209" s="49">
        <v>0</v>
      </c>
      <c r="H209" s="49">
        <v>0.27621364170913382</v>
      </c>
      <c r="I209" s="49">
        <v>-7.702626421011403</v>
      </c>
      <c r="J209" s="49">
        <v>0</v>
      </c>
      <c r="K209" s="49">
        <v>-4.984868678949423E-2</v>
      </c>
    </row>
    <row r="210" spans="1:11" ht="12.75" x14ac:dyDescent="0.2">
      <c r="A210" s="50">
        <v>13</v>
      </c>
      <c r="B210" s="50">
        <v>2</v>
      </c>
      <c r="C210" s="50">
        <v>29.883654645237183</v>
      </c>
      <c r="D210" s="50">
        <v>0</v>
      </c>
      <c r="E210" s="50">
        <v>3.85</v>
      </c>
      <c r="F210" s="50">
        <v>3</v>
      </c>
      <c r="G210" s="50">
        <v>0</v>
      </c>
      <c r="H210" s="50">
        <v>0.30622971383771092</v>
      </c>
      <c r="I210" s="50">
        <v>-6.8502156017248099</v>
      </c>
      <c r="J210" s="50">
        <v>36.791608780870227</v>
      </c>
      <c r="K210" s="50">
        <v>0.20424068992551983</v>
      </c>
    </row>
    <row r="211" spans="1:11" ht="12.75" x14ac:dyDescent="0.2">
      <c r="A211" s="49">
        <v>13</v>
      </c>
      <c r="B211" s="49">
        <v>2</v>
      </c>
      <c r="C211" s="49">
        <v>30.349644845158814</v>
      </c>
      <c r="D211" s="49">
        <v>1</v>
      </c>
      <c r="E211" s="49">
        <v>4.7</v>
      </c>
      <c r="F211" s="49">
        <v>3</v>
      </c>
      <c r="G211" s="49">
        <v>0</v>
      </c>
      <c r="H211" s="49">
        <v>0.29343551548412183</v>
      </c>
      <c r="I211" s="49">
        <v>-1.5155233241865953</v>
      </c>
      <c r="J211" s="49">
        <v>98.428974519796213</v>
      </c>
      <c r="K211" s="49">
        <v>-3.5732653861230868E-2</v>
      </c>
    </row>
    <row r="212" spans="1:11" ht="12.75" x14ac:dyDescent="0.2">
      <c r="A212" s="50">
        <v>13</v>
      </c>
      <c r="B212" s="50">
        <v>2</v>
      </c>
      <c r="C212" s="50">
        <v>30.212862406899525</v>
      </c>
      <c r="D212" s="50">
        <v>0</v>
      </c>
      <c r="E212" s="50">
        <v>3.03</v>
      </c>
      <c r="F212" s="50">
        <v>2</v>
      </c>
      <c r="G212" s="50">
        <v>0</v>
      </c>
      <c r="H212" s="50">
        <v>0.29945433163465618</v>
      </c>
      <c r="I212" s="50">
        <v>-8.3555076440612268</v>
      </c>
      <c r="J212" s="50">
        <v>39.535020384163055</v>
      </c>
      <c r="K212" s="50">
        <v>-3.064994119952957E-2</v>
      </c>
    </row>
    <row r="213" spans="1:11" ht="12.75" x14ac:dyDescent="0.2">
      <c r="A213" s="51">
        <v>13</v>
      </c>
      <c r="B213" s="51">
        <v>2</v>
      </c>
      <c r="C213" s="51">
        <v>27.665030576244611</v>
      </c>
      <c r="D213" s="51">
        <v>2</v>
      </c>
      <c r="E213" s="51">
        <v>6.34</v>
      </c>
      <c r="F213" s="51">
        <v>2</v>
      </c>
      <c r="G213" s="51">
        <v>6.3354370834966561E-2</v>
      </c>
      <c r="H213" s="51">
        <v>0.31743159545276239</v>
      </c>
      <c r="I213" s="51">
        <v>-8.392042336338692</v>
      </c>
      <c r="J213" s="51">
        <v>0</v>
      </c>
      <c r="K213" s="51">
        <v>-8.5713053704429651E-2</v>
      </c>
    </row>
    <row r="214" spans="1:11" ht="12.75" x14ac:dyDescent="0.2">
      <c r="A214" s="48">
        <v>13</v>
      </c>
      <c r="B214" s="48">
        <v>3</v>
      </c>
      <c r="C214" s="48">
        <v>17.403621621621621</v>
      </c>
      <c r="D214" s="48">
        <v>0</v>
      </c>
      <c r="E214" s="48">
        <v>3.62</v>
      </c>
      <c r="F214" s="48">
        <v>4</v>
      </c>
      <c r="G214" s="48">
        <v>0</v>
      </c>
      <c r="H214" s="48">
        <v>0.23883783783783788</v>
      </c>
      <c r="I214" s="48">
        <v>-14.718918918918913</v>
      </c>
      <c r="J214" s="48">
        <v>0</v>
      </c>
      <c r="K214" s="48">
        <v>-0.35105405405405404</v>
      </c>
    </row>
    <row r="215" spans="1:11" ht="12.75" x14ac:dyDescent="0.2">
      <c r="A215" s="49">
        <v>13</v>
      </c>
      <c r="B215" s="49">
        <v>3</v>
      </c>
      <c r="C215" s="49">
        <v>11.28427027027027</v>
      </c>
      <c r="D215" s="49">
        <v>0</v>
      </c>
      <c r="E215" s="49">
        <v>5.58</v>
      </c>
      <c r="F215" s="49">
        <v>4</v>
      </c>
      <c r="G215" s="49">
        <v>5.4108108108108115E-2</v>
      </c>
      <c r="H215" s="49">
        <v>0.14708108108108114</v>
      </c>
      <c r="I215" s="49">
        <v>-14.581081081081072</v>
      </c>
      <c r="J215" s="49">
        <v>16.060243243243242</v>
      </c>
      <c r="K215" s="49">
        <v>-1.2594594594594581E-2</v>
      </c>
    </row>
    <row r="216" spans="1:11" ht="12.75" x14ac:dyDescent="0.2">
      <c r="A216" s="50">
        <v>13</v>
      </c>
      <c r="B216" s="50">
        <v>3</v>
      </c>
      <c r="C216" s="50">
        <v>17.910513513513514</v>
      </c>
      <c r="D216" s="50">
        <v>0</v>
      </c>
      <c r="E216" s="50">
        <v>5.75</v>
      </c>
      <c r="F216" s="50">
        <v>3</v>
      </c>
      <c r="G216" s="50">
        <v>3.491891891891892E-2</v>
      </c>
      <c r="H216" s="50">
        <v>0.21345945945945941</v>
      </c>
      <c r="I216" s="50">
        <v>-8.9054054054054053</v>
      </c>
      <c r="J216" s="50">
        <v>17.10729729729729</v>
      </c>
      <c r="K216" s="50">
        <v>-0.45689189189189183</v>
      </c>
    </row>
    <row r="217" spans="1:11" ht="12.75" x14ac:dyDescent="0.2">
      <c r="A217" s="49">
        <v>13</v>
      </c>
      <c r="B217" s="49">
        <v>3</v>
      </c>
      <c r="C217" s="49">
        <v>14.07254054054054</v>
      </c>
      <c r="D217" s="49">
        <v>0</v>
      </c>
      <c r="E217" s="49">
        <v>2.88</v>
      </c>
      <c r="F217" s="49">
        <v>3</v>
      </c>
      <c r="G217" s="49">
        <v>4.6216216216216209E-2</v>
      </c>
      <c r="H217" s="49">
        <v>0.15194594594594593</v>
      </c>
      <c r="I217" s="49">
        <v>0.95135135135135118</v>
      </c>
      <c r="J217" s="49">
        <v>20.765351351351352</v>
      </c>
      <c r="K217" s="49">
        <v>-0.36581081081081079</v>
      </c>
    </row>
    <row r="218" spans="1:11" ht="12.75" x14ac:dyDescent="0.2">
      <c r="A218" s="50">
        <v>13</v>
      </c>
      <c r="B218" s="50">
        <v>3</v>
      </c>
      <c r="C218" s="50">
        <v>11.960324324324322</v>
      </c>
      <c r="D218" s="50">
        <v>0</v>
      </c>
      <c r="E218" s="50">
        <v>3.37</v>
      </c>
      <c r="F218" s="50">
        <v>2</v>
      </c>
      <c r="G218" s="50">
        <v>3.2675675675675669E-2</v>
      </c>
      <c r="H218" s="50">
        <v>0.17605405405405408</v>
      </c>
      <c r="I218" s="50">
        <v>-14.854054054054052</v>
      </c>
      <c r="J218" s="50">
        <v>33.691621621621621</v>
      </c>
      <c r="K218" s="50">
        <v>-0.2884594594594595</v>
      </c>
    </row>
    <row r="219" spans="1:11" ht="12.75" x14ac:dyDescent="0.2">
      <c r="A219" s="51">
        <v>13</v>
      </c>
      <c r="B219" s="51">
        <v>3</v>
      </c>
      <c r="C219" s="51">
        <v>13.169675675675679</v>
      </c>
      <c r="D219" s="51">
        <v>0</v>
      </c>
      <c r="E219" s="51">
        <v>2.57</v>
      </c>
      <c r="F219" s="51">
        <v>2</v>
      </c>
      <c r="G219" s="51">
        <v>6.0756756756756763E-2</v>
      </c>
      <c r="H219" s="51">
        <v>0.23740540540540542</v>
      </c>
      <c r="I219" s="51">
        <v>-5.4189189189189237</v>
      </c>
      <c r="J219" s="51">
        <v>62.120891891891894</v>
      </c>
      <c r="K219" s="51">
        <v>-5.7135135135135122E-2</v>
      </c>
    </row>
    <row r="220" spans="1:11" ht="12.75" x14ac:dyDescent="0.2">
      <c r="A220" s="48">
        <v>14</v>
      </c>
      <c r="B220" s="48">
        <v>1</v>
      </c>
      <c r="C220" s="48">
        <v>14.786185185185181</v>
      </c>
      <c r="D220" s="48">
        <v>1</v>
      </c>
      <c r="E220" s="48">
        <v>11.7</v>
      </c>
      <c r="F220" s="48">
        <v>4</v>
      </c>
      <c r="G220" s="48">
        <v>0</v>
      </c>
      <c r="H220" s="48">
        <v>0.14379629629629631</v>
      </c>
      <c r="I220" s="48">
        <v>-0.20740740740740743</v>
      </c>
      <c r="J220" s="48">
        <v>8.8787777777777777</v>
      </c>
      <c r="K220" s="48">
        <v>-0.30853703703703705</v>
      </c>
    </row>
    <row r="221" spans="1:11" ht="12.75" x14ac:dyDescent="0.2">
      <c r="A221" s="49">
        <v>14</v>
      </c>
      <c r="B221" s="49">
        <v>1</v>
      </c>
      <c r="C221" s="49">
        <v>5.1504074074074069</v>
      </c>
      <c r="D221" s="49">
        <v>0</v>
      </c>
      <c r="E221" s="49">
        <v>5.2</v>
      </c>
      <c r="F221" s="49">
        <v>4</v>
      </c>
      <c r="G221" s="49">
        <v>0.16351851851851856</v>
      </c>
      <c r="H221" s="49">
        <v>6.1388888888888889E-2</v>
      </c>
      <c r="I221" s="49">
        <v>-11.642592592592594</v>
      </c>
      <c r="J221" s="49">
        <v>13.54511111111111</v>
      </c>
      <c r="K221" s="49">
        <v>0.32700000000000007</v>
      </c>
    </row>
    <row r="222" spans="1:11" ht="12.75" x14ac:dyDescent="0.2">
      <c r="A222" s="50">
        <v>14</v>
      </c>
      <c r="B222" s="50">
        <v>1</v>
      </c>
      <c r="C222" s="50">
        <v>17.469888888888892</v>
      </c>
      <c r="D222" s="50">
        <v>0</v>
      </c>
      <c r="E222" s="50">
        <v>6.79</v>
      </c>
      <c r="F222" s="50">
        <v>3</v>
      </c>
      <c r="G222" s="50">
        <v>0</v>
      </c>
      <c r="H222" s="50">
        <v>0.15640740740740741</v>
      </c>
      <c r="I222" s="50">
        <v>-5.840740740740741</v>
      </c>
      <c r="J222" s="50">
        <v>8.5067037037037032</v>
      </c>
      <c r="K222" s="50">
        <v>-0.10716666666666665</v>
      </c>
    </row>
    <row r="223" spans="1:11" ht="12.75" x14ac:dyDescent="0.2">
      <c r="A223" s="49">
        <v>14</v>
      </c>
      <c r="B223" s="49">
        <v>1</v>
      </c>
      <c r="C223" s="49">
        <v>11.793388888888886</v>
      </c>
      <c r="D223" s="49">
        <v>0</v>
      </c>
      <c r="E223" s="49">
        <v>3.79</v>
      </c>
      <c r="F223" s="49">
        <v>3</v>
      </c>
      <c r="G223" s="49">
        <v>3.861111111111111E-2</v>
      </c>
      <c r="H223" s="49">
        <v>9.1259259259259262E-2</v>
      </c>
      <c r="I223" s="49">
        <v>-0.48518518518518522</v>
      </c>
      <c r="J223" s="49">
        <v>42.866814814814816</v>
      </c>
      <c r="K223" s="49">
        <v>-0.28051851851851856</v>
      </c>
    </row>
    <row r="224" spans="1:11" ht="12.75" x14ac:dyDescent="0.2">
      <c r="A224" s="50">
        <v>14</v>
      </c>
      <c r="B224" s="50">
        <v>1</v>
      </c>
      <c r="C224" s="50">
        <v>12.173185185185186</v>
      </c>
      <c r="D224" s="50">
        <v>1</v>
      </c>
      <c r="E224" s="50">
        <v>2.86</v>
      </c>
      <c r="F224" s="50">
        <v>2</v>
      </c>
      <c r="G224" s="50">
        <v>0</v>
      </c>
      <c r="H224" s="50">
        <v>0.10733333333333332</v>
      </c>
      <c r="I224" s="50">
        <v>-11.659259259259251</v>
      </c>
      <c r="J224" s="50">
        <v>43.04646296296297</v>
      </c>
      <c r="K224" s="50">
        <v>-0.47096296296296292</v>
      </c>
    </row>
    <row r="225" spans="1:11" ht="12.75" x14ac:dyDescent="0.2">
      <c r="A225" s="51">
        <v>14</v>
      </c>
      <c r="B225" s="51">
        <v>1</v>
      </c>
      <c r="C225" s="51">
        <v>13.990851851851849</v>
      </c>
      <c r="D225" s="51">
        <v>2</v>
      </c>
      <c r="E225" s="51">
        <v>6.02</v>
      </c>
      <c r="F225" s="51">
        <v>2</v>
      </c>
      <c r="G225" s="51">
        <v>2.0555555555555553E-3</v>
      </c>
      <c r="H225" s="51">
        <v>0.15066666666666664</v>
      </c>
      <c r="I225" s="51">
        <v>-10.318518518518518</v>
      </c>
      <c r="J225" s="51">
        <v>2.1810740740740737</v>
      </c>
      <c r="K225" s="51">
        <v>-0.25155555555555553</v>
      </c>
    </row>
    <row r="226" spans="1:11" ht="12.75" x14ac:dyDescent="0.2">
      <c r="A226" s="48">
        <v>14</v>
      </c>
      <c r="B226" s="48">
        <v>2</v>
      </c>
      <c r="C226" s="48">
        <v>15.992269357495891</v>
      </c>
      <c r="D226" s="48">
        <v>0</v>
      </c>
      <c r="E226" s="48">
        <v>4.43</v>
      </c>
      <c r="F226" s="48">
        <v>4</v>
      </c>
      <c r="G226" s="48">
        <v>4.6945222405271728E-2</v>
      </c>
      <c r="H226" s="48">
        <v>0.170506589785833</v>
      </c>
      <c r="I226" s="48">
        <v>-1.4360790774299863</v>
      </c>
      <c r="J226" s="48">
        <v>14.139497940691921</v>
      </c>
      <c r="K226" s="48">
        <v>0.4063381383855027</v>
      </c>
    </row>
    <row r="227" spans="1:11" ht="12.75" x14ac:dyDescent="0.2">
      <c r="A227" s="49">
        <v>14</v>
      </c>
      <c r="B227" s="49">
        <v>2</v>
      </c>
      <c r="C227" s="49">
        <v>19.168800658978519</v>
      </c>
      <c r="D227" s="49">
        <v>0</v>
      </c>
      <c r="E227" s="49">
        <v>5.33</v>
      </c>
      <c r="F227" s="49">
        <v>4</v>
      </c>
      <c r="G227" s="49">
        <v>0</v>
      </c>
      <c r="H227" s="49">
        <v>0.15994810543657198</v>
      </c>
      <c r="I227" s="49">
        <v>-3.3569604612850106</v>
      </c>
      <c r="J227" s="49">
        <v>3.3291227347611203</v>
      </c>
      <c r="K227" s="49">
        <v>-5.7153212520592918E-2</v>
      </c>
    </row>
    <row r="228" spans="1:11" ht="12.75" x14ac:dyDescent="0.2">
      <c r="A228" s="50">
        <v>14</v>
      </c>
      <c r="B228" s="50">
        <v>2</v>
      </c>
      <c r="C228" s="50">
        <v>21.825616556836916</v>
      </c>
      <c r="D228" s="50">
        <v>0</v>
      </c>
      <c r="E228" s="50">
        <v>3.01</v>
      </c>
      <c r="F228" s="50">
        <v>3</v>
      </c>
      <c r="G228" s="50">
        <v>0</v>
      </c>
      <c r="H228" s="50">
        <v>0.20019398682042899</v>
      </c>
      <c r="I228" s="50">
        <v>-4.4156507413509098</v>
      </c>
      <c r="J228" s="50">
        <v>0</v>
      </c>
      <c r="K228" s="50">
        <v>-0.16583813838550274</v>
      </c>
    </row>
    <row r="229" spans="1:11" ht="12.75" x14ac:dyDescent="0.2">
      <c r="A229" s="49">
        <v>14</v>
      </c>
      <c r="B229" s="49">
        <v>2</v>
      </c>
      <c r="C229" s="49">
        <v>22.301613673805658</v>
      </c>
      <c r="D229" s="49">
        <v>0</v>
      </c>
      <c r="E229" s="49">
        <v>4.8499999999999996</v>
      </c>
      <c r="F229" s="49">
        <v>3</v>
      </c>
      <c r="G229" s="49">
        <v>0</v>
      </c>
      <c r="H229" s="49">
        <v>0.18955766062602972</v>
      </c>
      <c r="I229" s="49">
        <v>-5.6340609555189376</v>
      </c>
      <c r="J229" s="49">
        <v>32.521109555189433</v>
      </c>
      <c r="K229" s="49">
        <v>-4.5200576606260374E-2</v>
      </c>
    </row>
    <row r="230" spans="1:11" ht="12.75" x14ac:dyDescent="0.2">
      <c r="A230" s="50">
        <v>14</v>
      </c>
      <c r="B230" s="50">
        <v>2</v>
      </c>
      <c r="C230" s="50">
        <v>21.699088550247147</v>
      </c>
      <c r="D230" s="50">
        <v>1</v>
      </c>
      <c r="E230" s="50">
        <v>8.02</v>
      </c>
      <c r="F230" s="50">
        <v>2</v>
      </c>
      <c r="G230" s="50">
        <v>0</v>
      </c>
      <c r="H230" s="50">
        <v>0.1678200164744641</v>
      </c>
      <c r="I230" s="50">
        <v>-2.5752471169686935</v>
      </c>
      <c r="J230" s="50">
        <v>121.37443739703437</v>
      </c>
      <c r="K230" s="50">
        <v>-0.20670716639209244</v>
      </c>
    </row>
    <row r="231" spans="1:11" ht="12.75" x14ac:dyDescent="0.2">
      <c r="A231" s="51">
        <v>14</v>
      </c>
      <c r="B231" s="51">
        <v>2</v>
      </c>
      <c r="C231" s="51">
        <v>22.166595963756148</v>
      </c>
      <c r="D231" s="51">
        <v>0</v>
      </c>
      <c r="E231" s="51">
        <v>2.92</v>
      </c>
      <c r="F231" s="51">
        <v>2</v>
      </c>
      <c r="G231" s="51">
        <v>0</v>
      </c>
      <c r="H231" s="51">
        <v>0.18076235584843589</v>
      </c>
      <c r="I231" s="51">
        <v>-4.8994233937397107</v>
      </c>
      <c r="J231" s="51">
        <v>0.9717557660626025</v>
      </c>
      <c r="K231" s="51">
        <v>3.2667215815486018E-2</v>
      </c>
    </row>
    <row r="232" spans="1:11" ht="12.75" x14ac:dyDescent="0.2">
      <c r="A232" s="48">
        <v>14</v>
      </c>
      <c r="B232" s="48">
        <v>3</v>
      </c>
      <c r="C232" s="48">
        <v>14.96792156862745</v>
      </c>
      <c r="D232" s="48">
        <v>0</v>
      </c>
      <c r="E232" s="48">
        <v>3.9</v>
      </c>
      <c r="F232" s="48">
        <v>4</v>
      </c>
      <c r="G232" s="48">
        <v>0</v>
      </c>
      <c r="H232" s="48">
        <v>0.15254901960784312</v>
      </c>
      <c r="I232" s="48">
        <v>-0.14117647058823521</v>
      </c>
      <c r="J232" s="48">
        <v>1.6688039215686277</v>
      </c>
      <c r="K232" s="48">
        <v>-0.26335294117647051</v>
      </c>
    </row>
    <row r="233" spans="1:11" ht="12.75" x14ac:dyDescent="0.2">
      <c r="A233" s="49">
        <v>14</v>
      </c>
      <c r="B233" s="49">
        <v>3</v>
      </c>
      <c r="C233" s="49">
        <v>11.192411764705884</v>
      </c>
      <c r="D233" s="49">
        <v>0</v>
      </c>
      <c r="E233" s="49">
        <v>10.02</v>
      </c>
      <c r="F233" s="49">
        <v>4</v>
      </c>
      <c r="G233" s="49">
        <v>4.0529411764705883E-2</v>
      </c>
      <c r="H233" s="49">
        <v>0.10990196078431375</v>
      </c>
      <c r="I233" s="49">
        <v>-39.080392156862736</v>
      </c>
      <c r="J233" s="49">
        <v>13.378196078431372</v>
      </c>
      <c r="K233" s="49">
        <v>7.7823529411764666E-2</v>
      </c>
    </row>
    <row r="234" spans="1:11" ht="12.75" x14ac:dyDescent="0.2">
      <c r="A234" s="50">
        <v>14</v>
      </c>
      <c r="B234" s="50">
        <v>3</v>
      </c>
      <c r="C234" s="50">
        <v>13.444647058823527</v>
      </c>
      <c r="D234" s="50">
        <v>0</v>
      </c>
      <c r="E234" s="50">
        <v>7.95</v>
      </c>
      <c r="F234" s="50">
        <v>3</v>
      </c>
      <c r="G234" s="50">
        <v>2.627450980392157E-2</v>
      </c>
      <c r="H234" s="50">
        <v>0.13717647058823534</v>
      </c>
      <c r="I234" s="50">
        <v>-6.9686274509803932</v>
      </c>
      <c r="J234" s="50">
        <v>28.825803921568628</v>
      </c>
      <c r="K234" s="50">
        <v>-0.53862745098039211</v>
      </c>
    </row>
    <row r="235" spans="1:11" ht="12.75" x14ac:dyDescent="0.2">
      <c r="A235" s="49">
        <v>14</v>
      </c>
      <c r="B235" s="49">
        <v>3</v>
      </c>
      <c r="C235" s="49">
        <v>8.0896862745098037</v>
      </c>
      <c r="D235" s="49">
        <v>0</v>
      </c>
      <c r="E235" s="49">
        <v>5.61</v>
      </c>
      <c r="F235" s="49">
        <v>3</v>
      </c>
      <c r="G235" s="49">
        <v>0.13868627450980392</v>
      </c>
      <c r="H235" s="49">
        <v>5.8294117647058823E-2</v>
      </c>
      <c r="I235" s="49">
        <v>-9.264705882352942</v>
      </c>
      <c r="J235" s="49">
        <v>35.425666666666665</v>
      </c>
      <c r="K235" s="49">
        <v>-0.41768627450980372</v>
      </c>
    </row>
    <row r="236" spans="1:11" ht="12.75" x14ac:dyDescent="0.2">
      <c r="A236" s="50">
        <v>14</v>
      </c>
      <c r="B236" s="50">
        <v>3</v>
      </c>
      <c r="C236" s="50">
        <v>11.462470588235297</v>
      </c>
      <c r="D236" s="50">
        <v>0</v>
      </c>
      <c r="E236" s="50">
        <v>2.23</v>
      </c>
      <c r="F236" s="50">
        <v>2</v>
      </c>
      <c r="G236" s="50">
        <v>4.3254901960784312E-2</v>
      </c>
      <c r="H236" s="50">
        <v>0.14315686274509806</v>
      </c>
      <c r="I236" s="50">
        <v>-2.7666666666666648</v>
      </c>
      <c r="J236" s="50">
        <v>1.2577647058823529</v>
      </c>
      <c r="K236" s="50">
        <v>-0.60988235294117621</v>
      </c>
    </row>
    <row r="237" spans="1:11" ht="12.75" x14ac:dyDescent="0.2">
      <c r="A237" s="51">
        <v>14</v>
      </c>
      <c r="B237" s="51">
        <v>3</v>
      </c>
      <c r="C237" s="51">
        <v>10.312980392156863</v>
      </c>
      <c r="D237" s="51">
        <v>0</v>
      </c>
      <c r="E237" s="51">
        <v>3.02</v>
      </c>
      <c r="F237" s="51">
        <v>2</v>
      </c>
      <c r="G237" s="51">
        <v>0.1185686274509804</v>
      </c>
      <c r="H237" s="51">
        <v>0.10133333333333333</v>
      </c>
      <c r="I237" s="51">
        <v>-12.196078431372557</v>
      </c>
      <c r="J237" s="51">
        <v>0</v>
      </c>
      <c r="K237" s="51">
        <v>0.19241176470588239</v>
      </c>
    </row>
    <row r="238" spans="1:11" ht="12.75" x14ac:dyDescent="0.2">
      <c r="A238" s="48">
        <v>15</v>
      </c>
      <c r="B238" s="48">
        <v>1</v>
      </c>
      <c r="C238" s="48">
        <v>19.774093023255812</v>
      </c>
      <c r="D238" s="48">
        <v>0</v>
      </c>
      <c r="E238" s="48">
        <v>5.37</v>
      </c>
      <c r="F238" s="48">
        <v>4</v>
      </c>
      <c r="G238" s="48">
        <v>5.0697674418604651E-3</v>
      </c>
      <c r="H238" s="48">
        <v>0.23599999999999996</v>
      </c>
      <c r="I238" s="48">
        <v>-6.976744186046528E-3</v>
      </c>
      <c r="J238" s="48">
        <v>122.51660465116279</v>
      </c>
      <c r="K238" s="48">
        <v>0.24697674418604657</v>
      </c>
    </row>
    <row r="239" spans="1:11" ht="12.75" x14ac:dyDescent="0.2">
      <c r="A239" s="49">
        <v>15</v>
      </c>
      <c r="B239" s="49">
        <v>1</v>
      </c>
      <c r="C239" s="49">
        <v>18.423674418604651</v>
      </c>
      <c r="D239" s="49">
        <v>0</v>
      </c>
      <c r="E239" s="49">
        <v>4.05</v>
      </c>
      <c r="F239" s="49">
        <v>4</v>
      </c>
      <c r="G239" s="49">
        <v>2.4627906976744184E-2</v>
      </c>
      <c r="H239" s="49">
        <v>0.22200000000000003</v>
      </c>
      <c r="I239" s="49">
        <v>-16.513953488372085</v>
      </c>
      <c r="J239" s="49">
        <v>1.3378604651162791</v>
      </c>
      <c r="K239" s="49">
        <v>0.2752325581395349</v>
      </c>
    </row>
    <row r="240" spans="1:11" ht="12.75" x14ac:dyDescent="0.2">
      <c r="A240" s="50">
        <v>15</v>
      </c>
      <c r="B240" s="50">
        <v>1</v>
      </c>
      <c r="C240" s="50">
        <v>17.850837209302327</v>
      </c>
      <c r="D240" s="50">
        <v>0</v>
      </c>
      <c r="E240" s="50">
        <v>5.43</v>
      </c>
      <c r="F240" s="50">
        <v>3</v>
      </c>
      <c r="G240" s="50">
        <v>1.5534883720930232E-2</v>
      </c>
      <c r="H240" s="50">
        <v>0.11695348837209302</v>
      </c>
      <c r="I240" s="50">
        <v>-5.1348837209302323</v>
      </c>
      <c r="J240" s="50">
        <v>15.708953488372094</v>
      </c>
      <c r="K240" s="50">
        <v>-0.1797674418604652</v>
      </c>
    </row>
    <row r="241" spans="1:11" ht="12.75" x14ac:dyDescent="0.2">
      <c r="A241" s="49">
        <v>15</v>
      </c>
      <c r="B241" s="49">
        <v>1</v>
      </c>
      <c r="C241" s="49">
        <v>7.5917674418604655</v>
      </c>
      <c r="D241" s="49">
        <v>0</v>
      </c>
      <c r="E241" s="49">
        <v>3.21</v>
      </c>
      <c r="F241" s="49">
        <v>3</v>
      </c>
      <c r="G241" s="49">
        <v>1.4325581395348837E-2</v>
      </c>
      <c r="H241" s="49">
        <v>7.244186046511629E-2</v>
      </c>
      <c r="I241" s="49">
        <v>-18.304651162790698</v>
      </c>
      <c r="J241" s="49">
        <v>55.528465116279072</v>
      </c>
      <c r="K241" s="49">
        <v>0.13060465116279071</v>
      </c>
    </row>
    <row r="242" spans="1:11" ht="12.75" x14ac:dyDescent="0.2">
      <c r="A242" s="50">
        <v>15</v>
      </c>
      <c r="B242" s="50">
        <v>1</v>
      </c>
      <c r="C242" s="50">
        <v>16.257348837209303</v>
      </c>
      <c r="D242" s="50">
        <v>1</v>
      </c>
      <c r="E242" s="50">
        <v>13.4</v>
      </c>
      <c r="F242" s="50">
        <v>2</v>
      </c>
      <c r="G242" s="50">
        <v>2.8604651162790696E-2</v>
      </c>
      <c r="H242" s="50">
        <v>0.12348837209302323</v>
      </c>
      <c r="I242" s="50">
        <v>0.16976744186046508</v>
      </c>
      <c r="J242" s="50">
        <v>140.78190697674415</v>
      </c>
      <c r="K242" s="50">
        <v>0.13806976744186042</v>
      </c>
    </row>
    <row r="243" spans="1:11" ht="12.75" x14ac:dyDescent="0.2">
      <c r="A243" s="51">
        <v>15</v>
      </c>
      <c r="B243" s="51">
        <v>1</v>
      </c>
      <c r="C243" s="51">
        <v>8.3150232558139514</v>
      </c>
      <c r="D243" s="51">
        <v>0</v>
      </c>
      <c r="E243" s="51">
        <v>2.69</v>
      </c>
      <c r="F243" s="51">
        <v>2</v>
      </c>
      <c r="G243" s="51">
        <v>2.0883720930232556E-2</v>
      </c>
      <c r="H243" s="51">
        <v>0.11067441860465117</v>
      </c>
      <c r="I243" s="51">
        <v>-8.804651162790698</v>
      </c>
      <c r="J243" s="51">
        <v>52.994465116279073</v>
      </c>
      <c r="K243" s="51">
        <v>0.35765116279069775</v>
      </c>
    </row>
    <row r="244" spans="1:11" ht="12.75" x14ac:dyDescent="0.2">
      <c r="A244" s="48">
        <v>15</v>
      </c>
      <c r="B244" s="48">
        <v>2</v>
      </c>
      <c r="C244" s="48">
        <v>11.397116673084321</v>
      </c>
      <c r="D244" s="48">
        <v>0</v>
      </c>
      <c r="E244" s="48">
        <v>4.46</v>
      </c>
      <c r="F244" s="48">
        <v>4</v>
      </c>
      <c r="G244" s="48">
        <v>1.1551790527531768E-6</v>
      </c>
      <c r="H244" s="48">
        <v>0.13852791682710788</v>
      </c>
      <c r="I244" s="48">
        <v>-0.53296110897189042</v>
      </c>
      <c r="J244" s="48">
        <v>13.219548710050057</v>
      </c>
      <c r="K244" s="48">
        <v>0.68178090103966349</v>
      </c>
    </row>
    <row r="245" spans="1:11" ht="12.75" x14ac:dyDescent="0.2">
      <c r="A245" s="49">
        <v>15</v>
      </c>
      <c r="B245" s="49">
        <v>2</v>
      </c>
      <c r="C245" s="49">
        <v>23.394082787832112</v>
      </c>
      <c r="D245" s="49">
        <v>0</v>
      </c>
      <c r="E245" s="49">
        <v>6.31</v>
      </c>
      <c r="F245" s="49">
        <v>4</v>
      </c>
      <c r="G245" s="49">
        <v>0</v>
      </c>
      <c r="H245" s="49">
        <v>0.23117096649980629</v>
      </c>
      <c r="I245" s="49">
        <v>-4.8642664613015008</v>
      </c>
      <c r="J245" s="49">
        <v>0</v>
      </c>
      <c r="K245" s="49">
        <v>0.28345128994994173</v>
      </c>
    </row>
    <row r="246" spans="1:11" ht="12.75" x14ac:dyDescent="0.2">
      <c r="A246" s="50">
        <v>15</v>
      </c>
      <c r="B246" s="50">
        <v>2</v>
      </c>
      <c r="C246" s="50">
        <v>26.535988448209494</v>
      </c>
      <c r="D246" s="50">
        <v>0</v>
      </c>
      <c r="E246" s="50">
        <v>3.6</v>
      </c>
      <c r="F246" s="50">
        <v>3</v>
      </c>
      <c r="G246" s="50">
        <v>0</v>
      </c>
      <c r="H246" s="50">
        <v>0.25641932999614758</v>
      </c>
      <c r="I246" s="50">
        <v>-2.4956488255679536</v>
      </c>
      <c r="J246" s="50">
        <v>0</v>
      </c>
      <c r="K246" s="50">
        <v>-1.9850211782826154E-2</v>
      </c>
    </row>
    <row r="247" spans="1:11" ht="12.75" x14ac:dyDescent="0.2">
      <c r="A247" s="49">
        <v>15</v>
      </c>
      <c r="B247" s="49">
        <v>2</v>
      </c>
      <c r="C247" s="49">
        <v>25.051827878321159</v>
      </c>
      <c r="D247" s="49">
        <v>1</v>
      </c>
      <c r="E247" s="49">
        <v>8.1300000000000008</v>
      </c>
      <c r="F247" s="49">
        <v>3</v>
      </c>
      <c r="G247" s="49">
        <v>0</v>
      </c>
      <c r="H247" s="49">
        <v>0.21901193685021336</v>
      </c>
      <c r="I247" s="49">
        <v>-7.4490180978051814</v>
      </c>
      <c r="J247" s="49">
        <v>75.462857142857118</v>
      </c>
      <c r="K247" s="49">
        <v>-5.1649980747015607E-2</v>
      </c>
    </row>
    <row r="248" spans="1:11" ht="12.75" x14ac:dyDescent="0.2">
      <c r="A248" s="50">
        <v>15</v>
      </c>
      <c r="B248" s="50">
        <v>2</v>
      </c>
      <c r="C248" s="50">
        <v>27.485547169811259</v>
      </c>
      <c r="D248" s="50">
        <v>1</v>
      </c>
      <c r="E248" s="50">
        <v>6.08</v>
      </c>
      <c r="F248" s="50">
        <v>2</v>
      </c>
      <c r="G248" s="50">
        <v>0</v>
      </c>
      <c r="H248" s="50">
        <v>0.20461301501732729</v>
      </c>
      <c r="I248" s="50">
        <v>-5.1814786291875174</v>
      </c>
      <c r="J248" s="50">
        <v>19.991112437427809</v>
      </c>
      <c r="K248" s="50">
        <v>2.58144012321916E-2</v>
      </c>
    </row>
    <row r="249" spans="1:11" ht="12.75" x14ac:dyDescent="0.2">
      <c r="A249" s="51">
        <v>15</v>
      </c>
      <c r="B249" s="51">
        <v>2</v>
      </c>
      <c r="C249" s="51">
        <v>27.045571813631167</v>
      </c>
      <c r="D249" s="51">
        <v>0</v>
      </c>
      <c r="E249" s="51">
        <v>5.17</v>
      </c>
      <c r="F249" s="51">
        <v>2</v>
      </c>
      <c r="G249" s="51">
        <v>3.2033885252214102E-2</v>
      </c>
      <c r="H249" s="51">
        <v>0.29301694262610595</v>
      </c>
      <c r="I249" s="51">
        <v>-1.3725067385444714</v>
      </c>
      <c r="J249" s="51">
        <v>10.350082402772427</v>
      </c>
      <c r="K249" s="51">
        <v>-0.14599576434347331</v>
      </c>
    </row>
    <row r="250" spans="1:11" ht="12.75" x14ac:dyDescent="0.2">
      <c r="A250" s="48">
        <v>15</v>
      </c>
      <c r="B250" s="48">
        <v>3</v>
      </c>
      <c r="C250" s="48">
        <v>15.213500000000003</v>
      </c>
      <c r="D250" s="48">
        <v>0</v>
      </c>
      <c r="E250" s="48">
        <v>6.01</v>
      </c>
      <c r="F250" s="48">
        <v>4</v>
      </c>
      <c r="G250" s="48">
        <v>4.0500000000000001E-2</v>
      </c>
      <c r="H250" s="48">
        <v>0.18718000000000007</v>
      </c>
      <c r="I250" s="48">
        <v>0.67200000000000004</v>
      </c>
      <c r="J250" s="48">
        <v>6.52468</v>
      </c>
      <c r="K250" s="48">
        <v>1.3539999999999964E-2</v>
      </c>
    </row>
    <row r="251" spans="1:11" ht="12.75" x14ac:dyDescent="0.2">
      <c r="A251" s="49">
        <v>15</v>
      </c>
      <c r="B251" s="49">
        <v>3</v>
      </c>
      <c r="C251" s="49">
        <v>16.185919999999999</v>
      </c>
      <c r="D251" s="49">
        <v>0</v>
      </c>
      <c r="E251" s="49">
        <v>6.09</v>
      </c>
      <c r="F251" s="49">
        <v>4</v>
      </c>
      <c r="G251" s="49">
        <v>1.5700000000000002E-2</v>
      </c>
      <c r="H251" s="49">
        <v>0.23871999999999999</v>
      </c>
      <c r="I251" s="49">
        <v>-13.980000000000002</v>
      </c>
      <c r="J251" s="49">
        <v>34.922499999999992</v>
      </c>
      <c r="K251" s="49">
        <v>0.56229999999999991</v>
      </c>
    </row>
    <row r="252" spans="1:11" ht="12.75" x14ac:dyDescent="0.2">
      <c r="A252" s="50">
        <v>15</v>
      </c>
      <c r="B252" s="50">
        <v>3</v>
      </c>
      <c r="C252" s="50">
        <v>14.031140000000001</v>
      </c>
      <c r="D252" s="50">
        <v>1</v>
      </c>
      <c r="E252" s="50">
        <v>16.579999999999998</v>
      </c>
      <c r="F252" s="50">
        <v>3</v>
      </c>
      <c r="G252" s="50">
        <v>6.1340000000000006E-2</v>
      </c>
      <c r="H252" s="50">
        <v>0.15998000000000004</v>
      </c>
      <c r="I252" s="50">
        <v>-4.6639999999999997</v>
      </c>
      <c r="J252" s="50">
        <v>21.009880000000003</v>
      </c>
      <c r="K252" s="50">
        <v>-4.4059999999999988E-2</v>
      </c>
    </row>
    <row r="253" spans="1:11" ht="12.75" x14ac:dyDescent="0.2">
      <c r="A253" s="49">
        <v>15</v>
      </c>
      <c r="B253" s="49">
        <v>3</v>
      </c>
      <c r="C253" s="49">
        <v>14.978619999999994</v>
      </c>
      <c r="D253" s="49">
        <v>0</v>
      </c>
      <c r="E253" s="49">
        <v>5.13</v>
      </c>
      <c r="F253" s="49">
        <v>3</v>
      </c>
      <c r="G253" s="49">
        <v>5.9579999999999994E-2</v>
      </c>
      <c r="H253" s="49">
        <v>0.20381999999999997</v>
      </c>
      <c r="I253" s="49">
        <v>-9.0839999999999943</v>
      </c>
      <c r="J253" s="49">
        <v>99.133039999999994</v>
      </c>
      <c r="K253" s="49">
        <v>0.17757999999999996</v>
      </c>
    </row>
    <row r="254" spans="1:11" ht="12.75" x14ac:dyDescent="0.2">
      <c r="A254" s="50">
        <v>15</v>
      </c>
      <c r="B254" s="50">
        <v>3</v>
      </c>
      <c r="C254" s="50">
        <v>14.507260000000004</v>
      </c>
      <c r="D254" s="50">
        <v>1</v>
      </c>
      <c r="E254" s="50">
        <v>5.24</v>
      </c>
      <c r="F254" s="50">
        <v>2</v>
      </c>
      <c r="G254" s="50">
        <v>6.0200000000000002E-3</v>
      </c>
      <c r="H254" s="50">
        <v>0.13114000000000001</v>
      </c>
      <c r="I254" s="50">
        <v>-11.638</v>
      </c>
      <c r="J254" s="50">
        <v>89.400659999999988</v>
      </c>
      <c r="K254" s="50">
        <v>4.3639999999999998E-2</v>
      </c>
    </row>
    <row r="255" spans="1:11" ht="12.75" x14ac:dyDescent="0.2">
      <c r="A255" s="51">
        <v>15</v>
      </c>
      <c r="B255" s="51">
        <v>3</v>
      </c>
      <c r="C255" s="51">
        <v>7.9502400000000009</v>
      </c>
      <c r="D255" s="51">
        <v>1</v>
      </c>
      <c r="E255" s="51">
        <v>8.1300000000000008</v>
      </c>
      <c r="F255" s="51">
        <v>2</v>
      </c>
      <c r="G255" s="51">
        <v>5.7960000000000005E-2</v>
      </c>
      <c r="H255" s="51">
        <v>0.14586000000000002</v>
      </c>
      <c r="I255" s="51">
        <v>-15.325999999999999</v>
      </c>
      <c r="J255" s="51">
        <v>43.217979999999997</v>
      </c>
      <c r="K255" s="51">
        <v>0.1414</v>
      </c>
    </row>
    <row r="256" spans="1:11" ht="12.75" x14ac:dyDescent="0.2">
      <c r="A256" s="48">
        <v>16</v>
      </c>
      <c r="B256" s="48">
        <v>1</v>
      </c>
      <c r="C256" s="48">
        <v>16.922615384615384</v>
      </c>
      <c r="D256" s="48">
        <v>1</v>
      </c>
      <c r="E256" s="48">
        <v>12.75</v>
      </c>
      <c r="F256" s="48">
        <v>4</v>
      </c>
      <c r="G256" s="48">
        <v>8.9230769230769225E-3</v>
      </c>
      <c r="H256" s="48">
        <v>0.19366666666666665</v>
      </c>
      <c r="I256" s="48">
        <v>0.62820512820512853</v>
      </c>
      <c r="J256" s="48">
        <v>34.274794871794867</v>
      </c>
      <c r="K256" s="48">
        <v>0.910205128205128</v>
      </c>
    </row>
    <row r="257" spans="1:11" ht="12.75" x14ac:dyDescent="0.2">
      <c r="A257" s="49">
        <v>16</v>
      </c>
      <c r="B257" s="49">
        <v>1</v>
      </c>
      <c r="C257" s="49">
        <v>12.551435897435896</v>
      </c>
      <c r="D257" s="49">
        <v>0</v>
      </c>
      <c r="E257" s="49">
        <v>7.37</v>
      </c>
      <c r="F257" s="49">
        <v>4</v>
      </c>
      <c r="G257" s="49">
        <v>2.4512820512820516E-2</v>
      </c>
      <c r="H257" s="49">
        <v>0.17974358974358975</v>
      </c>
      <c r="I257" s="49">
        <v>-11.682051282051283</v>
      </c>
      <c r="J257" s="49">
        <v>53.215666666666657</v>
      </c>
      <c r="K257" s="49">
        <v>0.41066666666666662</v>
      </c>
    </row>
    <row r="258" spans="1:11" ht="12.75" x14ac:dyDescent="0.2">
      <c r="A258" s="50">
        <v>16</v>
      </c>
      <c r="B258" s="50">
        <v>1</v>
      </c>
      <c r="C258" s="50">
        <v>17.409410256410254</v>
      </c>
      <c r="D258" s="50">
        <v>0</v>
      </c>
      <c r="E258" s="50">
        <v>5.54</v>
      </c>
      <c r="F258" s="50">
        <v>3</v>
      </c>
      <c r="G258" s="50">
        <v>4.4615384615384619E-2</v>
      </c>
      <c r="H258" s="50">
        <v>0.22528205128205123</v>
      </c>
      <c r="I258" s="50">
        <v>2.5282051282051294</v>
      </c>
      <c r="J258" s="50">
        <v>17.328512820512824</v>
      </c>
      <c r="K258" s="50">
        <v>0.6886923076923076</v>
      </c>
    </row>
    <row r="259" spans="1:11" ht="12.75" x14ac:dyDescent="0.2">
      <c r="A259" s="49">
        <v>16</v>
      </c>
      <c r="B259" s="49">
        <v>1</v>
      </c>
      <c r="C259" s="49">
        <v>13.412589743589741</v>
      </c>
      <c r="D259" s="49">
        <v>0</v>
      </c>
      <c r="E259" s="49">
        <v>4.74</v>
      </c>
      <c r="F259" s="49">
        <v>3</v>
      </c>
      <c r="G259" s="49">
        <v>2.3076923076923079E-3</v>
      </c>
      <c r="H259" s="49">
        <v>5.5948717948717967E-2</v>
      </c>
      <c r="I259" s="49">
        <v>-1.5974358974358978</v>
      </c>
      <c r="J259" s="49">
        <v>21.072051282051277</v>
      </c>
      <c r="K259" s="49">
        <v>0.39997435897435901</v>
      </c>
    </row>
    <row r="260" spans="1:11" ht="12.75" x14ac:dyDescent="0.2">
      <c r="A260" s="50">
        <v>16</v>
      </c>
      <c r="B260" s="50">
        <v>1</v>
      </c>
      <c r="C260" s="50">
        <v>9.382820512820512</v>
      </c>
      <c r="D260" s="50">
        <v>1</v>
      </c>
      <c r="E260" s="50">
        <v>7.23</v>
      </c>
      <c r="F260" s="50">
        <v>2</v>
      </c>
      <c r="G260" s="50">
        <v>1.9820512820512819E-2</v>
      </c>
      <c r="H260" s="50">
        <v>9.166666666666666E-2</v>
      </c>
      <c r="I260" s="50">
        <v>-12.566666666666666</v>
      </c>
      <c r="J260" s="50">
        <v>19.152025641025642</v>
      </c>
      <c r="K260" s="50">
        <v>0.34676923076923072</v>
      </c>
    </row>
    <row r="261" spans="1:11" ht="12.75" x14ac:dyDescent="0.2">
      <c r="A261" s="51">
        <v>16</v>
      </c>
      <c r="B261" s="51">
        <v>1</v>
      </c>
      <c r="C261" s="51">
        <v>15.403794871794871</v>
      </c>
      <c r="D261" s="51">
        <v>0</v>
      </c>
      <c r="E261" s="51">
        <v>1.96</v>
      </c>
      <c r="F261" s="51">
        <v>2</v>
      </c>
      <c r="G261" s="51">
        <v>1.3461538461538459E-2</v>
      </c>
      <c r="H261" s="51">
        <v>0.12912820512820511</v>
      </c>
      <c r="I261" s="51">
        <v>0.33076923076923082</v>
      </c>
      <c r="J261" s="51">
        <v>28.564717948717945</v>
      </c>
      <c r="K261" s="51">
        <v>0.50902564102564107</v>
      </c>
    </row>
    <row r="262" spans="1:11" ht="12.75" x14ac:dyDescent="0.2">
      <c r="A262" s="48">
        <v>16</v>
      </c>
      <c r="B262" s="48">
        <v>2</v>
      </c>
      <c r="C262" s="48">
        <v>21.317959030837006</v>
      </c>
      <c r="D262" s="48">
        <v>0</v>
      </c>
      <c r="E262" s="48">
        <v>3.28</v>
      </c>
      <c r="F262" s="48">
        <v>4</v>
      </c>
      <c r="G262" s="48">
        <v>0</v>
      </c>
      <c r="H262" s="48">
        <v>0.37450704845815164</v>
      </c>
      <c r="I262" s="48">
        <v>-1.5373127753303937</v>
      </c>
      <c r="J262" s="48">
        <v>15.740704845814975</v>
      </c>
      <c r="K262" s="48">
        <v>0.93881233480176418</v>
      </c>
    </row>
    <row r="263" spans="1:11" ht="12.75" x14ac:dyDescent="0.2">
      <c r="A263" s="49">
        <v>16</v>
      </c>
      <c r="B263" s="49">
        <v>2</v>
      </c>
      <c r="C263" s="49">
        <v>27.027283259911879</v>
      </c>
      <c r="D263" s="49">
        <v>1</v>
      </c>
      <c r="E263" s="49">
        <v>10.46</v>
      </c>
      <c r="F263" s="49">
        <v>4</v>
      </c>
      <c r="G263" s="49">
        <v>6.7427312775330461E-3</v>
      </c>
      <c r="H263" s="49">
        <v>0.18702555066079177</v>
      </c>
      <c r="I263" s="49">
        <v>-7.8757709251101158</v>
      </c>
      <c r="J263" s="49">
        <v>0</v>
      </c>
      <c r="K263" s="49">
        <v>0.83082951541850203</v>
      </c>
    </row>
    <row r="264" spans="1:11" ht="12.75" x14ac:dyDescent="0.2">
      <c r="A264" s="50">
        <v>16</v>
      </c>
      <c r="B264" s="50">
        <v>2</v>
      </c>
      <c r="C264" s="50">
        <v>22.604150220264327</v>
      </c>
      <c r="D264" s="50">
        <v>0</v>
      </c>
      <c r="E264" s="50">
        <v>3.8</v>
      </c>
      <c r="F264" s="50">
        <v>3</v>
      </c>
      <c r="G264" s="50">
        <v>0</v>
      </c>
      <c r="H264" s="50">
        <v>0.23164008810572737</v>
      </c>
      <c r="I264" s="50">
        <v>-0.45246696035242134</v>
      </c>
      <c r="J264" s="50">
        <v>0</v>
      </c>
      <c r="K264" s="50">
        <v>0.64873480176211362</v>
      </c>
    </row>
    <row r="265" spans="1:11" ht="12.75" x14ac:dyDescent="0.2">
      <c r="A265" s="49">
        <v>16</v>
      </c>
      <c r="B265" s="49">
        <v>2</v>
      </c>
      <c r="C265" s="49">
        <v>21.866848017621127</v>
      </c>
      <c r="D265" s="49">
        <v>1</v>
      </c>
      <c r="E265" s="49">
        <v>6.43</v>
      </c>
      <c r="F265" s="49">
        <v>3</v>
      </c>
      <c r="G265" s="49">
        <v>0</v>
      </c>
      <c r="H265" s="49">
        <v>0.20689691629955986</v>
      </c>
      <c r="I265" s="49">
        <v>-8.5306167400881066</v>
      </c>
      <c r="J265" s="49">
        <v>22.425866079295162</v>
      </c>
      <c r="K265" s="49">
        <v>0.92045110132158747</v>
      </c>
    </row>
    <row r="266" spans="1:11" ht="12.75" x14ac:dyDescent="0.2">
      <c r="A266" s="50">
        <v>16</v>
      </c>
      <c r="B266" s="50">
        <v>2</v>
      </c>
      <c r="C266" s="50">
        <v>23.848130837004394</v>
      </c>
      <c r="D266" s="50">
        <v>2</v>
      </c>
      <c r="E266" s="50">
        <v>9.5</v>
      </c>
      <c r="F266" s="50">
        <v>2</v>
      </c>
      <c r="G266" s="50">
        <v>0</v>
      </c>
      <c r="H266" s="50">
        <v>0.22036519823788586</v>
      </c>
      <c r="I266" s="50">
        <v>-0.21453744493392127</v>
      </c>
      <c r="J266" s="50">
        <v>0</v>
      </c>
      <c r="K266" s="50">
        <v>0.54748502202643134</v>
      </c>
    </row>
    <row r="267" spans="1:11" ht="12.75" x14ac:dyDescent="0.2">
      <c r="A267" s="51">
        <v>16</v>
      </c>
      <c r="B267" s="51">
        <v>2</v>
      </c>
      <c r="C267" s="51">
        <v>20.090640088105708</v>
      </c>
      <c r="D267" s="51">
        <v>2</v>
      </c>
      <c r="E267" s="51">
        <v>13.58</v>
      </c>
      <c r="F267" s="51">
        <v>2</v>
      </c>
      <c r="G267" s="51">
        <v>0</v>
      </c>
      <c r="H267" s="51">
        <v>0.13711674008810604</v>
      </c>
      <c r="I267" s="51">
        <v>-8.7307048458149623</v>
      </c>
      <c r="J267" s="51">
        <v>22.698274008810589</v>
      </c>
      <c r="K267" s="51">
        <v>0.26754096916299525</v>
      </c>
    </row>
    <row r="268" spans="1:11" ht="12.75" x14ac:dyDescent="0.2">
      <c r="A268" s="48">
        <v>16</v>
      </c>
      <c r="B268" s="48">
        <v>3</v>
      </c>
      <c r="C268" s="48">
        <v>14.727099999999998</v>
      </c>
      <c r="D268" s="48">
        <v>0</v>
      </c>
      <c r="E268" s="48">
        <v>4.47</v>
      </c>
      <c r="F268" s="48">
        <v>4</v>
      </c>
      <c r="G268" s="48">
        <v>2.7939999999999996E-2</v>
      </c>
      <c r="H268" s="48">
        <v>0.1522</v>
      </c>
      <c r="I268" s="48">
        <v>0.50399999999999989</v>
      </c>
      <c r="J268" s="48">
        <v>14.238900000000001</v>
      </c>
      <c r="K268" s="48">
        <v>0.55393999999999988</v>
      </c>
    </row>
    <row r="269" spans="1:11" ht="12.75" x14ac:dyDescent="0.2">
      <c r="A269" s="49">
        <v>16</v>
      </c>
      <c r="B269" s="49">
        <v>3</v>
      </c>
      <c r="C269" s="49">
        <v>12.155919999999998</v>
      </c>
      <c r="D269" s="49">
        <v>0</v>
      </c>
      <c r="E269" s="49">
        <v>3.76</v>
      </c>
      <c r="F269" s="49">
        <v>4</v>
      </c>
      <c r="G269" s="49">
        <v>1.6239999999999997E-2</v>
      </c>
      <c r="H269" s="49">
        <v>0.15790000000000001</v>
      </c>
      <c r="I269" s="49">
        <v>-11.202000000000005</v>
      </c>
      <c r="J269" s="49">
        <v>40.587439999999994</v>
      </c>
      <c r="K269" s="49">
        <v>0.66412000000000004</v>
      </c>
    </row>
    <row r="270" spans="1:11" ht="12.75" x14ac:dyDescent="0.2">
      <c r="A270" s="50">
        <v>16</v>
      </c>
      <c r="B270" s="50">
        <v>3</v>
      </c>
      <c r="C270" s="50">
        <v>15.545859999999999</v>
      </c>
      <c r="D270" s="50">
        <v>1</v>
      </c>
      <c r="E270" s="50">
        <v>9.08</v>
      </c>
      <c r="F270" s="50">
        <v>3</v>
      </c>
      <c r="G270" s="50">
        <v>9.7199999999999995E-3</v>
      </c>
      <c r="H270" s="50">
        <v>0.13901999999999998</v>
      </c>
      <c r="I270" s="50">
        <v>-6.4660000000000011</v>
      </c>
      <c r="J270" s="50">
        <v>40.228180000000002</v>
      </c>
      <c r="K270" s="50">
        <v>0.44238000000000005</v>
      </c>
    </row>
    <row r="271" spans="1:11" ht="12.75" x14ac:dyDescent="0.2">
      <c r="A271" s="49">
        <v>16</v>
      </c>
      <c r="B271" s="49">
        <v>3</v>
      </c>
      <c r="C271" s="49">
        <v>10.736580000000002</v>
      </c>
      <c r="D271" s="49">
        <v>0</v>
      </c>
      <c r="E271" s="49">
        <v>3.68</v>
      </c>
      <c r="F271" s="49">
        <v>3</v>
      </c>
      <c r="G271" s="49">
        <v>5.21E-2</v>
      </c>
      <c r="H271" s="49">
        <v>0.11045999999999999</v>
      </c>
      <c r="I271" s="49">
        <v>-9.6779999999999973</v>
      </c>
      <c r="J271" s="49">
        <v>59.099040000000002</v>
      </c>
      <c r="K271" s="49">
        <v>0.37265999999999999</v>
      </c>
    </row>
    <row r="272" spans="1:11" ht="12.75" x14ac:dyDescent="0.2">
      <c r="A272" s="50">
        <v>16</v>
      </c>
      <c r="B272" s="50">
        <v>3</v>
      </c>
      <c r="C272" s="50">
        <v>12.106219999999999</v>
      </c>
      <c r="D272" s="50">
        <v>0</v>
      </c>
      <c r="E272" s="50">
        <v>9.25</v>
      </c>
      <c r="F272" s="50">
        <v>2</v>
      </c>
      <c r="G272" s="50">
        <v>3.2840000000000001E-2</v>
      </c>
      <c r="H272" s="50">
        <v>0.18575999999999998</v>
      </c>
      <c r="I272" s="50">
        <v>-10.162000000000006</v>
      </c>
      <c r="J272" s="50">
        <v>71.966859999999983</v>
      </c>
      <c r="K272" s="50">
        <v>0.14652000000000004</v>
      </c>
    </row>
    <row r="273" spans="1:11" ht="12.75" x14ac:dyDescent="0.2">
      <c r="A273" s="51">
        <v>16</v>
      </c>
      <c r="B273" s="51">
        <v>3</v>
      </c>
      <c r="C273" s="51">
        <v>10.872180000000004</v>
      </c>
      <c r="D273" s="51">
        <v>1</v>
      </c>
      <c r="E273" s="51">
        <v>7.32</v>
      </c>
      <c r="F273" s="51">
        <v>2</v>
      </c>
      <c r="G273" s="51">
        <v>4.548E-2</v>
      </c>
      <c r="H273" s="51">
        <v>7.415999999999999E-2</v>
      </c>
      <c r="I273" s="51">
        <v>1.0440000000000011</v>
      </c>
      <c r="J273" s="51">
        <v>3.6884200000000003</v>
      </c>
      <c r="K273" s="51">
        <v>0.35993999999999998</v>
      </c>
    </row>
    <row r="274" spans="1:11" ht="12.75" x14ac:dyDescent="0.2">
      <c r="A274" s="48">
        <v>17</v>
      </c>
      <c r="B274" s="48">
        <v>1</v>
      </c>
      <c r="C274" s="48">
        <v>17.595763636363639</v>
      </c>
      <c r="D274" s="48">
        <v>0</v>
      </c>
      <c r="E274" s="48">
        <v>13.94</v>
      </c>
      <c r="F274" s="48">
        <v>4</v>
      </c>
      <c r="G274" s="48">
        <v>2.758181818181818E-2</v>
      </c>
      <c r="H274" s="48">
        <v>0.17300000000000004</v>
      </c>
      <c r="I274" s="48">
        <v>4.181818181818181E-2</v>
      </c>
      <c r="J274" s="48">
        <v>88.96074545454546</v>
      </c>
      <c r="K274" s="48">
        <v>-0.15489090909090911</v>
      </c>
    </row>
    <row r="275" spans="1:11" ht="12.75" x14ac:dyDescent="0.2">
      <c r="A275" s="49">
        <v>17</v>
      </c>
      <c r="B275" s="49">
        <v>1</v>
      </c>
      <c r="C275" s="49">
        <v>18.218381818181822</v>
      </c>
      <c r="D275" s="49">
        <v>1</v>
      </c>
      <c r="E275" s="49">
        <v>10.67</v>
      </c>
      <c r="F275" s="49">
        <v>4</v>
      </c>
      <c r="G275" s="49">
        <v>3.9090909090909089E-3</v>
      </c>
      <c r="H275" s="49">
        <v>0.20570909090909095</v>
      </c>
      <c r="I275" s="49">
        <v>-20.945454545454549</v>
      </c>
      <c r="J275" s="49">
        <v>3.4247272727272731</v>
      </c>
      <c r="K275" s="49">
        <v>-0.15054545454545454</v>
      </c>
    </row>
    <row r="276" spans="1:11" ht="12.75" x14ac:dyDescent="0.2">
      <c r="A276" s="50">
        <v>17</v>
      </c>
      <c r="B276" s="50">
        <v>1</v>
      </c>
      <c r="C276" s="50">
        <v>12.506727272727275</v>
      </c>
      <c r="D276" s="50">
        <v>1</v>
      </c>
      <c r="E276" s="50">
        <v>19.57</v>
      </c>
      <c r="F276" s="50">
        <v>3</v>
      </c>
      <c r="G276" s="50">
        <v>2.1054545454545458E-2</v>
      </c>
      <c r="H276" s="50">
        <v>7.0490909090909076E-2</v>
      </c>
      <c r="I276" s="50">
        <v>-0.48000000000000009</v>
      </c>
      <c r="J276" s="50">
        <v>30.608163636363635</v>
      </c>
      <c r="K276" s="50">
        <v>-0.64150909090909114</v>
      </c>
    </row>
    <row r="277" spans="1:11" ht="12.75" x14ac:dyDescent="0.2">
      <c r="A277" s="49">
        <v>17</v>
      </c>
      <c r="B277" s="49">
        <v>1</v>
      </c>
      <c r="C277" s="49">
        <v>10.979781818181815</v>
      </c>
      <c r="D277" s="49">
        <v>0</v>
      </c>
      <c r="E277" s="49">
        <v>2.64</v>
      </c>
      <c r="F277" s="49">
        <v>3</v>
      </c>
      <c r="G277" s="49">
        <v>0</v>
      </c>
      <c r="H277" s="49">
        <v>9.1763636363636381E-2</v>
      </c>
      <c r="I277" s="49">
        <v>-10.879999999999997</v>
      </c>
      <c r="J277" s="49">
        <v>31.75223636363636</v>
      </c>
      <c r="K277" s="49">
        <v>-0.52698181818181822</v>
      </c>
    </row>
    <row r="278" spans="1:11" ht="12.75" x14ac:dyDescent="0.2">
      <c r="A278" s="50">
        <v>17</v>
      </c>
      <c r="B278" s="50">
        <v>1</v>
      </c>
      <c r="C278" s="50">
        <v>13.053672727272728</v>
      </c>
      <c r="D278" s="50">
        <v>0</v>
      </c>
      <c r="E278" s="50">
        <v>5.77</v>
      </c>
      <c r="F278" s="50">
        <v>2</v>
      </c>
      <c r="G278" s="50">
        <v>7.1636363636363642E-3</v>
      </c>
      <c r="H278" s="50">
        <v>0.13185454545454547</v>
      </c>
      <c r="I278" s="50">
        <v>-9.18</v>
      </c>
      <c r="J278" s="50">
        <v>12.149800000000001</v>
      </c>
      <c r="K278" s="50">
        <v>-0.64427272727272755</v>
      </c>
    </row>
    <row r="279" spans="1:11" ht="12.75" x14ac:dyDescent="0.2">
      <c r="A279" s="51">
        <v>17</v>
      </c>
      <c r="B279" s="51">
        <v>1</v>
      </c>
      <c r="C279" s="51">
        <v>15.957763636363639</v>
      </c>
      <c r="D279" s="51">
        <v>0</v>
      </c>
      <c r="E279" s="51">
        <v>4.1399999999999997</v>
      </c>
      <c r="F279" s="51">
        <v>2</v>
      </c>
      <c r="G279" s="51">
        <v>2.7818181818181817E-3</v>
      </c>
      <c r="H279" s="51">
        <v>0.1309818181818182</v>
      </c>
      <c r="I279" s="51">
        <v>-9.3181818181818201</v>
      </c>
      <c r="J279" s="51">
        <v>0</v>
      </c>
      <c r="K279" s="51">
        <v>-0.4078181818181818</v>
      </c>
    </row>
    <row r="280" spans="1:11" ht="12.75" x14ac:dyDescent="0.2">
      <c r="A280" s="48">
        <v>17</v>
      </c>
      <c r="B280" s="48">
        <v>2</v>
      </c>
      <c r="C280" s="48">
        <v>17.236979999999988</v>
      </c>
      <c r="D280" s="48">
        <v>0</v>
      </c>
      <c r="E280" s="48">
        <v>6.78</v>
      </c>
      <c r="F280" s="48">
        <v>4</v>
      </c>
      <c r="G280" s="48">
        <v>0</v>
      </c>
      <c r="H280" s="48">
        <v>0.22278238095238084</v>
      </c>
      <c r="I280" s="48">
        <v>-0.49076190476190751</v>
      </c>
      <c r="J280" s="48">
        <v>22.6847038095238</v>
      </c>
      <c r="K280" s="48">
        <v>0.16036666666666671</v>
      </c>
    </row>
    <row r="281" spans="1:11" ht="12.75" x14ac:dyDescent="0.2">
      <c r="A281" s="49">
        <v>17</v>
      </c>
      <c r="B281" s="49">
        <v>2</v>
      </c>
      <c r="C281" s="49">
        <v>23.091540476190588</v>
      </c>
      <c r="D281" s="49">
        <v>0</v>
      </c>
      <c r="E281" s="49">
        <v>5.36</v>
      </c>
      <c r="F281" s="49">
        <v>4</v>
      </c>
      <c r="G281" s="49">
        <v>0</v>
      </c>
      <c r="H281" s="49">
        <v>0.18504047619047526</v>
      </c>
      <c r="I281" s="49">
        <v>-3.7037619047619046</v>
      </c>
      <c r="J281" s="49">
        <v>0</v>
      </c>
      <c r="K281" s="49">
        <v>-0.61723999999999979</v>
      </c>
    </row>
    <row r="282" spans="1:11" ht="12.75" x14ac:dyDescent="0.2">
      <c r="A282" s="50">
        <v>17</v>
      </c>
      <c r="B282" s="50">
        <v>2</v>
      </c>
      <c r="C282" s="50">
        <v>22.146053809523782</v>
      </c>
      <c r="D282" s="50">
        <v>1</v>
      </c>
      <c r="E282" s="50">
        <v>10.98</v>
      </c>
      <c r="F282" s="50">
        <v>3</v>
      </c>
      <c r="G282" s="50">
        <v>0</v>
      </c>
      <c r="H282" s="50">
        <v>0.17624333333333367</v>
      </c>
      <c r="I282" s="50">
        <v>-5.1362380952380899</v>
      </c>
      <c r="J282" s="50">
        <v>0</v>
      </c>
      <c r="K282" s="50">
        <v>-0.55152238095238015</v>
      </c>
    </row>
    <row r="283" spans="1:11" ht="12.75" x14ac:dyDescent="0.2">
      <c r="A283" s="49">
        <v>17</v>
      </c>
      <c r="B283" s="49">
        <v>2</v>
      </c>
      <c r="C283" s="49">
        <v>22.649106190476154</v>
      </c>
      <c r="D283" s="49">
        <v>0</v>
      </c>
      <c r="E283" s="49">
        <v>6.6</v>
      </c>
      <c r="F283" s="49">
        <v>3</v>
      </c>
      <c r="G283" s="49">
        <v>0</v>
      </c>
      <c r="H283" s="49">
        <v>0.18945238095238182</v>
      </c>
      <c r="I283" s="49">
        <v>-0.82280952380952399</v>
      </c>
      <c r="J283" s="49">
        <v>0</v>
      </c>
      <c r="K283" s="49">
        <v>-0.49533095238095237</v>
      </c>
    </row>
    <row r="284" spans="1:11" ht="12.75" x14ac:dyDescent="0.2">
      <c r="A284" s="50">
        <v>17</v>
      </c>
      <c r="B284" s="50">
        <v>2</v>
      </c>
      <c r="C284" s="50">
        <v>22.993639523809552</v>
      </c>
      <c r="D284" s="50">
        <v>1</v>
      </c>
      <c r="E284" s="50">
        <v>11.16</v>
      </c>
      <c r="F284" s="50">
        <v>2</v>
      </c>
      <c r="G284" s="50">
        <v>0</v>
      </c>
      <c r="H284" s="50">
        <v>0.18177571428571165</v>
      </c>
      <c r="I284" s="50">
        <v>-8.6276190476190671</v>
      </c>
      <c r="J284" s="50">
        <v>0</v>
      </c>
      <c r="K284" s="50">
        <v>-0.76909666666666898</v>
      </c>
    </row>
    <row r="285" spans="1:11" ht="12.75" x14ac:dyDescent="0.2">
      <c r="A285" s="51">
        <v>17</v>
      </c>
      <c r="B285" s="51">
        <v>2</v>
      </c>
      <c r="C285" s="51">
        <v>22.514301904761865</v>
      </c>
      <c r="D285" s="51">
        <v>0</v>
      </c>
      <c r="E285" s="51">
        <v>3.31</v>
      </c>
      <c r="F285" s="51">
        <v>2</v>
      </c>
      <c r="G285" s="51">
        <v>0</v>
      </c>
      <c r="H285" s="51">
        <v>0.18500380952381296</v>
      </c>
      <c r="I285" s="51">
        <v>1.4476190476190452E-2</v>
      </c>
      <c r="J285" s="51">
        <v>0</v>
      </c>
      <c r="K285" s="51">
        <v>-0.51941714285714369</v>
      </c>
    </row>
    <row r="286" spans="1:11" ht="12.75" x14ac:dyDescent="0.2">
      <c r="A286" s="48">
        <v>17</v>
      </c>
      <c r="B286" s="48">
        <v>3</v>
      </c>
      <c r="C286" s="48">
        <v>16.488711111111112</v>
      </c>
      <c r="D286" s="48">
        <v>0</v>
      </c>
      <c r="E286" s="48">
        <v>3.96</v>
      </c>
      <c r="F286" s="48">
        <v>4</v>
      </c>
      <c r="G286" s="48">
        <v>4.8755555555555552E-2</v>
      </c>
      <c r="H286" s="48">
        <v>0.18791111111111114</v>
      </c>
      <c r="I286" s="48">
        <v>0.20222222222222225</v>
      </c>
      <c r="J286" s="48">
        <v>1.8900888888888892</v>
      </c>
      <c r="K286" s="48">
        <v>-0.32282222222222218</v>
      </c>
    </row>
    <row r="287" spans="1:11" ht="12.75" x14ac:dyDescent="0.2">
      <c r="A287" s="49">
        <v>17</v>
      </c>
      <c r="B287" s="49">
        <v>3</v>
      </c>
      <c r="C287" s="49">
        <v>5.5054444444444455</v>
      </c>
      <c r="D287" s="49">
        <v>1</v>
      </c>
      <c r="E287" s="49">
        <v>8.67</v>
      </c>
      <c r="F287" s="49">
        <v>4</v>
      </c>
      <c r="G287" s="49">
        <v>7.3444444444444451E-2</v>
      </c>
      <c r="H287" s="49">
        <v>9.2066666666666658E-2</v>
      </c>
      <c r="I287" s="49">
        <v>-14.824444444444445</v>
      </c>
      <c r="J287" s="49">
        <v>36.296533333333336</v>
      </c>
      <c r="K287" s="49">
        <v>-0.45871111111111124</v>
      </c>
    </row>
    <row r="288" spans="1:11" ht="12.75" x14ac:dyDescent="0.2">
      <c r="A288" s="50">
        <v>17</v>
      </c>
      <c r="B288" s="50">
        <v>3</v>
      </c>
      <c r="C288" s="50">
        <v>17.035977777777777</v>
      </c>
      <c r="D288" s="50">
        <v>0</v>
      </c>
      <c r="E288" s="50">
        <v>7.04</v>
      </c>
      <c r="F288" s="50">
        <v>3</v>
      </c>
      <c r="G288" s="50">
        <v>3.9933333333333335E-2</v>
      </c>
      <c r="H288" s="50">
        <v>0.18526666666666669</v>
      </c>
      <c r="I288" s="50">
        <v>-7.471111111111111</v>
      </c>
      <c r="J288" s="50">
        <v>49.278044444444447</v>
      </c>
      <c r="K288" s="50">
        <v>-0.5381111111111111</v>
      </c>
    </row>
    <row r="289" spans="1:11" ht="12.75" x14ac:dyDescent="0.2">
      <c r="A289" s="49">
        <v>17</v>
      </c>
      <c r="B289" s="49">
        <v>3</v>
      </c>
      <c r="C289" s="49">
        <v>10.889088888888889</v>
      </c>
      <c r="D289" s="49">
        <v>0</v>
      </c>
      <c r="E289" s="49">
        <v>2.78</v>
      </c>
      <c r="F289" s="49">
        <v>3</v>
      </c>
      <c r="G289" s="49">
        <v>4.3377777777777772E-2</v>
      </c>
      <c r="H289" s="49">
        <v>0.1133111111111111</v>
      </c>
      <c r="I289" s="49">
        <v>0.31777777777777771</v>
      </c>
      <c r="J289" s="49">
        <v>41.731444444444442</v>
      </c>
      <c r="K289" s="49">
        <v>-0.58731111111111112</v>
      </c>
    </row>
    <row r="290" spans="1:11" ht="12.75" x14ac:dyDescent="0.2">
      <c r="A290" s="50">
        <v>17</v>
      </c>
      <c r="B290" s="50">
        <v>3</v>
      </c>
      <c r="C290" s="50">
        <v>8.6810222222222215</v>
      </c>
      <c r="D290" s="50">
        <v>0</v>
      </c>
      <c r="E290" s="50">
        <v>2.73</v>
      </c>
      <c r="F290" s="50">
        <v>2</v>
      </c>
      <c r="G290" s="50">
        <v>0.11820000000000001</v>
      </c>
      <c r="H290" s="50">
        <v>0.12577777777777777</v>
      </c>
      <c r="I290" s="50">
        <v>-11.857777777777775</v>
      </c>
      <c r="J290" s="50">
        <v>31.779377777777782</v>
      </c>
      <c r="K290" s="50">
        <v>-0.41513333333333335</v>
      </c>
    </row>
    <row r="291" spans="1:11" ht="12.75" x14ac:dyDescent="0.2">
      <c r="A291" s="51">
        <v>17</v>
      </c>
      <c r="B291" s="51">
        <v>3</v>
      </c>
      <c r="C291" s="51">
        <v>11.081044444444446</v>
      </c>
      <c r="D291" s="51">
        <v>1</v>
      </c>
      <c r="E291" s="51">
        <v>4.78</v>
      </c>
      <c r="F291" s="51">
        <v>2</v>
      </c>
      <c r="G291" s="51">
        <v>0.14440000000000003</v>
      </c>
      <c r="H291" s="51">
        <v>0.1327777777777778</v>
      </c>
      <c r="I291" s="51">
        <v>-10.908888888888889</v>
      </c>
      <c r="J291" s="51">
        <v>1.097</v>
      </c>
      <c r="K291" s="51">
        <v>-0.92235555555555504</v>
      </c>
    </row>
    <row r="292" spans="1:11" ht="15.75" customHeight="1" x14ac:dyDescent="0.2">
      <c r="A292" s="48">
        <v>18</v>
      </c>
      <c r="B292" s="48">
        <v>1</v>
      </c>
      <c r="C292" s="48">
        <v>14.104256410256413</v>
      </c>
      <c r="D292" s="48">
        <v>1</v>
      </c>
      <c r="E292" s="48">
        <v>24</v>
      </c>
      <c r="F292" s="48">
        <v>4</v>
      </c>
      <c r="G292" s="48">
        <v>0</v>
      </c>
      <c r="H292" s="48">
        <v>0.12941025641025641</v>
      </c>
      <c r="I292" s="48">
        <v>7.9487179487179399E-2</v>
      </c>
      <c r="J292" s="48">
        <v>0</v>
      </c>
      <c r="K292" s="48">
        <v>0.408205128205128</v>
      </c>
    </row>
    <row r="293" spans="1:11" ht="15.75" customHeight="1" x14ac:dyDescent="0.2">
      <c r="A293" s="49">
        <v>18</v>
      </c>
      <c r="B293" s="49">
        <v>1</v>
      </c>
      <c r="C293" s="49">
        <v>12.373589743589745</v>
      </c>
      <c r="D293" s="49">
        <v>0</v>
      </c>
      <c r="E293" s="49">
        <v>40.9</v>
      </c>
      <c r="F293" s="49">
        <v>4</v>
      </c>
      <c r="G293" s="49">
        <v>0</v>
      </c>
      <c r="H293" s="49">
        <v>8.5999999999999979E-2</v>
      </c>
      <c r="I293" s="49">
        <v>-12.42820512820513</v>
      </c>
      <c r="J293" s="49">
        <v>44.722410256410257</v>
      </c>
      <c r="K293" s="49">
        <v>0.11933333333333331</v>
      </c>
    </row>
    <row r="294" spans="1:11" ht="15.75" customHeight="1" x14ac:dyDescent="0.2">
      <c r="A294" s="50">
        <v>18</v>
      </c>
      <c r="B294" s="50">
        <v>1</v>
      </c>
      <c r="C294" s="50">
        <v>16.273564102564098</v>
      </c>
      <c r="D294" s="50">
        <v>0</v>
      </c>
      <c r="E294" s="50">
        <v>23.14</v>
      </c>
      <c r="F294" s="50">
        <v>3</v>
      </c>
      <c r="G294" s="50">
        <v>0</v>
      </c>
      <c r="H294" s="50">
        <v>0.16197435897435902</v>
      </c>
      <c r="I294" s="50">
        <v>-2.5871794871794873</v>
      </c>
      <c r="J294" s="50">
        <v>0</v>
      </c>
      <c r="K294" s="50">
        <v>-0.1315897435897436</v>
      </c>
    </row>
    <row r="295" spans="1:11" ht="15.75" customHeight="1" x14ac:dyDescent="0.2">
      <c r="A295" s="49">
        <v>18</v>
      </c>
      <c r="B295" s="49">
        <v>1</v>
      </c>
      <c r="C295" s="49">
        <v>14.872153846153843</v>
      </c>
      <c r="D295" s="49">
        <v>0</v>
      </c>
      <c r="E295" s="49">
        <v>10.46</v>
      </c>
      <c r="F295" s="49">
        <v>3</v>
      </c>
      <c r="G295" s="49">
        <v>0</v>
      </c>
      <c r="H295" s="49">
        <v>6.246153846153845E-2</v>
      </c>
      <c r="I295" s="49">
        <v>-5.2128205128205121</v>
      </c>
      <c r="J295" s="49">
        <v>21.149153846153848</v>
      </c>
      <c r="K295" s="49">
        <v>0.18148717948717946</v>
      </c>
    </row>
    <row r="296" spans="1:11" ht="15.75" customHeight="1" x14ac:dyDescent="0.2">
      <c r="A296" s="50">
        <v>18</v>
      </c>
      <c r="B296" s="50">
        <v>1</v>
      </c>
      <c r="C296" s="50">
        <v>9.9739487179487174</v>
      </c>
      <c r="D296" s="50">
        <v>0</v>
      </c>
      <c r="E296" s="50">
        <v>2.4300000000000002</v>
      </c>
      <c r="F296" s="50">
        <v>2</v>
      </c>
      <c r="G296" s="50">
        <v>3.0512820512820513E-3</v>
      </c>
      <c r="H296" s="50">
        <v>5.6769230769230759E-2</v>
      </c>
      <c r="I296" s="50">
        <v>-0.12820512820512822</v>
      </c>
      <c r="J296" s="50">
        <v>19.272871794871794</v>
      </c>
      <c r="K296" s="50">
        <v>3.1538461538461536E-2</v>
      </c>
    </row>
    <row r="297" spans="1:11" ht="15.75" customHeight="1" x14ac:dyDescent="0.2">
      <c r="A297" s="51">
        <v>18</v>
      </c>
      <c r="B297" s="51">
        <v>1</v>
      </c>
      <c r="C297" s="51">
        <v>7.1576923076923071</v>
      </c>
      <c r="D297" s="51">
        <v>1</v>
      </c>
      <c r="E297" s="51">
        <v>2.78</v>
      </c>
      <c r="F297" s="51">
        <v>2</v>
      </c>
      <c r="G297" s="51">
        <v>5.6948717948717954E-2</v>
      </c>
      <c r="H297" s="51">
        <v>9.0461538461538454E-2</v>
      </c>
      <c r="I297" s="51">
        <v>-18.528205128205123</v>
      </c>
      <c r="J297" s="51">
        <v>57.902743589743572</v>
      </c>
      <c r="K297" s="51">
        <v>0.24397435897435898</v>
      </c>
    </row>
    <row r="298" spans="1:11" ht="15.75" customHeight="1" x14ac:dyDescent="0.2">
      <c r="A298" s="48">
        <v>18</v>
      </c>
      <c r="B298" s="48">
        <v>2</v>
      </c>
      <c r="C298" s="48">
        <v>18.741435483871015</v>
      </c>
      <c r="D298" s="48">
        <v>0</v>
      </c>
      <c r="E298" s="48">
        <v>5.66</v>
      </c>
      <c r="F298" s="48">
        <v>4</v>
      </c>
      <c r="G298" s="48">
        <v>0</v>
      </c>
      <c r="H298" s="48">
        <v>0.26572119815668277</v>
      </c>
      <c r="I298" s="48">
        <v>7.0852534562206009E-3</v>
      </c>
      <c r="J298" s="48">
        <v>26.193767281105988</v>
      </c>
      <c r="K298" s="48">
        <v>0.75551785714285824</v>
      </c>
    </row>
    <row r="299" spans="1:11" ht="15.75" customHeight="1" x14ac:dyDescent="0.2">
      <c r="A299" s="49">
        <v>18</v>
      </c>
      <c r="B299" s="49">
        <v>2</v>
      </c>
      <c r="C299" s="49">
        <v>21.423135944700515</v>
      </c>
      <c r="D299" s="49">
        <v>0</v>
      </c>
      <c r="E299" s="49">
        <v>8.16</v>
      </c>
      <c r="F299" s="49">
        <v>4</v>
      </c>
      <c r="G299" s="49">
        <v>0</v>
      </c>
      <c r="H299" s="49">
        <v>0.17698847926267158</v>
      </c>
      <c r="I299" s="49">
        <v>-0.27206221198156461</v>
      </c>
      <c r="J299" s="49">
        <v>0</v>
      </c>
      <c r="K299" s="49">
        <v>0.80184447004608406</v>
      </c>
    </row>
    <row r="300" spans="1:11" ht="15.75" customHeight="1" x14ac:dyDescent="0.2">
      <c r="A300" s="50">
        <v>18</v>
      </c>
      <c r="B300" s="50">
        <v>2</v>
      </c>
      <c r="C300" s="50">
        <v>21.089228110599095</v>
      </c>
      <c r="D300" s="50">
        <v>0</v>
      </c>
      <c r="E300" s="50">
        <v>4.43</v>
      </c>
      <c r="F300" s="50">
        <v>3</v>
      </c>
      <c r="G300" s="50">
        <v>0</v>
      </c>
      <c r="H300" s="50">
        <v>0.1705334101382471</v>
      </c>
      <c r="I300" s="50">
        <v>-10.446889400921618</v>
      </c>
      <c r="J300" s="50">
        <v>0</v>
      </c>
      <c r="K300" s="50">
        <v>-4.6634216589861721E-2</v>
      </c>
    </row>
    <row r="301" spans="1:11" ht="15.75" customHeight="1" x14ac:dyDescent="0.2">
      <c r="A301" s="49">
        <v>18</v>
      </c>
      <c r="B301" s="49">
        <v>2</v>
      </c>
      <c r="C301" s="49">
        <v>23.924858294930885</v>
      </c>
      <c r="D301" s="49">
        <v>0</v>
      </c>
      <c r="E301" s="49">
        <v>8.09</v>
      </c>
      <c r="F301" s="49">
        <v>3</v>
      </c>
      <c r="G301" s="49">
        <v>0</v>
      </c>
      <c r="H301" s="49">
        <v>0.24581912442396325</v>
      </c>
      <c r="I301" s="49">
        <v>-8.7442396313364826E-2</v>
      </c>
      <c r="J301" s="49">
        <v>0</v>
      </c>
      <c r="K301" s="49">
        <v>0.53524366359446995</v>
      </c>
    </row>
    <row r="302" spans="1:11" ht="15.75" customHeight="1" x14ac:dyDescent="0.2">
      <c r="A302" s="50">
        <v>18</v>
      </c>
      <c r="B302" s="50">
        <v>2</v>
      </c>
      <c r="C302" s="50">
        <v>23.81245852534564</v>
      </c>
      <c r="D302" s="50">
        <v>0</v>
      </c>
      <c r="E302" s="50">
        <v>2.5099999999999998</v>
      </c>
      <c r="F302" s="50">
        <v>2</v>
      </c>
      <c r="G302" s="50">
        <v>0</v>
      </c>
      <c r="H302" s="50">
        <v>0.12115956221198212</v>
      </c>
      <c r="I302" s="50">
        <v>-5.7109447004608223</v>
      </c>
      <c r="J302" s="50">
        <v>0</v>
      </c>
      <c r="K302" s="50">
        <v>0.23188767281106001</v>
      </c>
    </row>
    <row r="303" spans="1:11" ht="15.75" customHeight="1" x14ac:dyDescent="0.2">
      <c r="A303" s="51">
        <v>18</v>
      </c>
      <c r="B303" s="51">
        <v>2</v>
      </c>
      <c r="C303" s="51">
        <v>17.789839285714265</v>
      </c>
      <c r="D303" s="51">
        <v>0</v>
      </c>
      <c r="E303" s="51">
        <v>1.47</v>
      </c>
      <c r="F303" s="51">
        <v>2</v>
      </c>
      <c r="G303" s="51">
        <v>0</v>
      </c>
      <c r="H303" s="51">
        <v>0.17117569124423915</v>
      </c>
      <c r="I303" s="51">
        <v>-5.5616935483871135</v>
      </c>
      <c r="J303" s="51">
        <v>0</v>
      </c>
      <c r="K303" s="51">
        <v>6.4192396313364153E-2</v>
      </c>
    </row>
    <row r="304" spans="1:11" ht="15.75" customHeight="1" x14ac:dyDescent="0.2">
      <c r="A304" s="48">
        <v>18</v>
      </c>
      <c r="B304" s="48">
        <v>2</v>
      </c>
      <c r="C304" s="48">
        <v>15.222307692307689</v>
      </c>
      <c r="D304" s="48">
        <v>0</v>
      </c>
      <c r="E304" s="48">
        <v>5.66</v>
      </c>
      <c r="F304" s="48">
        <v>4</v>
      </c>
      <c r="G304" s="48">
        <v>0</v>
      </c>
      <c r="H304" s="48">
        <v>0.16007692307692303</v>
      </c>
      <c r="I304" s="48">
        <v>0.13846153846153847</v>
      </c>
      <c r="J304" s="48">
        <v>0.98846153846153839</v>
      </c>
      <c r="K304" s="48">
        <v>6.3179487179487168E-2</v>
      </c>
    </row>
    <row r="305" spans="1:11" ht="15.75" customHeight="1" x14ac:dyDescent="0.2">
      <c r="A305" s="49">
        <v>18</v>
      </c>
      <c r="B305" s="49">
        <v>2</v>
      </c>
      <c r="C305" s="49">
        <v>13.242769230769232</v>
      </c>
      <c r="D305" s="49">
        <v>0</v>
      </c>
      <c r="E305" s="49">
        <v>8.16</v>
      </c>
      <c r="F305" s="49">
        <v>4</v>
      </c>
      <c r="G305" s="49">
        <v>1.4025641025641026E-2</v>
      </c>
      <c r="H305" s="49">
        <v>0.12087179487179488</v>
      </c>
      <c r="I305" s="49">
        <v>-19.120512820512825</v>
      </c>
      <c r="J305" s="49">
        <v>4.3700769230769225</v>
      </c>
      <c r="K305" s="49">
        <v>0.1955641025641027</v>
      </c>
    </row>
    <row r="306" spans="1:11" ht="15.75" customHeight="1" x14ac:dyDescent="0.2">
      <c r="A306" s="50">
        <v>18</v>
      </c>
      <c r="B306" s="50">
        <v>2</v>
      </c>
      <c r="C306" s="50">
        <v>14.103564102564102</v>
      </c>
      <c r="D306" s="50">
        <v>0</v>
      </c>
      <c r="E306" s="50">
        <v>4.43</v>
      </c>
      <c r="F306" s="50">
        <v>3</v>
      </c>
      <c r="G306" s="50">
        <v>2.0358974358974359E-2</v>
      </c>
      <c r="H306" s="50">
        <v>0.13925641025641028</v>
      </c>
      <c r="I306" s="50">
        <v>-7.9435897435897456</v>
      </c>
      <c r="J306" s="50">
        <v>39.923794871794875</v>
      </c>
      <c r="K306" s="50">
        <v>0.37151282051282059</v>
      </c>
    </row>
    <row r="307" spans="1:11" ht="15.75" customHeight="1" x14ac:dyDescent="0.2">
      <c r="A307" s="49">
        <v>18</v>
      </c>
      <c r="B307" s="49">
        <v>2</v>
      </c>
      <c r="C307" s="49">
        <v>14.874846153846152</v>
      </c>
      <c r="D307" s="49">
        <v>0</v>
      </c>
      <c r="E307" s="49">
        <v>8.09</v>
      </c>
      <c r="F307" s="49">
        <v>3</v>
      </c>
      <c r="G307" s="49">
        <v>9.1333333333333336E-2</v>
      </c>
      <c r="H307" s="49">
        <v>0.15902564102564104</v>
      </c>
      <c r="I307" s="49">
        <v>-2.9589743589743578</v>
      </c>
      <c r="J307" s="49">
        <v>55.344179487179495</v>
      </c>
      <c r="K307" s="49">
        <v>-2.5384615384615401E-2</v>
      </c>
    </row>
    <row r="308" spans="1:11" ht="15.75" customHeight="1" x14ac:dyDescent="0.2">
      <c r="A308" s="50">
        <v>18</v>
      </c>
      <c r="B308" s="50">
        <v>2</v>
      </c>
      <c r="C308" s="50">
        <v>10.664076923076923</v>
      </c>
      <c r="D308" s="50">
        <v>0</v>
      </c>
      <c r="E308" s="50">
        <v>2.5099999999999998</v>
      </c>
      <c r="F308" s="50">
        <v>2</v>
      </c>
      <c r="G308" s="50">
        <v>6.4384615384615387E-2</v>
      </c>
      <c r="H308" s="50">
        <v>0.14856410256410255</v>
      </c>
      <c r="I308" s="50">
        <v>-16.720512820512823</v>
      </c>
      <c r="J308" s="50">
        <v>103.35030769230768</v>
      </c>
      <c r="K308" s="50">
        <v>0.39058974358974363</v>
      </c>
    </row>
    <row r="309" spans="1:11" ht="15.75" customHeight="1" x14ac:dyDescent="0.2">
      <c r="A309" s="51">
        <v>18</v>
      </c>
      <c r="B309" s="51">
        <v>2</v>
      </c>
      <c r="C309" s="51">
        <v>9.900205128205128</v>
      </c>
      <c r="D309" s="51">
        <v>0</v>
      </c>
      <c r="E309" s="51">
        <v>1.47</v>
      </c>
      <c r="F309" s="51">
        <v>2</v>
      </c>
      <c r="G309" s="51">
        <v>0.18148717948717949</v>
      </c>
      <c r="H309" s="51">
        <v>0.11617948717948721</v>
      </c>
      <c r="I309" s="51">
        <v>-0.46153846153846134</v>
      </c>
      <c r="J309" s="51">
        <v>90.765076923076919</v>
      </c>
      <c r="K309" s="51">
        <v>1.3820512820512828E-2</v>
      </c>
    </row>
    <row r="310" spans="1:11" ht="15.75" customHeight="1" x14ac:dyDescent="0.2">
      <c r="A310" s="48">
        <v>19</v>
      </c>
      <c r="B310" s="48">
        <v>1</v>
      </c>
      <c r="C310" s="48">
        <v>16.818769230769231</v>
      </c>
      <c r="D310" s="48">
        <v>0</v>
      </c>
      <c r="E310" s="48">
        <v>7.59</v>
      </c>
      <c r="F310" s="48">
        <v>4</v>
      </c>
      <c r="G310" s="48">
        <v>8.4871794871794869E-3</v>
      </c>
      <c r="H310" s="48">
        <v>0.17612820512820515</v>
      </c>
      <c r="I310" s="48">
        <v>1.1487179487179491</v>
      </c>
      <c r="J310" s="48">
        <v>109.74579487179486</v>
      </c>
      <c r="K310" s="48">
        <v>0.82825641025641028</v>
      </c>
    </row>
    <row r="311" spans="1:11" ht="15.75" customHeight="1" x14ac:dyDescent="0.2">
      <c r="A311" s="49">
        <v>19</v>
      </c>
      <c r="B311" s="49">
        <v>1</v>
      </c>
      <c r="C311" s="49">
        <v>15.453538461538459</v>
      </c>
      <c r="D311" s="49">
        <v>0</v>
      </c>
      <c r="E311" s="49">
        <v>10.7</v>
      </c>
      <c r="F311" s="49">
        <v>4</v>
      </c>
      <c r="G311" s="49">
        <v>8.1794871794871795E-3</v>
      </c>
      <c r="H311" s="49">
        <v>0.21758974358974362</v>
      </c>
      <c r="I311" s="49">
        <v>-12.835897435897438</v>
      </c>
      <c r="J311" s="49">
        <v>52.596615384615376</v>
      </c>
      <c r="K311" s="49">
        <v>0.86999999999999977</v>
      </c>
    </row>
    <row r="312" spans="1:11" ht="15.75" customHeight="1" x14ac:dyDescent="0.2">
      <c r="A312" s="50">
        <v>19</v>
      </c>
      <c r="B312" s="50">
        <v>1</v>
      </c>
      <c r="C312" s="50">
        <v>23.250025641025641</v>
      </c>
      <c r="D312" s="50">
        <v>1</v>
      </c>
      <c r="E312" s="50">
        <v>6.79</v>
      </c>
      <c r="F312" s="50">
        <v>3</v>
      </c>
      <c r="G312" s="50">
        <v>6.9230769230769237E-4</v>
      </c>
      <c r="H312" s="50">
        <v>0.18117948717948718</v>
      </c>
      <c r="I312" s="50">
        <v>-8.2025641025641018</v>
      </c>
      <c r="J312" s="50">
        <v>22.039974358974355</v>
      </c>
      <c r="K312" s="50">
        <v>0.41089743589743588</v>
      </c>
    </row>
    <row r="313" spans="1:11" ht="15.75" customHeight="1" x14ac:dyDescent="0.2">
      <c r="A313" s="49">
        <v>19</v>
      </c>
      <c r="B313" s="49">
        <v>1</v>
      </c>
      <c r="C313" s="49">
        <v>10.675615384615384</v>
      </c>
      <c r="D313" s="49">
        <v>0</v>
      </c>
      <c r="E313" s="49">
        <v>4.25</v>
      </c>
      <c r="F313" s="49">
        <v>3</v>
      </c>
      <c r="G313" s="49">
        <v>3.205128205128205E-3</v>
      </c>
      <c r="H313" s="49">
        <v>5.1076923076923075E-2</v>
      </c>
      <c r="I313" s="49">
        <v>-0.47179487179487184</v>
      </c>
      <c r="J313" s="49">
        <v>34.757435897435897</v>
      </c>
      <c r="K313" s="49">
        <v>0.67730769230769239</v>
      </c>
    </row>
    <row r="314" spans="1:11" ht="15.75" customHeight="1" x14ac:dyDescent="0.2">
      <c r="A314" s="50">
        <v>19</v>
      </c>
      <c r="B314" s="50">
        <v>1</v>
      </c>
      <c r="C314" s="50">
        <v>7.9432820512820514</v>
      </c>
      <c r="D314" s="50">
        <v>0</v>
      </c>
      <c r="E314" s="50">
        <v>3.65</v>
      </c>
      <c r="F314" s="50">
        <v>2</v>
      </c>
      <c r="G314" s="50">
        <v>4.4153846153846155E-2</v>
      </c>
      <c r="H314" s="50">
        <v>0.17066666666666666</v>
      </c>
      <c r="I314" s="50">
        <v>-54.246153846153831</v>
      </c>
      <c r="J314" s="50">
        <v>39.049307692307693</v>
      </c>
      <c r="K314" s="50">
        <v>0.44305128205128202</v>
      </c>
    </row>
    <row r="315" spans="1:11" ht="15.75" customHeight="1" x14ac:dyDescent="0.2">
      <c r="A315" s="51">
        <v>19</v>
      </c>
      <c r="B315" s="51">
        <v>1</v>
      </c>
      <c r="C315" s="51">
        <v>11.425205128205132</v>
      </c>
      <c r="D315" s="51">
        <v>1</v>
      </c>
      <c r="E315" s="51">
        <v>8.9700000000000006</v>
      </c>
      <c r="F315" s="51">
        <v>2</v>
      </c>
      <c r="G315" s="51">
        <v>7.8205128205128208E-3</v>
      </c>
      <c r="H315" s="51">
        <v>8.7717948717948732E-2</v>
      </c>
      <c r="I315" s="51">
        <v>0.19230769230769232</v>
      </c>
      <c r="J315" s="51">
        <v>23.414897435897441</v>
      </c>
      <c r="K315" s="51">
        <v>0.48197435897435909</v>
      </c>
    </row>
    <row r="316" spans="1:11" ht="15.75" customHeight="1" x14ac:dyDescent="0.2">
      <c r="A316" s="48">
        <v>19</v>
      </c>
      <c r="B316" s="48">
        <v>2</v>
      </c>
      <c r="C316" s="48">
        <v>19.822164847161559</v>
      </c>
      <c r="D316" s="48">
        <v>1</v>
      </c>
      <c r="E316" s="48">
        <v>5.25</v>
      </c>
      <c r="F316" s="48">
        <v>4</v>
      </c>
      <c r="G316" s="48">
        <v>0</v>
      </c>
      <c r="H316" s="48">
        <v>0.3754792576419233</v>
      </c>
      <c r="I316" s="48">
        <v>4.1211790393012857E-2</v>
      </c>
      <c r="J316" s="48">
        <v>11.296673580786029</v>
      </c>
      <c r="K316" s="48">
        <v>0.58859497816594053</v>
      </c>
    </row>
    <row r="317" spans="1:11" ht="15.75" customHeight="1" x14ac:dyDescent="0.2">
      <c r="A317" s="49">
        <v>19</v>
      </c>
      <c r="B317" s="49">
        <v>2</v>
      </c>
      <c r="C317" s="49">
        <v>28.961786572052386</v>
      </c>
      <c r="D317" s="49">
        <v>0</v>
      </c>
      <c r="E317" s="49">
        <v>5.49</v>
      </c>
      <c r="F317" s="49">
        <v>4</v>
      </c>
      <c r="G317" s="49">
        <v>0</v>
      </c>
      <c r="H317" s="49">
        <v>0.266130458515282</v>
      </c>
      <c r="I317" s="49">
        <v>-6.8228165938864596</v>
      </c>
      <c r="J317" s="49">
        <v>0</v>
      </c>
      <c r="K317" s="49">
        <v>0.81907914847161611</v>
      </c>
    </row>
    <row r="318" spans="1:11" ht="15.75" customHeight="1" x14ac:dyDescent="0.2">
      <c r="A318" s="50">
        <v>19</v>
      </c>
      <c r="B318" s="50">
        <v>2</v>
      </c>
      <c r="C318" s="50">
        <v>27.46155567685582</v>
      </c>
      <c r="D318" s="50">
        <v>1</v>
      </c>
      <c r="E318" s="50">
        <v>7.55</v>
      </c>
      <c r="F318" s="50">
        <v>3</v>
      </c>
      <c r="G318" s="50">
        <v>0</v>
      </c>
      <c r="H318" s="50">
        <v>0.24467358078602663</v>
      </c>
      <c r="I318" s="50">
        <v>-3.7569323144104851</v>
      </c>
      <c r="J318" s="50">
        <v>0</v>
      </c>
      <c r="K318" s="50">
        <v>0.41871397379912617</v>
      </c>
    </row>
    <row r="319" spans="1:11" ht="15.75" customHeight="1" x14ac:dyDescent="0.2">
      <c r="A319" s="49">
        <v>19</v>
      </c>
      <c r="B319" s="49">
        <v>2</v>
      </c>
      <c r="C319" s="49">
        <v>24.801215065502198</v>
      </c>
      <c r="D319" s="49">
        <v>2</v>
      </c>
      <c r="E319" s="49">
        <v>9.07</v>
      </c>
      <c r="F319" s="49">
        <v>3</v>
      </c>
      <c r="G319" s="49">
        <v>0</v>
      </c>
      <c r="H319" s="49">
        <v>0.19519213973799193</v>
      </c>
      <c r="I319" s="49">
        <v>-3.6396288209606977</v>
      </c>
      <c r="J319" s="49">
        <v>0</v>
      </c>
      <c r="K319" s="49">
        <v>0.49241757641921363</v>
      </c>
    </row>
    <row r="320" spans="1:11" ht="15.75" customHeight="1" x14ac:dyDescent="0.2">
      <c r="A320" s="50">
        <v>19</v>
      </c>
      <c r="B320" s="50">
        <v>2</v>
      </c>
      <c r="C320" s="50">
        <v>22.830448144104828</v>
      </c>
      <c r="D320" s="50">
        <v>0</v>
      </c>
      <c r="E320" s="50">
        <v>5.66</v>
      </c>
      <c r="F320" s="50">
        <v>2</v>
      </c>
      <c r="G320" s="50">
        <v>0</v>
      </c>
      <c r="H320" s="50">
        <v>0.17652401746724783</v>
      </c>
      <c r="I320" s="50">
        <v>-6.9070960698689952</v>
      </c>
      <c r="J320" s="50">
        <v>0</v>
      </c>
      <c r="K320" s="50">
        <v>0.27856058951965051</v>
      </c>
    </row>
    <row r="321" spans="1:11" ht="15.75" customHeight="1" x14ac:dyDescent="0.2">
      <c r="A321" s="51">
        <v>19</v>
      </c>
      <c r="B321" s="51">
        <v>2</v>
      </c>
      <c r="C321" s="51">
        <v>26.440415393013161</v>
      </c>
      <c r="D321" s="51">
        <v>2</v>
      </c>
      <c r="E321" s="51">
        <v>6.94</v>
      </c>
      <c r="F321" s="51">
        <v>2</v>
      </c>
      <c r="G321" s="51">
        <v>3.3459061135371164E-2</v>
      </c>
      <c r="H321" s="51">
        <v>0.25925545851528364</v>
      </c>
      <c r="I321" s="51">
        <v>5.736899563318807E-2</v>
      </c>
      <c r="J321" s="51">
        <v>0</v>
      </c>
      <c r="K321" s="51">
        <v>0.46748307860262034</v>
      </c>
    </row>
    <row r="322" spans="1:11" ht="15.75" customHeight="1" x14ac:dyDescent="0.2">
      <c r="A322" s="48">
        <v>19</v>
      </c>
      <c r="B322" s="48">
        <v>3</v>
      </c>
      <c r="C322" s="48">
        <v>17.030571428571427</v>
      </c>
      <c r="D322" s="48">
        <v>0</v>
      </c>
      <c r="E322" s="48">
        <v>9.26</v>
      </c>
      <c r="F322" s="48">
        <v>4</v>
      </c>
      <c r="G322" s="48">
        <v>0</v>
      </c>
      <c r="H322" s="48">
        <v>0.23188571428571428</v>
      </c>
      <c r="I322" s="48">
        <v>1.7142857142857182E-2</v>
      </c>
      <c r="J322" s="48">
        <v>13.1624</v>
      </c>
      <c r="K322" s="48">
        <v>0.17220000000000002</v>
      </c>
    </row>
    <row r="323" spans="1:11" ht="15.75" customHeight="1" x14ac:dyDescent="0.2">
      <c r="A323" s="49">
        <v>19</v>
      </c>
      <c r="B323" s="49">
        <v>3</v>
      </c>
      <c r="C323" s="49">
        <v>10.617571428571427</v>
      </c>
      <c r="D323" s="49">
        <v>1</v>
      </c>
      <c r="E323" s="49">
        <v>5.2</v>
      </c>
      <c r="F323" s="49">
        <v>4</v>
      </c>
      <c r="G323" s="49">
        <v>5.4571428571428576E-2</v>
      </c>
      <c r="H323" s="49">
        <v>0.11762857142857143</v>
      </c>
      <c r="I323" s="49">
        <v>-20.074285714285704</v>
      </c>
      <c r="J323" s="49">
        <v>22.450428571428567</v>
      </c>
      <c r="K323" s="49">
        <v>-0.18137142857142863</v>
      </c>
    </row>
    <row r="324" spans="1:11" ht="15.75" customHeight="1" x14ac:dyDescent="0.2">
      <c r="A324" s="50">
        <v>19</v>
      </c>
      <c r="B324" s="50">
        <v>3</v>
      </c>
      <c r="C324" s="50">
        <v>15.705628571428567</v>
      </c>
      <c r="D324" s="50">
        <v>0</v>
      </c>
      <c r="E324" s="50">
        <v>4.99</v>
      </c>
      <c r="F324" s="50">
        <v>3</v>
      </c>
      <c r="G324" s="50">
        <v>2.7028571428571426E-2</v>
      </c>
      <c r="H324" s="50">
        <v>0.20391428571428569</v>
      </c>
      <c r="I324" s="50">
        <v>-4.92</v>
      </c>
      <c r="J324" s="50">
        <v>42.452428571428563</v>
      </c>
      <c r="K324" s="50">
        <v>0.45151428571428576</v>
      </c>
    </row>
    <row r="325" spans="1:11" ht="15.75" customHeight="1" x14ac:dyDescent="0.2">
      <c r="A325" s="49">
        <v>19</v>
      </c>
      <c r="B325" s="49">
        <v>3</v>
      </c>
      <c r="C325" s="49">
        <v>17.299285714285713</v>
      </c>
      <c r="D325" s="49">
        <v>0</v>
      </c>
      <c r="E325" s="49">
        <v>4.7300000000000004</v>
      </c>
      <c r="F325" s="49">
        <v>3</v>
      </c>
      <c r="G325" s="49">
        <v>4.7342857142857145E-2</v>
      </c>
      <c r="H325" s="49">
        <v>0.23288571428571422</v>
      </c>
      <c r="I325" s="49">
        <v>-5.1971428571428602</v>
      </c>
      <c r="J325" s="49">
        <v>16.552057142857148</v>
      </c>
      <c r="K325" s="49">
        <v>-0.39265714285714287</v>
      </c>
    </row>
    <row r="326" spans="1:11" ht="15.75" customHeight="1" x14ac:dyDescent="0.2">
      <c r="A326" s="50">
        <v>19</v>
      </c>
      <c r="B326" s="50">
        <v>3</v>
      </c>
      <c r="C326" s="50">
        <v>13.944228571428567</v>
      </c>
      <c r="D326" s="50">
        <v>1</v>
      </c>
      <c r="E326" s="50">
        <v>5.56</v>
      </c>
      <c r="F326" s="50">
        <v>2</v>
      </c>
      <c r="G326" s="50">
        <v>3.6428571428571428E-2</v>
      </c>
      <c r="H326" s="50">
        <v>0.17348571428571427</v>
      </c>
      <c r="I326" s="50">
        <v>-17.499999999999996</v>
      </c>
      <c r="J326" s="50">
        <v>54.891800000000003</v>
      </c>
      <c r="K326" s="50">
        <v>8.6571428571428112E-3</v>
      </c>
    </row>
    <row r="327" spans="1:11" ht="15.75" customHeight="1" x14ac:dyDescent="0.2">
      <c r="A327" s="51">
        <v>19</v>
      </c>
      <c r="B327" s="51">
        <v>3</v>
      </c>
      <c r="C327" s="51">
        <v>14.086457142857142</v>
      </c>
      <c r="D327" s="51">
        <v>2</v>
      </c>
      <c r="E327" s="51">
        <v>11.79</v>
      </c>
      <c r="F327" s="51">
        <v>2</v>
      </c>
      <c r="G327" s="51">
        <v>9.8771428571428566E-2</v>
      </c>
      <c r="H327" s="51">
        <v>0.21617142857142857</v>
      </c>
      <c r="I327" s="51">
        <v>-0.86285714285714299</v>
      </c>
      <c r="J327" s="51">
        <v>37.131228571428572</v>
      </c>
      <c r="K327" s="51">
        <v>-0.52840000000000009</v>
      </c>
    </row>
    <row r="328" spans="1:11" ht="15.75" customHeight="1" x14ac:dyDescent="0.2">
      <c r="A328" s="48">
        <v>20</v>
      </c>
      <c r="B328" s="48">
        <v>1</v>
      </c>
      <c r="C328" s="48">
        <v>11.616685714285714</v>
      </c>
      <c r="D328" s="48">
        <v>0</v>
      </c>
      <c r="E328" s="48">
        <v>6.61</v>
      </c>
      <c r="F328" s="48">
        <v>4</v>
      </c>
      <c r="G328" s="48">
        <v>0</v>
      </c>
      <c r="H328" s="48">
        <v>0.12037142857142857</v>
      </c>
      <c r="I328" s="48">
        <v>0.27714285714285719</v>
      </c>
      <c r="J328" s="48">
        <v>113.70417142857143</v>
      </c>
      <c r="K328" s="48">
        <v>0.91308571428571417</v>
      </c>
    </row>
    <row r="329" spans="1:11" ht="15.75" customHeight="1" x14ac:dyDescent="0.2">
      <c r="A329" s="49">
        <v>20</v>
      </c>
      <c r="B329" s="49">
        <v>1</v>
      </c>
      <c r="C329" s="49">
        <v>13.522571428571425</v>
      </c>
      <c r="D329" s="49">
        <v>0</v>
      </c>
      <c r="E329" s="49">
        <v>5.87</v>
      </c>
      <c r="F329" s="49">
        <v>4</v>
      </c>
      <c r="G329" s="49">
        <v>3.2285714285714287E-3</v>
      </c>
      <c r="H329" s="49">
        <v>9.1142857142857137E-2</v>
      </c>
      <c r="I329" s="49">
        <v>-0.34857142857142859</v>
      </c>
      <c r="J329" s="49">
        <v>0</v>
      </c>
      <c r="K329" s="49">
        <v>1.2568857142857144</v>
      </c>
    </row>
    <row r="330" spans="1:11" ht="15.75" customHeight="1" x14ac:dyDescent="0.2">
      <c r="A330" s="50">
        <v>20</v>
      </c>
      <c r="B330" s="50">
        <v>1</v>
      </c>
      <c r="C330" s="50">
        <v>3.2210285714285716</v>
      </c>
      <c r="D330" s="50">
        <v>1</v>
      </c>
      <c r="E330" s="50">
        <v>7.51</v>
      </c>
      <c r="F330" s="50">
        <v>3</v>
      </c>
      <c r="G330" s="50">
        <v>2.8114285714285713E-2</v>
      </c>
      <c r="H330" s="50">
        <v>2.7171428571428569E-2</v>
      </c>
      <c r="I330" s="50">
        <v>-15.11142857142857</v>
      </c>
      <c r="J330" s="50">
        <v>28.567285714285713</v>
      </c>
      <c r="K330" s="50">
        <v>0.35465714285714289</v>
      </c>
    </row>
    <row r="331" spans="1:11" ht="15.75" customHeight="1" x14ac:dyDescent="0.2">
      <c r="A331" s="49">
        <v>20</v>
      </c>
      <c r="B331" s="49">
        <v>1</v>
      </c>
      <c r="C331" s="49">
        <v>11.995399999999998</v>
      </c>
      <c r="D331" s="49">
        <v>2</v>
      </c>
      <c r="E331" s="49">
        <v>17.72</v>
      </c>
      <c r="F331" s="49">
        <v>3</v>
      </c>
      <c r="G331" s="49">
        <v>0</v>
      </c>
      <c r="H331" s="49">
        <v>0.11499999999999999</v>
      </c>
      <c r="I331" s="49">
        <v>-1.2057142857142857</v>
      </c>
      <c r="J331" s="49">
        <v>54.615685714285711</v>
      </c>
      <c r="K331" s="49">
        <v>-0.69337142857142853</v>
      </c>
    </row>
    <row r="332" spans="1:11" ht="15.75" customHeight="1" x14ac:dyDescent="0.2">
      <c r="A332" s="50">
        <v>20</v>
      </c>
      <c r="B332" s="50">
        <v>1</v>
      </c>
      <c r="C332" s="50">
        <v>12.247228571428572</v>
      </c>
      <c r="D332" s="50">
        <v>0</v>
      </c>
      <c r="E332" s="50">
        <v>3.57</v>
      </c>
      <c r="F332" s="50">
        <v>2</v>
      </c>
      <c r="G332" s="50">
        <v>0</v>
      </c>
      <c r="H332" s="50">
        <v>6.8742857142857161E-2</v>
      </c>
      <c r="I332" s="50">
        <v>-9.0142857142857142</v>
      </c>
      <c r="J332" s="50">
        <v>1.7875428571428569</v>
      </c>
      <c r="K332" s="50">
        <v>0.51340000000000008</v>
      </c>
    </row>
    <row r="333" spans="1:11" ht="15.75" customHeight="1" x14ac:dyDescent="0.2">
      <c r="A333" s="51">
        <v>20</v>
      </c>
      <c r="B333" s="51">
        <v>1</v>
      </c>
      <c r="C333" s="51">
        <v>10.591685714285717</v>
      </c>
      <c r="D333" s="51">
        <v>0</v>
      </c>
      <c r="E333" s="51">
        <v>4.37</v>
      </c>
      <c r="F333" s="51">
        <v>2</v>
      </c>
      <c r="G333" s="51">
        <v>0</v>
      </c>
      <c r="H333" s="51">
        <v>6.6114285714285723E-2</v>
      </c>
      <c r="I333" s="51">
        <v>-1.5799999999999994</v>
      </c>
      <c r="J333" s="51">
        <v>31.923342857142853</v>
      </c>
      <c r="K333" s="51">
        <v>0.78339999999999976</v>
      </c>
    </row>
    <row r="334" spans="1:11" ht="15.75" customHeight="1" x14ac:dyDescent="0.2">
      <c r="A334" s="48">
        <v>20</v>
      </c>
      <c r="B334" s="48">
        <v>2</v>
      </c>
      <c r="C334" s="48">
        <v>11.044773493975905</v>
      </c>
      <c r="D334" s="48">
        <v>1</v>
      </c>
      <c r="E334" s="48">
        <v>7.06</v>
      </c>
      <c r="F334" s="48">
        <v>4</v>
      </c>
      <c r="G334" s="48">
        <v>0</v>
      </c>
      <c r="H334" s="48">
        <v>0.18451987951807164</v>
      </c>
      <c r="I334" s="48">
        <v>-7.8313253012051026E-3</v>
      </c>
      <c r="J334" s="48">
        <v>20.826842771084337</v>
      </c>
      <c r="K334" s="48">
        <v>1.0054759036144558</v>
      </c>
    </row>
    <row r="335" spans="1:11" ht="15.75" customHeight="1" x14ac:dyDescent="0.2">
      <c r="A335" s="49">
        <v>20</v>
      </c>
      <c r="B335" s="49">
        <v>2</v>
      </c>
      <c r="C335" s="49">
        <v>21.612835542168661</v>
      </c>
      <c r="D335" s="49">
        <v>0</v>
      </c>
      <c r="E335" s="49">
        <v>6.85</v>
      </c>
      <c r="F335" s="49">
        <v>4</v>
      </c>
      <c r="G335" s="49">
        <v>0</v>
      </c>
      <c r="H335" s="49">
        <v>0.19426144578313023</v>
      </c>
      <c r="I335" s="49">
        <v>-0.46421686746987939</v>
      </c>
      <c r="J335" s="49">
        <v>0</v>
      </c>
      <c r="K335" s="49">
        <v>0.42999638554216846</v>
      </c>
    </row>
    <row r="336" spans="1:11" ht="15.75" customHeight="1" x14ac:dyDescent="0.2">
      <c r="A336" s="50">
        <v>20</v>
      </c>
      <c r="B336" s="50">
        <v>2</v>
      </c>
      <c r="C336" s="50">
        <v>24.177757831325334</v>
      </c>
      <c r="D336" s="50">
        <v>0</v>
      </c>
      <c r="E336" s="50">
        <v>9.42</v>
      </c>
      <c r="F336" s="50">
        <v>3</v>
      </c>
      <c r="G336" s="50">
        <v>0</v>
      </c>
      <c r="H336" s="50">
        <v>0.22001385542168805</v>
      </c>
      <c r="I336" s="50">
        <v>-9.1271084337349286</v>
      </c>
      <c r="J336" s="50">
        <v>43.715106626505992</v>
      </c>
      <c r="K336" s="50">
        <v>0.9285469879518079</v>
      </c>
    </row>
    <row r="337" spans="1:11" ht="15.75" customHeight="1" x14ac:dyDescent="0.2">
      <c r="A337" s="49">
        <v>20</v>
      </c>
      <c r="B337" s="49">
        <v>2</v>
      </c>
      <c r="C337" s="49">
        <v>21.967960240963855</v>
      </c>
      <c r="D337" s="49">
        <v>1</v>
      </c>
      <c r="E337" s="49">
        <v>11.99</v>
      </c>
      <c r="F337" s="49">
        <v>3</v>
      </c>
      <c r="G337" s="49">
        <v>0</v>
      </c>
      <c r="H337" s="49">
        <v>0.1670421686746987</v>
      </c>
      <c r="I337" s="49">
        <v>-1.6071686746987657</v>
      </c>
      <c r="J337" s="49">
        <v>101.09162469879526</v>
      </c>
      <c r="K337" s="49">
        <v>8.5586746987951781E-2</v>
      </c>
    </row>
    <row r="338" spans="1:11" ht="15.75" customHeight="1" x14ac:dyDescent="0.2">
      <c r="A338" s="50">
        <v>20</v>
      </c>
      <c r="B338" s="50">
        <v>2</v>
      </c>
      <c r="C338" s="50">
        <v>22.516097590361454</v>
      </c>
      <c r="D338" s="50">
        <v>0</v>
      </c>
      <c r="E338" s="50">
        <v>1.83</v>
      </c>
      <c r="F338" s="50">
        <v>2</v>
      </c>
      <c r="G338" s="50">
        <v>0</v>
      </c>
      <c r="H338" s="50">
        <v>0.17950301204819311</v>
      </c>
      <c r="I338" s="50">
        <v>0.13566265060240959</v>
      </c>
      <c r="J338" s="50">
        <v>103.66977469879522</v>
      </c>
      <c r="K338" s="50">
        <v>0.15038915662650601</v>
      </c>
    </row>
    <row r="339" spans="1:11" ht="15.75" customHeight="1" x14ac:dyDescent="0.2">
      <c r="A339" s="51">
        <v>20</v>
      </c>
      <c r="B339" s="51">
        <v>2</v>
      </c>
      <c r="C339" s="51">
        <v>21.634277710843346</v>
      </c>
      <c r="D339" s="51">
        <v>0</v>
      </c>
      <c r="E339" s="51">
        <v>2.61</v>
      </c>
      <c r="F339" s="51">
        <v>2</v>
      </c>
      <c r="G339" s="51">
        <v>0</v>
      </c>
      <c r="H339" s="51">
        <v>0.14836024096385375</v>
      </c>
      <c r="I339" s="51">
        <v>-11.63385542168675</v>
      </c>
      <c r="J339" s="51">
        <v>69.02793915662653</v>
      </c>
      <c r="K339" s="51">
        <v>0.491995180722891</v>
      </c>
    </row>
    <row r="340" spans="1:11" ht="15.75" customHeight="1" x14ac:dyDescent="0.2">
      <c r="A340" s="48">
        <v>20</v>
      </c>
      <c r="B340" s="48">
        <v>3</v>
      </c>
      <c r="C340" s="48">
        <v>12.64316</v>
      </c>
      <c r="D340" s="48">
        <v>0</v>
      </c>
      <c r="E340" s="48">
        <v>4.66</v>
      </c>
      <c r="F340" s="48">
        <v>4</v>
      </c>
      <c r="G340" s="48">
        <v>0</v>
      </c>
      <c r="H340" s="48">
        <v>0.15820000000000004</v>
      </c>
      <c r="I340" s="48">
        <v>0.64800000000000013</v>
      </c>
      <c r="J340" s="48">
        <v>44.377719999999997</v>
      </c>
      <c r="K340" s="48">
        <v>0.77272000000000007</v>
      </c>
    </row>
    <row r="341" spans="1:11" ht="15.75" customHeight="1" x14ac:dyDescent="0.2">
      <c r="A341" s="49">
        <v>20</v>
      </c>
      <c r="B341" s="49">
        <v>3</v>
      </c>
      <c r="C341" s="49">
        <v>16.145959999999999</v>
      </c>
      <c r="D341" s="49">
        <v>0</v>
      </c>
      <c r="E341" s="49">
        <v>15.53</v>
      </c>
      <c r="F341" s="49">
        <v>4</v>
      </c>
      <c r="G341" s="49">
        <v>1.3599999999999999E-2</v>
      </c>
      <c r="H341" s="49">
        <v>0.11092000000000002</v>
      </c>
      <c r="I341" s="49">
        <v>-1.9480000000000002</v>
      </c>
      <c r="J341" s="49">
        <v>108.97164000000001</v>
      </c>
      <c r="K341" s="49">
        <v>1.0154399999999999</v>
      </c>
    </row>
    <row r="342" spans="1:11" ht="15.75" customHeight="1" x14ac:dyDescent="0.2">
      <c r="A342" s="50">
        <v>20</v>
      </c>
      <c r="B342" s="50">
        <v>3</v>
      </c>
      <c r="C342" s="50">
        <v>5.6957199999999997</v>
      </c>
      <c r="D342" s="50">
        <v>0</v>
      </c>
      <c r="E342" s="50">
        <v>4.51</v>
      </c>
      <c r="F342" s="50">
        <v>3</v>
      </c>
      <c r="G342" s="50">
        <v>2.8999999999999998E-2</v>
      </c>
      <c r="H342" s="50">
        <v>6.2E-2</v>
      </c>
      <c r="I342" s="50">
        <v>-22.648000000000003</v>
      </c>
      <c r="J342" s="50">
        <v>12.50456</v>
      </c>
      <c r="K342" s="50">
        <v>0.16144000000000003</v>
      </c>
    </row>
    <row r="343" spans="1:11" ht="15.75" customHeight="1" x14ac:dyDescent="0.2">
      <c r="A343" s="49">
        <v>20</v>
      </c>
      <c r="B343" s="49">
        <v>3</v>
      </c>
      <c r="C343" s="49">
        <v>13.899559999999999</v>
      </c>
      <c r="D343" s="49">
        <v>0</v>
      </c>
      <c r="E343" s="49">
        <v>4.9000000000000004</v>
      </c>
      <c r="F343" s="49">
        <v>3</v>
      </c>
      <c r="G343" s="49">
        <v>1.2E-4</v>
      </c>
      <c r="H343" s="49">
        <v>0.11971999999999999</v>
      </c>
      <c r="I343" s="49">
        <v>0.34399999999999997</v>
      </c>
      <c r="J343" s="49">
        <v>107.31348</v>
      </c>
      <c r="K343" s="49">
        <v>0.82287999999999994</v>
      </c>
    </row>
    <row r="344" spans="1:11" ht="15.75" customHeight="1" x14ac:dyDescent="0.2">
      <c r="A344" s="50">
        <v>20</v>
      </c>
      <c r="B344" s="50">
        <v>3</v>
      </c>
      <c r="C344" s="50">
        <v>11.038919999999997</v>
      </c>
      <c r="D344" s="50">
        <v>0</v>
      </c>
      <c r="E344" s="50">
        <v>2.0299999999999998</v>
      </c>
      <c r="F344" s="50">
        <v>2</v>
      </c>
      <c r="G344" s="50">
        <v>1.2279999999999999E-2</v>
      </c>
      <c r="H344" s="50">
        <v>0.11224000000000002</v>
      </c>
      <c r="I344" s="50">
        <v>-5.7759999999999998</v>
      </c>
      <c r="J344" s="50">
        <v>51.327399999999997</v>
      </c>
      <c r="K344" s="50">
        <v>0.65511999999999981</v>
      </c>
    </row>
    <row r="345" spans="1:11" ht="15.75" customHeight="1" x14ac:dyDescent="0.2">
      <c r="A345" s="51">
        <v>20</v>
      </c>
      <c r="B345" s="51">
        <v>3</v>
      </c>
      <c r="C345" s="51">
        <v>11.913440000000001</v>
      </c>
      <c r="D345" s="51">
        <v>0</v>
      </c>
      <c r="E345" s="51">
        <v>2.73</v>
      </c>
      <c r="F345" s="51">
        <v>2</v>
      </c>
      <c r="G345" s="51">
        <v>2.9360000000000001E-2</v>
      </c>
      <c r="H345" s="51">
        <v>7.2039999999999993E-2</v>
      </c>
      <c r="I345" s="51">
        <v>-9.1440000000000001</v>
      </c>
      <c r="J345" s="51">
        <v>49.097839999999998</v>
      </c>
      <c r="K345" s="51">
        <v>0.46168000000000009</v>
      </c>
    </row>
    <row r="346" spans="1:11" ht="15.75" customHeight="1" x14ac:dyDescent="0.2">
      <c r="A346" s="48">
        <v>21</v>
      </c>
      <c r="B346" s="48">
        <v>1</v>
      </c>
      <c r="C346" s="48">
        <v>12.390799999999997</v>
      </c>
      <c r="D346" s="48">
        <v>1</v>
      </c>
      <c r="E346" s="48">
        <v>17.93</v>
      </c>
      <c r="F346" s="48">
        <v>4</v>
      </c>
      <c r="G346" s="48">
        <v>7.3066666666666669E-2</v>
      </c>
      <c r="H346" s="48">
        <v>0.26496666666666668</v>
      </c>
      <c r="I346" s="48">
        <v>-8.9999999999999983E-2</v>
      </c>
      <c r="J346" s="48">
        <v>79.392399999999995</v>
      </c>
      <c r="K346" s="48">
        <v>0.69823333333333326</v>
      </c>
    </row>
    <row r="347" spans="1:11" ht="15.75" customHeight="1" x14ac:dyDescent="0.2">
      <c r="A347" s="49">
        <v>21</v>
      </c>
      <c r="B347" s="49">
        <v>1</v>
      </c>
      <c r="C347" s="49">
        <v>16.841000000000001</v>
      </c>
      <c r="D347" s="49">
        <v>0</v>
      </c>
      <c r="E347" s="49">
        <v>5.99</v>
      </c>
      <c r="F347" s="49">
        <v>4</v>
      </c>
      <c r="G347" s="49">
        <v>3.5099999999999999E-2</v>
      </c>
      <c r="H347" s="49">
        <v>0.2117</v>
      </c>
      <c r="I347" s="49">
        <v>-0.1833333333333334</v>
      </c>
      <c r="J347" s="49">
        <v>0</v>
      </c>
      <c r="K347" s="49">
        <v>0.43709999999999993</v>
      </c>
    </row>
    <row r="348" spans="1:11" ht="15.75" customHeight="1" x14ac:dyDescent="0.2">
      <c r="A348" s="50">
        <v>21</v>
      </c>
      <c r="B348" s="50">
        <v>1</v>
      </c>
      <c r="C348" s="50">
        <v>2.504066666666668</v>
      </c>
      <c r="D348" s="50">
        <v>0</v>
      </c>
      <c r="E348" s="50">
        <v>4.3899999999999997</v>
      </c>
      <c r="F348" s="50">
        <v>3</v>
      </c>
      <c r="G348" s="50">
        <v>0.36810000000000004</v>
      </c>
      <c r="H348" s="50">
        <v>0.12139999999999999</v>
      </c>
      <c r="I348" s="50">
        <v>-0.92333333333333345</v>
      </c>
      <c r="J348" s="50">
        <v>49.65206666666667</v>
      </c>
      <c r="K348" s="50">
        <v>0.87726666666666619</v>
      </c>
    </row>
    <row r="349" spans="1:11" ht="15.75" customHeight="1" x14ac:dyDescent="0.2">
      <c r="A349" s="49">
        <v>21</v>
      </c>
      <c r="B349" s="49">
        <v>1</v>
      </c>
      <c r="C349" s="49">
        <v>11.829033333333333</v>
      </c>
      <c r="D349" s="49">
        <v>0</v>
      </c>
      <c r="E349" s="49">
        <v>8.74</v>
      </c>
      <c r="F349" s="49">
        <v>3</v>
      </c>
      <c r="G349" s="49">
        <v>0</v>
      </c>
      <c r="H349" s="49">
        <v>0.16703333333333331</v>
      </c>
      <c r="I349" s="49">
        <v>-21.91333333333333</v>
      </c>
      <c r="J349" s="49">
        <v>210.42280000000002</v>
      </c>
      <c r="K349" s="49">
        <v>0.82903333333333318</v>
      </c>
    </row>
    <row r="350" spans="1:11" ht="15.75" customHeight="1" x14ac:dyDescent="0.2">
      <c r="A350" s="50">
        <v>21</v>
      </c>
      <c r="B350" s="50">
        <v>1</v>
      </c>
      <c r="C350" s="50">
        <v>19.638433333333332</v>
      </c>
      <c r="D350" s="50">
        <v>0</v>
      </c>
      <c r="E350" s="50">
        <v>3.55</v>
      </c>
      <c r="F350" s="50">
        <v>2</v>
      </c>
      <c r="G350" s="50">
        <v>0</v>
      </c>
      <c r="H350" s="50">
        <v>0.1550666666666666</v>
      </c>
      <c r="I350" s="50">
        <v>-10.163333333333332</v>
      </c>
      <c r="J350" s="50">
        <v>9.1008333333333322</v>
      </c>
      <c r="K350" s="50">
        <v>0.98110000000000008</v>
      </c>
    </row>
    <row r="351" spans="1:11" ht="15.75" customHeight="1" x14ac:dyDescent="0.2">
      <c r="A351" s="51">
        <v>21</v>
      </c>
      <c r="B351" s="51">
        <v>1</v>
      </c>
      <c r="C351" s="51">
        <v>12.323866666666667</v>
      </c>
      <c r="D351" s="51">
        <v>0</v>
      </c>
      <c r="E351" s="51">
        <v>5.29</v>
      </c>
      <c r="F351" s="51">
        <v>2</v>
      </c>
      <c r="G351" s="51">
        <v>7.1266666666666659E-2</v>
      </c>
      <c r="H351" s="51">
        <v>0.15193333333333336</v>
      </c>
      <c r="I351" s="51">
        <v>6.6666666666669091E-3</v>
      </c>
      <c r="J351" s="51">
        <v>20.499900000000004</v>
      </c>
      <c r="K351" s="51">
        <v>0.21910000000000004</v>
      </c>
    </row>
    <row r="352" spans="1:11" ht="15.75" customHeight="1" x14ac:dyDescent="0.2">
      <c r="A352" s="48">
        <v>21</v>
      </c>
      <c r="B352" s="48">
        <v>2</v>
      </c>
      <c r="C352" s="48">
        <v>15.555011387900361</v>
      </c>
      <c r="D352" s="48">
        <v>0</v>
      </c>
      <c r="E352" s="48">
        <v>5.78</v>
      </c>
      <c r="F352" s="48">
        <v>4</v>
      </c>
      <c r="G352" s="48">
        <v>0</v>
      </c>
      <c r="H352" s="48">
        <v>0.27920284697508674</v>
      </c>
      <c r="I352" s="48">
        <v>-0.18220640569394991</v>
      </c>
      <c r="J352" s="48">
        <v>49.390723131672587</v>
      </c>
      <c r="K352" s="48">
        <v>1.2364832740213518</v>
      </c>
    </row>
    <row r="353" spans="1:11" ht="15.75" customHeight="1" x14ac:dyDescent="0.2">
      <c r="A353" s="49">
        <v>21</v>
      </c>
      <c r="B353" s="49">
        <v>2</v>
      </c>
      <c r="C353" s="49">
        <v>25.474758718861196</v>
      </c>
      <c r="D353" s="49">
        <v>1</v>
      </c>
      <c r="E353" s="49">
        <v>12.95</v>
      </c>
      <c r="F353" s="49">
        <v>4</v>
      </c>
      <c r="G353" s="49">
        <v>0</v>
      </c>
      <c r="H353" s="49">
        <v>0.2483580071174413</v>
      </c>
      <c r="I353" s="49">
        <v>0.12270462633451908</v>
      </c>
      <c r="J353" s="49">
        <v>0</v>
      </c>
      <c r="K353" s="49">
        <v>1.1425131672597877</v>
      </c>
    </row>
    <row r="354" spans="1:11" ht="15.75" customHeight="1" x14ac:dyDescent="0.2">
      <c r="A354" s="50">
        <v>21</v>
      </c>
      <c r="B354" s="50">
        <v>2</v>
      </c>
      <c r="C354" s="50">
        <v>23.03527473309606</v>
      </c>
      <c r="D354" s="50">
        <v>0</v>
      </c>
      <c r="E354" s="50">
        <v>3.43</v>
      </c>
      <c r="F354" s="50">
        <v>3</v>
      </c>
      <c r="G354" s="50">
        <v>1.994092526690389E-2</v>
      </c>
      <c r="H354" s="50">
        <v>0.22185907473309624</v>
      </c>
      <c r="I354" s="50">
        <v>-9.822633451957298</v>
      </c>
      <c r="J354" s="50">
        <v>0</v>
      </c>
      <c r="K354" s="50">
        <v>0.30780498220640545</v>
      </c>
    </row>
    <row r="355" spans="1:11" ht="15.75" customHeight="1" x14ac:dyDescent="0.2">
      <c r="A355" s="49">
        <v>21</v>
      </c>
      <c r="B355" s="49">
        <v>2</v>
      </c>
      <c r="C355" s="49">
        <v>24.36360782918149</v>
      </c>
      <c r="D355" s="49">
        <v>1</v>
      </c>
      <c r="E355" s="49">
        <v>5.98</v>
      </c>
      <c r="F355" s="49">
        <v>3</v>
      </c>
      <c r="G355" s="49">
        <v>0</v>
      </c>
      <c r="H355" s="49">
        <v>0.23165480427046423</v>
      </c>
      <c r="I355" s="49">
        <v>-4.2963701067616</v>
      </c>
      <c r="J355" s="49">
        <v>0</v>
      </c>
      <c r="K355" s="49">
        <v>0.26678362989323839</v>
      </c>
    </row>
    <row r="356" spans="1:11" ht="15.75" customHeight="1" x14ac:dyDescent="0.2">
      <c r="A356" s="50">
        <v>21</v>
      </c>
      <c r="B356" s="50">
        <v>2</v>
      </c>
      <c r="C356" s="50">
        <v>26.169545907473314</v>
      </c>
      <c r="D356" s="50">
        <v>0</v>
      </c>
      <c r="E356" s="50">
        <v>1.65</v>
      </c>
      <c r="F356" s="50">
        <v>2</v>
      </c>
      <c r="G356" s="50">
        <v>0</v>
      </c>
      <c r="H356" s="50">
        <v>0.24490960854092661</v>
      </c>
      <c r="I356" s="50">
        <v>0.27722419928825676</v>
      </c>
      <c r="J356" s="50">
        <v>0</v>
      </c>
      <c r="K356" s="50">
        <v>0.31157010676156532</v>
      </c>
    </row>
    <row r="357" spans="1:11" ht="15.75" customHeight="1" x14ac:dyDescent="0.2">
      <c r="A357" s="51">
        <v>21</v>
      </c>
      <c r="B357" s="51">
        <v>2</v>
      </c>
      <c r="C357" s="51">
        <v>26.148167259786433</v>
      </c>
      <c r="D357" s="51">
        <v>0</v>
      </c>
      <c r="E357" s="51">
        <v>3.82</v>
      </c>
      <c r="F357" s="51">
        <v>2</v>
      </c>
      <c r="G357" s="51">
        <v>1.3436298932384357E-2</v>
      </c>
      <c r="H357" s="51">
        <v>0.19984270462633424</v>
      </c>
      <c r="I357" s="51">
        <v>-12.379359430604987</v>
      </c>
      <c r="J357" s="51">
        <v>43.828077580071195</v>
      </c>
      <c r="K357" s="51">
        <v>-7.0305338078291715E-2</v>
      </c>
    </row>
    <row r="358" spans="1:11" ht="15.75" customHeight="1" x14ac:dyDescent="0.2">
      <c r="A358" s="48">
        <v>21</v>
      </c>
      <c r="B358" s="48">
        <v>3</v>
      </c>
      <c r="C358" s="48">
        <v>16.606439999999999</v>
      </c>
      <c r="D358" s="48">
        <v>0</v>
      </c>
      <c r="E358" s="48">
        <v>5.47</v>
      </c>
      <c r="F358" s="48">
        <v>4</v>
      </c>
      <c r="G358" s="48">
        <v>0.01</v>
      </c>
      <c r="H358" s="48">
        <v>0.251</v>
      </c>
      <c r="I358" s="48">
        <v>0.32400000000000007</v>
      </c>
      <c r="J358" s="48">
        <v>1.7066399999999999</v>
      </c>
      <c r="K358" s="48">
        <v>0.53875999999999991</v>
      </c>
    </row>
    <row r="359" spans="1:11" ht="15.75" customHeight="1" x14ac:dyDescent="0.2">
      <c r="A359" s="49">
        <v>21</v>
      </c>
      <c r="B359" s="49">
        <v>3</v>
      </c>
      <c r="C359" s="49">
        <v>12.907839999999998</v>
      </c>
      <c r="D359" s="49">
        <v>0</v>
      </c>
      <c r="E359" s="49">
        <v>8.35</v>
      </c>
      <c r="F359" s="49">
        <v>4</v>
      </c>
      <c r="G359" s="49">
        <v>0.14147999999999999</v>
      </c>
      <c r="H359" s="49">
        <v>0.1376</v>
      </c>
      <c r="I359" s="49">
        <v>-1.2280000000000004</v>
      </c>
      <c r="J359" s="49">
        <v>20.3766</v>
      </c>
      <c r="K359" s="49">
        <v>0.56520000000000015</v>
      </c>
    </row>
    <row r="360" spans="1:11" ht="15.75" customHeight="1" x14ac:dyDescent="0.2">
      <c r="A360" s="50">
        <v>21</v>
      </c>
      <c r="B360" s="50">
        <v>3</v>
      </c>
      <c r="C360" s="50">
        <v>9.2662400000000016</v>
      </c>
      <c r="D360" s="50">
        <v>0</v>
      </c>
      <c r="E360" s="50">
        <v>4.9400000000000004</v>
      </c>
      <c r="F360" s="50">
        <v>3</v>
      </c>
      <c r="G360" s="50">
        <v>5.04E-2</v>
      </c>
      <c r="H360" s="50">
        <v>0.14940000000000001</v>
      </c>
      <c r="I360" s="50">
        <v>-24.832000000000008</v>
      </c>
      <c r="J360" s="50">
        <v>14.90532</v>
      </c>
      <c r="K360" s="50">
        <v>0.32239999999999996</v>
      </c>
    </row>
    <row r="361" spans="1:11" ht="15.75" customHeight="1" x14ac:dyDescent="0.2">
      <c r="A361" s="49">
        <v>21</v>
      </c>
      <c r="B361" s="49">
        <v>3</v>
      </c>
      <c r="C361" s="49">
        <v>12.340120000000002</v>
      </c>
      <c r="D361" s="49">
        <v>0</v>
      </c>
      <c r="E361" s="49">
        <v>4.9000000000000004</v>
      </c>
      <c r="F361" s="49">
        <v>3</v>
      </c>
      <c r="G361" s="49">
        <v>0.15272000000000002</v>
      </c>
      <c r="H361" s="49">
        <v>0.20304</v>
      </c>
      <c r="I361" s="49">
        <v>1.0799999999999998</v>
      </c>
      <c r="J361" s="49">
        <v>3.38348</v>
      </c>
      <c r="K361" s="49">
        <v>-3.0200000000000005E-2</v>
      </c>
    </row>
    <row r="362" spans="1:11" ht="15.75" customHeight="1" x14ac:dyDescent="0.2">
      <c r="A362" s="50">
        <v>21</v>
      </c>
      <c r="B362" s="50">
        <v>3</v>
      </c>
      <c r="C362" s="50">
        <v>18.519719999999996</v>
      </c>
      <c r="D362" s="50">
        <v>0</v>
      </c>
      <c r="E362" s="50">
        <v>2.5099999999999998</v>
      </c>
      <c r="F362" s="50">
        <v>2</v>
      </c>
      <c r="G362" s="50">
        <v>2.3959999999999999E-2</v>
      </c>
      <c r="H362" s="50">
        <v>0.22824000000000003</v>
      </c>
      <c r="I362" s="50">
        <v>-13.560000000000002</v>
      </c>
      <c r="J362" s="50">
        <v>74.09208000000001</v>
      </c>
      <c r="K362" s="50">
        <v>0.53380000000000005</v>
      </c>
    </row>
    <row r="363" spans="1:11" ht="15.75" customHeight="1" x14ac:dyDescent="0.2">
      <c r="A363" s="51">
        <v>21</v>
      </c>
      <c r="B363" s="51">
        <v>3</v>
      </c>
      <c r="C363" s="51">
        <v>10.375119999999999</v>
      </c>
      <c r="D363" s="51">
        <v>0</v>
      </c>
      <c r="E363" s="51">
        <v>1.91</v>
      </c>
      <c r="F363" s="51">
        <v>2</v>
      </c>
      <c r="G363" s="51">
        <v>3.8240000000000003E-2</v>
      </c>
      <c r="H363" s="51">
        <v>0.15812000000000001</v>
      </c>
      <c r="I363" s="51">
        <v>-0.39200000000000018</v>
      </c>
      <c r="J363" s="51">
        <v>24.215880000000002</v>
      </c>
      <c r="K363" s="51">
        <v>0.32295999999999997</v>
      </c>
    </row>
    <row r="364" spans="1:11" ht="15.75" customHeight="1" x14ac:dyDescent="0.2">
      <c r="A364" s="48">
        <v>22</v>
      </c>
      <c r="B364" s="48">
        <v>1</v>
      </c>
      <c r="C364" s="48">
        <v>13.647518518518519</v>
      </c>
      <c r="D364" s="48">
        <v>1</v>
      </c>
      <c r="E364" s="48">
        <v>11.59</v>
      </c>
      <c r="F364" s="48">
        <v>4</v>
      </c>
      <c r="G364" s="48">
        <v>0</v>
      </c>
      <c r="H364" s="48">
        <v>0.17462962962962966</v>
      </c>
      <c r="I364" s="48">
        <v>0.78148148148148167</v>
      </c>
      <c r="J364" s="48">
        <v>90.120444444444445</v>
      </c>
      <c r="K364" s="48">
        <v>0.82170370370370371</v>
      </c>
    </row>
    <row r="365" spans="1:11" ht="15.75" customHeight="1" x14ac:dyDescent="0.2">
      <c r="A365" s="49">
        <v>22</v>
      </c>
      <c r="B365" s="49">
        <v>1</v>
      </c>
      <c r="C365" s="49">
        <v>16.055777777777777</v>
      </c>
      <c r="D365" s="49">
        <v>1</v>
      </c>
      <c r="E365" s="49">
        <v>24.36</v>
      </c>
      <c r="F365" s="49">
        <v>4</v>
      </c>
      <c r="G365" s="49">
        <v>0</v>
      </c>
      <c r="H365" s="49">
        <v>0.10044444444444445</v>
      </c>
      <c r="I365" s="49">
        <v>-0.26296296296296301</v>
      </c>
      <c r="J365" s="49">
        <v>139.23203703703706</v>
      </c>
      <c r="K365" s="49">
        <v>1.0024074074074074</v>
      </c>
    </row>
    <row r="366" spans="1:11" ht="15.75" customHeight="1" x14ac:dyDescent="0.2">
      <c r="A366" s="50">
        <v>22</v>
      </c>
      <c r="B366" s="50">
        <v>1</v>
      </c>
      <c r="C366" s="50">
        <v>11.066629629629631</v>
      </c>
      <c r="D366" s="50">
        <v>0</v>
      </c>
      <c r="E366" s="50">
        <v>6.11</v>
      </c>
      <c r="F366" s="50">
        <v>3</v>
      </c>
      <c r="G366" s="50">
        <v>8.6296296296296295E-3</v>
      </c>
      <c r="H366" s="50">
        <v>7.8703703703703706E-2</v>
      </c>
      <c r="I366" s="50">
        <v>-17.711111111111112</v>
      </c>
      <c r="J366" s="50">
        <v>85.086629629629613</v>
      </c>
      <c r="K366" s="50">
        <v>0.24774074074074079</v>
      </c>
    </row>
    <row r="367" spans="1:11" ht="15.75" customHeight="1" x14ac:dyDescent="0.2">
      <c r="A367" s="49">
        <v>22</v>
      </c>
      <c r="B367" s="49">
        <v>1</v>
      </c>
      <c r="C367" s="49">
        <v>16.764222222222223</v>
      </c>
      <c r="D367" s="49">
        <v>0</v>
      </c>
      <c r="E367" s="49">
        <v>5.59</v>
      </c>
      <c r="F367" s="49">
        <v>3</v>
      </c>
      <c r="G367" s="49">
        <v>0</v>
      </c>
      <c r="H367" s="49">
        <v>0.13955555555555557</v>
      </c>
      <c r="I367" s="49">
        <v>-0.82592592592592584</v>
      </c>
      <c r="J367" s="49">
        <v>75.454407407407416</v>
      </c>
      <c r="K367" s="49">
        <v>0.11177777777777778</v>
      </c>
    </row>
    <row r="368" spans="1:11" ht="15.75" customHeight="1" x14ac:dyDescent="0.2">
      <c r="A368" s="50">
        <v>22</v>
      </c>
      <c r="B368" s="50">
        <v>1</v>
      </c>
      <c r="C368" s="50">
        <v>15.726925925925926</v>
      </c>
      <c r="D368" s="50">
        <v>0</v>
      </c>
      <c r="E368" s="50">
        <v>4.72</v>
      </c>
      <c r="F368" s="50">
        <v>2</v>
      </c>
      <c r="G368" s="50">
        <v>0</v>
      </c>
      <c r="H368" s="50">
        <v>0.12314814814814817</v>
      </c>
      <c r="I368" s="50">
        <v>-10.822222222222225</v>
      </c>
      <c r="J368" s="50">
        <v>0</v>
      </c>
      <c r="K368" s="50">
        <v>-0.45559259259259266</v>
      </c>
    </row>
    <row r="369" spans="1:11" ht="15.75" customHeight="1" x14ac:dyDescent="0.2">
      <c r="A369" s="51">
        <v>22</v>
      </c>
      <c r="B369" s="51">
        <v>1</v>
      </c>
      <c r="C369" s="51">
        <v>11.580444444444447</v>
      </c>
      <c r="D369" s="51">
        <v>1</v>
      </c>
      <c r="E369" s="51">
        <v>6.3</v>
      </c>
      <c r="F369" s="51">
        <v>2</v>
      </c>
      <c r="G369" s="51">
        <v>1.1370370370370371E-2</v>
      </c>
      <c r="H369" s="51">
        <v>5.566666666666667E-2</v>
      </c>
      <c r="I369" s="51">
        <v>-7.4074074074072247E-3</v>
      </c>
      <c r="J369" s="51">
        <v>18.192185185185192</v>
      </c>
      <c r="K369" s="51">
        <v>0.47614814814814826</v>
      </c>
    </row>
    <row r="370" spans="1:11" ht="15.75" customHeight="1" x14ac:dyDescent="0.2">
      <c r="A370" s="48">
        <v>22</v>
      </c>
      <c r="B370" s="48">
        <v>2</v>
      </c>
      <c r="C370" s="48">
        <v>8.9774224311618536</v>
      </c>
      <c r="D370" s="48">
        <v>0</v>
      </c>
      <c r="E370" s="48">
        <v>5.9</v>
      </c>
      <c r="F370" s="48">
        <v>4</v>
      </c>
      <c r="G370" s="48">
        <v>0</v>
      </c>
      <c r="H370" s="48">
        <v>0.19376158495634824</v>
      </c>
      <c r="I370" s="48">
        <v>-4.1019476158495554</v>
      </c>
      <c r="J370" s="48">
        <v>23.056525184687708</v>
      </c>
      <c r="K370" s="48">
        <v>1.0654795164539959</v>
      </c>
    </row>
    <row r="371" spans="1:11" ht="15.75" customHeight="1" x14ac:dyDescent="0.2">
      <c r="A371" s="49">
        <v>22</v>
      </c>
      <c r="B371" s="49">
        <v>2</v>
      </c>
      <c r="C371" s="49">
        <v>26.428874412357285</v>
      </c>
      <c r="D371" s="49">
        <v>1</v>
      </c>
      <c r="E371" s="49">
        <v>10.5</v>
      </c>
      <c r="F371" s="49">
        <v>4</v>
      </c>
      <c r="G371" s="49">
        <v>0</v>
      </c>
      <c r="H371" s="49">
        <v>0.29600268636668853</v>
      </c>
      <c r="I371" s="49">
        <v>-4.3586299529886026E-2</v>
      </c>
      <c r="J371" s="49">
        <v>0</v>
      </c>
      <c r="K371" s="49">
        <v>0.77243787777031614</v>
      </c>
    </row>
    <row r="372" spans="1:11" ht="15.75" customHeight="1" x14ac:dyDescent="0.2">
      <c r="A372" s="50">
        <v>22</v>
      </c>
      <c r="B372" s="50">
        <v>2</v>
      </c>
      <c r="C372" s="50">
        <v>28.851125587642688</v>
      </c>
      <c r="D372" s="50">
        <v>0</v>
      </c>
      <c r="E372" s="50">
        <v>4.13</v>
      </c>
      <c r="F372" s="50">
        <v>3</v>
      </c>
      <c r="G372" s="50">
        <v>0</v>
      </c>
      <c r="H372" s="50">
        <v>0.26510946944258174</v>
      </c>
      <c r="I372" s="50">
        <v>-11.987374076561451</v>
      </c>
      <c r="J372" s="50">
        <v>0</v>
      </c>
      <c r="K372" s="50">
        <v>0.48988985896574894</v>
      </c>
    </row>
    <row r="373" spans="1:11" ht="15.75" customHeight="1" x14ac:dyDescent="0.2">
      <c r="A373" s="49">
        <v>22</v>
      </c>
      <c r="B373" s="49">
        <v>2</v>
      </c>
      <c r="C373" s="49">
        <v>28.227519811954437</v>
      </c>
      <c r="D373" s="49">
        <v>0</v>
      </c>
      <c r="E373" s="49">
        <v>5.27</v>
      </c>
      <c r="F373" s="49">
        <v>3</v>
      </c>
      <c r="G373" s="49">
        <v>0</v>
      </c>
      <c r="H373" s="49">
        <v>0.25196910678307627</v>
      </c>
      <c r="I373" s="49">
        <v>-1.2024177300201473</v>
      </c>
      <c r="J373" s="49">
        <v>0</v>
      </c>
      <c r="K373" s="49">
        <v>0.36751712558764277</v>
      </c>
    </row>
    <row r="374" spans="1:11" ht="15.75" customHeight="1" x14ac:dyDescent="0.2">
      <c r="A374" s="50">
        <v>22</v>
      </c>
      <c r="B374" s="50">
        <v>2</v>
      </c>
      <c r="C374" s="50">
        <v>28.512048354600434</v>
      </c>
      <c r="D374" s="50">
        <v>0</v>
      </c>
      <c r="E374" s="50">
        <v>3.43</v>
      </c>
      <c r="F374" s="50">
        <v>2</v>
      </c>
      <c r="G374" s="50">
        <v>0</v>
      </c>
      <c r="H374" s="50">
        <v>0.25399932840832773</v>
      </c>
      <c r="I374" s="50">
        <v>-1.7685695097380776</v>
      </c>
      <c r="J374" s="50">
        <v>0</v>
      </c>
      <c r="K374" s="50">
        <v>0.67879852249832096</v>
      </c>
    </row>
    <row r="375" spans="1:11" ht="15.75" customHeight="1" x14ac:dyDescent="0.2">
      <c r="A375" s="51">
        <v>22</v>
      </c>
      <c r="B375" s="51">
        <v>2</v>
      </c>
      <c r="C375" s="51">
        <v>26.519819341840147</v>
      </c>
      <c r="D375" s="51">
        <v>0</v>
      </c>
      <c r="E375" s="51">
        <v>4</v>
      </c>
      <c r="F375" s="51">
        <v>2</v>
      </c>
      <c r="G375" s="51">
        <v>0</v>
      </c>
      <c r="H375" s="51">
        <v>0.20459234385493641</v>
      </c>
      <c r="I375" s="51">
        <v>-11.65849563465412</v>
      </c>
      <c r="J375" s="51">
        <v>12.204104096709209</v>
      </c>
      <c r="K375" s="51">
        <v>0.66148085963734071</v>
      </c>
    </row>
    <row r="376" spans="1:11" ht="15.75" customHeight="1" x14ac:dyDescent="0.2">
      <c r="A376" s="48">
        <v>22</v>
      </c>
      <c r="B376" s="48">
        <v>3</v>
      </c>
      <c r="C376" s="48">
        <v>12.858730769230771</v>
      </c>
      <c r="D376" s="48">
        <v>0</v>
      </c>
      <c r="E376" s="48">
        <v>5.9</v>
      </c>
      <c r="F376" s="48">
        <v>4</v>
      </c>
      <c r="G376" s="48">
        <v>0</v>
      </c>
      <c r="H376" s="48">
        <v>0.18850000000000003</v>
      </c>
      <c r="I376" s="48">
        <v>0.98076923076923073</v>
      </c>
      <c r="J376" s="48">
        <v>26.339653846153848</v>
      </c>
      <c r="K376" s="48">
        <v>0.88842307692307698</v>
      </c>
    </row>
    <row r="377" spans="1:11" ht="15.75" customHeight="1" x14ac:dyDescent="0.2">
      <c r="A377" s="49">
        <v>22</v>
      </c>
      <c r="B377" s="49">
        <v>3</v>
      </c>
      <c r="C377" s="49">
        <v>15.95073076923077</v>
      </c>
      <c r="D377" s="49">
        <v>3</v>
      </c>
      <c r="E377" s="49">
        <v>17.309999999999999</v>
      </c>
      <c r="F377" s="49">
        <v>4</v>
      </c>
      <c r="G377" s="49">
        <v>8.6807692307692294E-2</v>
      </c>
      <c r="H377" s="49">
        <v>9.246153846153847E-2</v>
      </c>
      <c r="I377" s="49">
        <v>4.1192307692307688</v>
      </c>
      <c r="J377" s="49">
        <v>3.9719615384615383</v>
      </c>
      <c r="K377" s="49">
        <v>0.89330769230769236</v>
      </c>
    </row>
    <row r="378" spans="1:11" ht="15.75" customHeight="1" x14ac:dyDescent="0.2">
      <c r="A378" s="50">
        <v>22</v>
      </c>
      <c r="B378" s="50">
        <v>3</v>
      </c>
      <c r="C378" s="50">
        <v>11.032500000000001</v>
      </c>
      <c r="D378" s="50">
        <v>1</v>
      </c>
      <c r="E378" s="50">
        <v>8.4</v>
      </c>
      <c r="F378" s="50">
        <v>3</v>
      </c>
      <c r="G378" s="50">
        <v>0</v>
      </c>
      <c r="H378" s="50">
        <v>0.18646153846153846</v>
      </c>
      <c r="I378" s="50">
        <v>-23.415384615384614</v>
      </c>
      <c r="J378" s="50">
        <v>8.7145384615384618</v>
      </c>
      <c r="K378" s="50">
        <v>0.32307692307692287</v>
      </c>
    </row>
    <row r="379" spans="1:11" ht="15.75" customHeight="1" x14ac:dyDescent="0.2">
      <c r="A379" s="49">
        <v>22</v>
      </c>
      <c r="B379" s="49">
        <v>3</v>
      </c>
      <c r="C379" s="49">
        <v>14.437192307692309</v>
      </c>
      <c r="D379" s="49">
        <v>0</v>
      </c>
      <c r="E379" s="49">
        <v>4.26</v>
      </c>
      <c r="F379" s="49">
        <v>3</v>
      </c>
      <c r="G379" s="49">
        <v>2.5500000000000002E-2</v>
      </c>
      <c r="H379" s="49">
        <v>0.11453846153846153</v>
      </c>
      <c r="I379" s="49">
        <v>-2.773076923076923</v>
      </c>
      <c r="J379" s="49">
        <v>10.316961538461538</v>
      </c>
      <c r="K379" s="49">
        <v>0.2363076923076923</v>
      </c>
    </row>
    <row r="380" spans="1:11" ht="15.75" customHeight="1" x14ac:dyDescent="0.2">
      <c r="A380" s="50">
        <v>22</v>
      </c>
      <c r="B380" s="50">
        <v>3</v>
      </c>
      <c r="C380" s="50">
        <v>13.837884615384613</v>
      </c>
      <c r="D380" s="50">
        <v>0</v>
      </c>
      <c r="E380" s="50">
        <v>3.08</v>
      </c>
      <c r="F380" s="50">
        <v>2</v>
      </c>
      <c r="G380" s="50">
        <v>2.7538461538461536E-2</v>
      </c>
      <c r="H380" s="50">
        <v>9.1923076923076899E-2</v>
      </c>
      <c r="I380" s="50">
        <v>-11.242307692307698</v>
      </c>
      <c r="J380" s="50">
        <v>40.422730769230768</v>
      </c>
      <c r="K380" s="50">
        <v>-4.373076923076924E-2</v>
      </c>
    </row>
    <row r="381" spans="1:11" ht="15.75" customHeight="1" x14ac:dyDescent="0.2">
      <c r="A381" s="51">
        <v>22</v>
      </c>
      <c r="B381" s="51">
        <v>3</v>
      </c>
      <c r="C381" s="51">
        <v>10.879807692307692</v>
      </c>
      <c r="D381" s="51">
        <v>1</v>
      </c>
      <c r="E381" s="51">
        <v>5.94</v>
      </c>
      <c r="F381" s="51">
        <v>2</v>
      </c>
      <c r="G381" s="51">
        <v>9.8461538461538465E-3</v>
      </c>
      <c r="H381" s="51">
        <v>0.13530769230769232</v>
      </c>
      <c r="I381" s="51">
        <v>-2.057692307692307</v>
      </c>
      <c r="J381" s="51">
        <v>80.745307692307705</v>
      </c>
      <c r="K381" s="51">
        <v>0.25265384615384617</v>
      </c>
    </row>
    <row r="382" spans="1:11" ht="15.75" customHeight="1" x14ac:dyDescent="0.2">
      <c r="A382" s="48">
        <v>23</v>
      </c>
      <c r="B382" s="48">
        <v>1</v>
      </c>
      <c r="C382" s="48">
        <v>14.580061224489796</v>
      </c>
      <c r="D382" s="48">
        <v>0</v>
      </c>
      <c r="E382" s="48">
        <v>3.78</v>
      </c>
      <c r="F382" s="48">
        <v>4</v>
      </c>
      <c r="G382" s="48">
        <v>0</v>
      </c>
      <c r="H382" s="48">
        <v>0.14320408163265305</v>
      </c>
      <c r="I382" s="48">
        <v>-0.46326530612244909</v>
      </c>
      <c r="J382" s="48">
        <v>0</v>
      </c>
      <c r="K382" s="48">
        <v>-7.0408163265305796E-3</v>
      </c>
    </row>
    <row r="383" spans="1:11" ht="15.75" customHeight="1" x14ac:dyDescent="0.2">
      <c r="A383" s="49">
        <v>23</v>
      </c>
      <c r="B383" s="49">
        <v>1</v>
      </c>
      <c r="C383" s="49">
        <v>12.779775510204081</v>
      </c>
      <c r="D383" s="49">
        <v>0</v>
      </c>
      <c r="E383" s="49">
        <v>8.58</v>
      </c>
      <c r="F383" s="49">
        <v>4</v>
      </c>
      <c r="G383" s="49">
        <v>3.3040816326530609E-2</v>
      </c>
      <c r="H383" s="49">
        <v>0.1435714285714286</v>
      </c>
      <c r="I383" s="49">
        <v>-7.6612244897959147</v>
      </c>
      <c r="J383" s="49">
        <v>0</v>
      </c>
      <c r="K383" s="49">
        <v>0.52377551020408175</v>
      </c>
    </row>
    <row r="384" spans="1:11" ht="15.75" customHeight="1" x14ac:dyDescent="0.2">
      <c r="A384" s="50">
        <v>23</v>
      </c>
      <c r="B384" s="50">
        <v>1</v>
      </c>
      <c r="C384" s="50">
        <v>17.185673469387758</v>
      </c>
      <c r="D384" s="50">
        <v>1</v>
      </c>
      <c r="E384" s="50">
        <v>4.88</v>
      </c>
      <c r="F384" s="50">
        <v>3</v>
      </c>
      <c r="G384" s="50">
        <v>9.0816326530612241E-3</v>
      </c>
      <c r="H384" s="50">
        <v>0.11112244897959184</v>
      </c>
      <c r="I384" s="50">
        <v>-6.5632653061224469</v>
      </c>
      <c r="J384" s="50">
        <v>17.216489795918367</v>
      </c>
      <c r="K384" s="50">
        <v>0.21395918367346942</v>
      </c>
    </row>
    <row r="385" spans="1:11" ht="15.75" customHeight="1" x14ac:dyDescent="0.2">
      <c r="A385" s="49">
        <v>23</v>
      </c>
      <c r="B385" s="49">
        <v>1</v>
      </c>
      <c r="C385" s="49">
        <v>9.3764897959183653</v>
      </c>
      <c r="D385" s="49">
        <v>0</v>
      </c>
      <c r="E385" s="49">
        <v>2.2799999999999998</v>
      </c>
      <c r="F385" s="49">
        <v>3</v>
      </c>
      <c r="G385" s="49">
        <v>7.2857142857142851E-3</v>
      </c>
      <c r="H385" s="49">
        <v>5.781632653061225E-2</v>
      </c>
      <c r="I385" s="49">
        <v>0.28979591836734697</v>
      </c>
      <c r="J385" s="49">
        <v>14.334836734693884</v>
      </c>
      <c r="K385" s="49">
        <v>3.9265306122448981E-2</v>
      </c>
    </row>
    <row r="386" spans="1:11" ht="15.75" customHeight="1" x14ac:dyDescent="0.2">
      <c r="A386" s="50">
        <v>23</v>
      </c>
      <c r="B386" s="50">
        <v>1</v>
      </c>
      <c r="C386" s="50">
        <v>7.5652857142857153</v>
      </c>
      <c r="D386" s="50">
        <v>0</v>
      </c>
      <c r="E386" s="50">
        <v>1.88</v>
      </c>
      <c r="F386" s="50">
        <v>2</v>
      </c>
      <c r="G386" s="50">
        <v>2.7367346938775509E-2</v>
      </c>
      <c r="H386" s="50">
        <v>6.8020408163265308E-2</v>
      </c>
      <c r="I386" s="50">
        <v>-10.273469387755101</v>
      </c>
      <c r="J386" s="50">
        <v>12.03091836734694</v>
      </c>
      <c r="K386" s="50">
        <v>8.551020408163261E-2</v>
      </c>
    </row>
    <row r="387" spans="1:11" ht="15.75" customHeight="1" x14ac:dyDescent="0.2">
      <c r="A387" s="51">
        <v>23</v>
      </c>
      <c r="B387" s="51">
        <v>1</v>
      </c>
      <c r="C387" s="51">
        <v>9.4232448979591812</v>
      </c>
      <c r="D387" s="51">
        <v>0</v>
      </c>
      <c r="E387" s="51">
        <v>2.67</v>
      </c>
      <c r="F387" s="51">
        <v>2</v>
      </c>
      <c r="G387" s="51">
        <v>7.4897959183673471E-3</v>
      </c>
      <c r="H387" s="51">
        <v>7.8102040816326532E-2</v>
      </c>
      <c r="I387" s="51">
        <v>7.7551020408163251E-2</v>
      </c>
      <c r="J387" s="51">
        <v>17.093551020408164</v>
      </c>
      <c r="K387" s="51">
        <v>-0.17361224489795909</v>
      </c>
    </row>
    <row r="388" spans="1:11" ht="15.75" customHeight="1" x14ac:dyDescent="0.2">
      <c r="A388" s="48">
        <v>23</v>
      </c>
      <c r="B388" s="48">
        <v>2</v>
      </c>
      <c r="C388" s="48">
        <v>6.8290314735336199</v>
      </c>
      <c r="D388" s="48">
        <v>0</v>
      </c>
      <c r="E388" s="48">
        <v>2.67</v>
      </c>
      <c r="F388" s="48">
        <v>4</v>
      </c>
      <c r="G388" s="48">
        <v>0</v>
      </c>
      <c r="H388" s="48">
        <v>0.13980257510729585</v>
      </c>
      <c r="I388" s="48">
        <v>-1.3056509298998509</v>
      </c>
      <c r="J388" s="48">
        <v>24.557347639484984</v>
      </c>
      <c r="K388" s="48">
        <v>1.1683276108726721</v>
      </c>
    </row>
    <row r="389" spans="1:11" ht="15.75" customHeight="1" x14ac:dyDescent="0.2">
      <c r="A389" s="49">
        <v>23</v>
      </c>
      <c r="B389" s="49">
        <v>2</v>
      </c>
      <c r="C389" s="49">
        <v>21.159751072961374</v>
      </c>
      <c r="D389" s="49">
        <v>1</v>
      </c>
      <c r="E389" s="49">
        <v>5.55</v>
      </c>
      <c r="F389" s="49">
        <v>4</v>
      </c>
      <c r="G389" s="49">
        <v>0</v>
      </c>
      <c r="H389" s="49">
        <v>0.20972460658083072</v>
      </c>
      <c r="I389" s="49">
        <v>8.3619456366237438E-2</v>
      </c>
      <c r="J389" s="49">
        <v>0</v>
      </c>
      <c r="K389" s="49">
        <v>0.82841344778254589</v>
      </c>
    </row>
    <row r="390" spans="1:11" ht="15.75" customHeight="1" x14ac:dyDescent="0.2">
      <c r="A390" s="50">
        <v>23</v>
      </c>
      <c r="B390" s="50">
        <v>2</v>
      </c>
      <c r="C390" s="50">
        <v>24.101935622317583</v>
      </c>
      <c r="D390" s="50">
        <v>0</v>
      </c>
      <c r="E390" s="50">
        <v>2.54</v>
      </c>
      <c r="F390" s="50">
        <v>3</v>
      </c>
      <c r="G390" s="50">
        <v>0</v>
      </c>
      <c r="H390" s="50">
        <v>0.23643562231759496</v>
      </c>
      <c r="I390" s="50">
        <v>-0.14012875536480712</v>
      </c>
      <c r="J390" s="50">
        <v>0</v>
      </c>
      <c r="K390" s="50">
        <v>0.20889628040057179</v>
      </c>
    </row>
    <row r="391" spans="1:11" ht="15.75" customHeight="1" x14ac:dyDescent="0.2">
      <c r="A391" s="49">
        <v>23</v>
      </c>
      <c r="B391" s="49">
        <v>2</v>
      </c>
      <c r="C391" s="49">
        <v>22.124927753934152</v>
      </c>
      <c r="D391" s="49">
        <v>0</v>
      </c>
      <c r="E391" s="49">
        <v>3.74</v>
      </c>
      <c r="F391" s="49">
        <v>3</v>
      </c>
      <c r="G391" s="49">
        <v>0</v>
      </c>
      <c r="H391" s="49">
        <v>0.14966666666666631</v>
      </c>
      <c r="I391" s="49">
        <v>-12.968097281831181</v>
      </c>
      <c r="J391" s="49">
        <v>0</v>
      </c>
      <c r="K391" s="49">
        <v>-0.37311087267525039</v>
      </c>
    </row>
    <row r="392" spans="1:11" ht="15.75" customHeight="1" x14ac:dyDescent="0.2">
      <c r="A392" s="50">
        <v>23</v>
      </c>
      <c r="B392" s="50">
        <v>2</v>
      </c>
      <c r="C392" s="50">
        <v>21.253831902718229</v>
      </c>
      <c r="D392" s="50">
        <v>0</v>
      </c>
      <c r="E392" s="50">
        <v>1.97</v>
      </c>
      <c r="F392" s="50">
        <v>2</v>
      </c>
      <c r="G392" s="50">
        <v>0</v>
      </c>
      <c r="H392" s="50">
        <v>0.17471387696709509</v>
      </c>
      <c r="I392" s="50">
        <v>-9.4635193133046927E-2</v>
      </c>
      <c r="J392" s="50">
        <v>42.745949928469251</v>
      </c>
      <c r="K392" s="50">
        <v>0.45762088698140324</v>
      </c>
    </row>
    <row r="393" spans="1:11" ht="15.75" customHeight="1" x14ac:dyDescent="0.2">
      <c r="A393" s="51">
        <v>23</v>
      </c>
      <c r="B393" s="51">
        <v>2</v>
      </c>
      <c r="C393" s="51">
        <v>22.312592989985703</v>
      </c>
      <c r="D393" s="51">
        <v>0</v>
      </c>
      <c r="E393" s="51">
        <v>2.31</v>
      </c>
      <c r="F393" s="51">
        <v>2</v>
      </c>
      <c r="G393" s="51">
        <v>0</v>
      </c>
      <c r="H393" s="51">
        <v>0.17896423462088687</v>
      </c>
      <c r="I393" s="51">
        <v>-7.2174535050071084E-2</v>
      </c>
      <c r="J393" s="51">
        <v>87.027449928469181</v>
      </c>
      <c r="K393" s="51">
        <v>0.4660057224606568</v>
      </c>
    </row>
    <row r="394" spans="1:11" ht="15.75" customHeight="1" x14ac:dyDescent="0.2">
      <c r="A394" s="48">
        <v>23</v>
      </c>
      <c r="B394" s="48">
        <v>3</v>
      </c>
      <c r="C394" s="48">
        <v>12.366045454545455</v>
      </c>
      <c r="D394" s="48">
        <v>0</v>
      </c>
      <c r="E394" s="48">
        <v>3.08</v>
      </c>
      <c r="F394" s="48">
        <v>4</v>
      </c>
      <c r="G394" s="48">
        <v>0</v>
      </c>
      <c r="H394" s="48">
        <v>0.16381818181818183</v>
      </c>
      <c r="I394" s="48">
        <v>-0.21363636363636368</v>
      </c>
      <c r="J394" s="48">
        <v>0</v>
      </c>
      <c r="K394" s="48">
        <v>8.2636363636363633E-2</v>
      </c>
    </row>
    <row r="395" spans="1:11" ht="15.75" customHeight="1" x14ac:dyDescent="0.2">
      <c r="A395" s="49">
        <v>23</v>
      </c>
      <c r="B395" s="49">
        <v>3</v>
      </c>
      <c r="C395" s="49">
        <v>15.042227272727274</v>
      </c>
      <c r="D395" s="49">
        <v>0</v>
      </c>
      <c r="E395" s="49">
        <v>3.77</v>
      </c>
      <c r="F395" s="49">
        <v>4</v>
      </c>
      <c r="G395" s="49">
        <v>0</v>
      </c>
      <c r="H395" s="49">
        <v>0.10654545454545454</v>
      </c>
      <c r="I395" s="49">
        <v>-0.24999999999999997</v>
      </c>
      <c r="J395" s="49">
        <v>37.084818181818179</v>
      </c>
      <c r="K395" s="49">
        <v>0.64427272727272744</v>
      </c>
    </row>
    <row r="396" spans="1:11" ht="15.75" customHeight="1" x14ac:dyDescent="0.2">
      <c r="A396" s="50">
        <v>23</v>
      </c>
      <c r="B396" s="50">
        <v>3</v>
      </c>
      <c r="C396" s="50">
        <v>7.8571818181818198</v>
      </c>
      <c r="D396" s="50">
        <v>0</v>
      </c>
      <c r="E396" s="50">
        <v>2.75</v>
      </c>
      <c r="F396" s="50">
        <v>3</v>
      </c>
      <c r="G396" s="50">
        <v>0.17459090909090907</v>
      </c>
      <c r="H396" s="50">
        <v>5.4590909090909093E-2</v>
      </c>
      <c r="I396" s="50">
        <v>-6.7954545454545459</v>
      </c>
      <c r="J396" s="50">
        <v>14.519727272727273</v>
      </c>
      <c r="K396" s="50">
        <v>0.18277272727272723</v>
      </c>
    </row>
    <row r="397" spans="1:11" ht="15.75" customHeight="1" x14ac:dyDescent="0.2">
      <c r="A397" s="49">
        <v>23</v>
      </c>
      <c r="B397" s="49">
        <v>3</v>
      </c>
      <c r="C397" s="49">
        <v>15.594500000000004</v>
      </c>
      <c r="D397" s="49">
        <v>1</v>
      </c>
      <c r="E397" s="49">
        <v>4.68</v>
      </c>
      <c r="F397" s="49">
        <v>3</v>
      </c>
      <c r="G397" s="49">
        <v>4.2909090909090911E-2</v>
      </c>
      <c r="H397" s="49">
        <v>0.22950000000000001</v>
      </c>
      <c r="I397" s="49">
        <v>-21.759090909090904</v>
      </c>
      <c r="J397" s="49">
        <v>59.160318181818162</v>
      </c>
      <c r="K397" s="49">
        <v>9.0409090909090897E-2</v>
      </c>
    </row>
    <row r="398" spans="1:11" ht="15.75" customHeight="1" x14ac:dyDescent="0.2">
      <c r="A398" s="50">
        <v>23</v>
      </c>
      <c r="B398" s="50">
        <v>3</v>
      </c>
      <c r="C398" s="50">
        <v>13.37168181818182</v>
      </c>
      <c r="D398" s="50">
        <v>0</v>
      </c>
      <c r="E398" s="50">
        <v>1.71</v>
      </c>
      <c r="F398" s="50">
        <v>2</v>
      </c>
      <c r="G398" s="50">
        <v>9.9090909090909091E-3</v>
      </c>
      <c r="H398" s="50">
        <v>0.22286363636363637</v>
      </c>
      <c r="I398" s="50">
        <v>-3.5136363636363637</v>
      </c>
      <c r="J398" s="50">
        <v>25.65545454545455</v>
      </c>
      <c r="K398" s="50">
        <v>9.8636363636363574E-3</v>
      </c>
    </row>
    <row r="399" spans="1:11" ht="15.75" customHeight="1" x14ac:dyDescent="0.2">
      <c r="A399" s="51">
        <v>23</v>
      </c>
      <c r="B399" s="51">
        <v>3</v>
      </c>
      <c r="C399" s="51">
        <v>17.74313636363636</v>
      </c>
      <c r="D399" s="51">
        <v>0</v>
      </c>
      <c r="E399" s="51">
        <v>2.27</v>
      </c>
      <c r="F399" s="51">
        <v>2</v>
      </c>
      <c r="G399" s="51">
        <v>0</v>
      </c>
      <c r="H399" s="51">
        <v>0.14640909090909091</v>
      </c>
      <c r="I399" s="51">
        <v>-13.640909090909089</v>
      </c>
      <c r="J399" s="51">
        <v>11.50059090909091</v>
      </c>
      <c r="K399" s="51">
        <v>-0.22286363636363635</v>
      </c>
    </row>
    <row r="400" spans="1:11" ht="15.75" customHeight="1" x14ac:dyDescent="0.2">
      <c r="A400" s="48">
        <v>24</v>
      </c>
      <c r="B400" s="48">
        <v>1</v>
      </c>
      <c r="C400" s="48">
        <v>11.752625</v>
      </c>
      <c r="D400" s="48">
        <v>0</v>
      </c>
      <c r="E400" s="48">
        <v>7.06</v>
      </c>
      <c r="F400" s="48">
        <v>4</v>
      </c>
      <c r="G400" s="48">
        <v>0</v>
      </c>
      <c r="H400" s="48">
        <v>0.17500000000000004</v>
      </c>
      <c r="I400" s="48">
        <v>-0.24583333333333332</v>
      </c>
      <c r="J400" s="48">
        <v>9.9766666666666666</v>
      </c>
      <c r="K400" s="48">
        <v>-0.15208333333333332</v>
      </c>
    </row>
    <row r="401" spans="1:11" ht="15.75" customHeight="1" x14ac:dyDescent="0.2">
      <c r="A401" s="49">
        <v>24</v>
      </c>
      <c r="B401" s="49">
        <v>1</v>
      </c>
      <c r="C401" s="49">
        <v>16.505416666666669</v>
      </c>
      <c r="D401" s="49">
        <v>0</v>
      </c>
      <c r="E401" s="49">
        <v>13.61</v>
      </c>
      <c r="F401" s="49">
        <v>4</v>
      </c>
      <c r="G401" s="49">
        <v>1.75E-3</v>
      </c>
      <c r="H401" s="49">
        <v>8.216666666666668E-2</v>
      </c>
      <c r="I401" s="49">
        <v>-9.5833333333333381E-2</v>
      </c>
      <c r="J401" s="49">
        <v>139.41041666666669</v>
      </c>
      <c r="K401" s="49">
        <v>-2.2625000000000003E-2</v>
      </c>
    </row>
    <row r="402" spans="1:11" ht="15.75" customHeight="1" x14ac:dyDescent="0.2">
      <c r="A402" s="50">
        <v>24</v>
      </c>
      <c r="B402" s="50">
        <v>1</v>
      </c>
      <c r="C402" s="50">
        <v>11.226541666666668</v>
      </c>
      <c r="D402" s="50">
        <v>1</v>
      </c>
      <c r="E402" s="50">
        <v>4.6100000000000003</v>
      </c>
      <c r="F402" s="50">
        <v>3</v>
      </c>
      <c r="G402" s="50">
        <v>5.3083333333333323E-2</v>
      </c>
      <c r="H402" s="50">
        <v>8.0583333333333326E-2</v>
      </c>
      <c r="I402" s="50">
        <v>1.5208333333333333</v>
      </c>
      <c r="J402" s="50">
        <v>35.993041666666663</v>
      </c>
      <c r="K402" s="50">
        <v>-0.12258333333333332</v>
      </c>
    </row>
    <row r="403" spans="1:11" ht="15.75" customHeight="1" x14ac:dyDescent="0.2">
      <c r="A403" s="49">
        <v>24</v>
      </c>
      <c r="B403" s="49">
        <v>1</v>
      </c>
      <c r="C403" s="49">
        <v>12.635624999999999</v>
      </c>
      <c r="D403" s="49">
        <v>0</v>
      </c>
      <c r="E403" s="49">
        <v>4.41</v>
      </c>
      <c r="F403" s="49">
        <v>3</v>
      </c>
      <c r="G403" s="49">
        <v>1.3750000000000001E-3</v>
      </c>
      <c r="H403" s="49">
        <v>0.14116666666666669</v>
      </c>
      <c r="I403" s="49">
        <v>-22.933333333333326</v>
      </c>
      <c r="J403" s="49">
        <v>59.071249999999992</v>
      </c>
      <c r="K403" s="49">
        <v>0.12991666666666671</v>
      </c>
    </row>
    <row r="404" spans="1:11" ht="15.75" customHeight="1" x14ac:dyDescent="0.2">
      <c r="A404" s="50">
        <v>24</v>
      </c>
      <c r="B404" s="50">
        <v>1</v>
      </c>
      <c r="C404" s="50">
        <v>12.536125000000004</v>
      </c>
      <c r="D404" s="50">
        <v>0</v>
      </c>
      <c r="E404" s="50">
        <v>2.5299999999999998</v>
      </c>
      <c r="F404" s="50">
        <v>2</v>
      </c>
      <c r="G404" s="50">
        <v>1E-3</v>
      </c>
      <c r="H404" s="50">
        <v>9.0083333333333335E-2</v>
      </c>
      <c r="I404" s="50">
        <v>-0.80833333333333324</v>
      </c>
      <c r="J404" s="50">
        <v>22.021333333333331</v>
      </c>
      <c r="K404" s="50">
        <v>-0.28275</v>
      </c>
    </row>
    <row r="405" spans="1:11" ht="15.75" customHeight="1" x14ac:dyDescent="0.2">
      <c r="A405" s="51">
        <v>24</v>
      </c>
      <c r="B405" s="51">
        <v>1</v>
      </c>
      <c r="C405" s="51">
        <v>12.971416666666665</v>
      </c>
      <c r="D405" s="51">
        <v>0</v>
      </c>
      <c r="E405" s="51">
        <v>5.17</v>
      </c>
      <c r="F405" s="51">
        <v>2</v>
      </c>
      <c r="G405" s="51">
        <v>0</v>
      </c>
      <c r="H405" s="51">
        <v>7.0791666666666656E-2</v>
      </c>
      <c r="I405" s="51">
        <v>-10.887499999999998</v>
      </c>
      <c r="J405" s="51">
        <v>0</v>
      </c>
      <c r="K405" s="51">
        <v>-0.17729166666666665</v>
      </c>
    </row>
    <row r="406" spans="1:11" ht="15.75" customHeight="1" x14ac:dyDescent="0.2">
      <c r="A406" s="48">
        <v>24</v>
      </c>
      <c r="B406" s="48">
        <v>2</v>
      </c>
      <c r="C406" s="48">
        <v>12.291431107954544</v>
      </c>
      <c r="D406" s="48">
        <v>0</v>
      </c>
      <c r="E406" s="48">
        <v>4.03</v>
      </c>
      <c r="F406" s="48">
        <v>4</v>
      </c>
      <c r="G406" s="48">
        <v>0</v>
      </c>
      <c r="H406" s="48">
        <v>0.21596448863636375</v>
      </c>
      <c r="I406" s="48">
        <v>-0.18991477272727464</v>
      </c>
      <c r="J406" s="48">
        <v>49.422593039772728</v>
      </c>
      <c r="K406" s="48">
        <v>0.68245667613636474</v>
      </c>
    </row>
    <row r="407" spans="1:11" ht="15.75" customHeight="1" x14ac:dyDescent="0.2">
      <c r="A407" s="49">
        <v>24</v>
      </c>
      <c r="B407" s="49">
        <v>2</v>
      </c>
      <c r="C407" s="49">
        <v>22.271618607954558</v>
      </c>
      <c r="D407" s="49">
        <v>1</v>
      </c>
      <c r="E407" s="49">
        <v>6.32</v>
      </c>
      <c r="F407" s="49">
        <v>4</v>
      </c>
      <c r="G407" s="49">
        <v>3.2706676136363293E-2</v>
      </c>
      <c r="H407" s="49">
        <v>0.14596022727272689</v>
      </c>
      <c r="I407" s="49">
        <v>-8.7286931818182159E-2</v>
      </c>
      <c r="J407" s="49">
        <v>0</v>
      </c>
      <c r="K407" s="49">
        <v>0.16926562500000017</v>
      </c>
    </row>
    <row r="408" spans="1:11" ht="15.75" customHeight="1" x14ac:dyDescent="0.2">
      <c r="A408" s="50">
        <v>24</v>
      </c>
      <c r="B408" s="50">
        <v>2</v>
      </c>
      <c r="C408" s="50">
        <v>18.11231036931818</v>
      </c>
      <c r="D408" s="50">
        <v>1</v>
      </c>
      <c r="E408" s="50">
        <v>6.44</v>
      </c>
      <c r="F408" s="50">
        <v>3</v>
      </c>
      <c r="G408" s="50">
        <v>2.2272727272727279E-3</v>
      </c>
      <c r="H408" s="50">
        <v>0.23367045454545454</v>
      </c>
      <c r="I408" s="50">
        <v>-0.37982954545454528</v>
      </c>
      <c r="J408" s="50">
        <v>0</v>
      </c>
      <c r="K408" s="50">
        <v>0.23129616477272652</v>
      </c>
    </row>
    <row r="409" spans="1:11" ht="15.75" customHeight="1" x14ac:dyDescent="0.2">
      <c r="A409" s="49">
        <v>24</v>
      </c>
      <c r="B409" s="49">
        <v>2</v>
      </c>
      <c r="C409" s="49">
        <v>20.516164062500007</v>
      </c>
      <c r="D409" s="49">
        <v>0</v>
      </c>
      <c r="E409" s="49">
        <v>5.69</v>
      </c>
      <c r="F409" s="49">
        <v>3</v>
      </c>
      <c r="G409" s="49">
        <v>0</v>
      </c>
      <c r="H409" s="49">
        <v>0.16723295454545425</v>
      </c>
      <c r="I409" s="49">
        <v>-12.788352272727252</v>
      </c>
      <c r="J409" s="49">
        <v>0</v>
      </c>
      <c r="K409" s="49">
        <v>-9.2289772727272415E-2</v>
      </c>
    </row>
    <row r="410" spans="1:11" ht="15.75" customHeight="1" x14ac:dyDescent="0.2">
      <c r="A410" s="50">
        <v>24</v>
      </c>
      <c r="B410" s="50">
        <v>2</v>
      </c>
      <c r="C410" s="50">
        <v>23.5241761363637</v>
      </c>
      <c r="D410" s="50">
        <v>0</v>
      </c>
      <c r="E410" s="50">
        <v>2.81</v>
      </c>
      <c r="F410" s="50">
        <v>2</v>
      </c>
      <c r="G410" s="50">
        <v>0</v>
      </c>
      <c r="H410" s="50">
        <v>0.20973579545454502</v>
      </c>
      <c r="I410" s="50">
        <v>-0.21697443181818218</v>
      </c>
      <c r="J410" s="50">
        <v>0</v>
      </c>
      <c r="K410" s="50">
        <v>0.11882386363636374</v>
      </c>
    </row>
    <row r="411" spans="1:11" ht="15.75" customHeight="1" x14ac:dyDescent="0.2">
      <c r="A411" s="51">
        <v>24</v>
      </c>
      <c r="B411" s="51">
        <v>2</v>
      </c>
      <c r="C411" s="51">
        <v>23.370966619318132</v>
      </c>
      <c r="D411" s="51">
        <v>0</v>
      </c>
      <c r="E411" s="51">
        <v>2.1800000000000002</v>
      </c>
      <c r="F411" s="51">
        <v>2</v>
      </c>
      <c r="G411" s="51">
        <v>3.7954545454545459E-3</v>
      </c>
      <c r="H411" s="51">
        <v>0.1761619318181811</v>
      </c>
      <c r="I411" s="51">
        <v>2.9829545454542598E-3</v>
      </c>
      <c r="J411" s="51">
        <v>0</v>
      </c>
      <c r="K411" s="51">
        <v>-1.7836647727272711E-2</v>
      </c>
    </row>
    <row r="412" spans="1:11" ht="15.75" customHeight="1" x14ac:dyDescent="0.2">
      <c r="A412" s="48">
        <v>24</v>
      </c>
      <c r="B412" s="48">
        <v>3</v>
      </c>
      <c r="C412" s="48">
        <v>12.09873076923077</v>
      </c>
      <c r="D412" s="48">
        <v>0</v>
      </c>
      <c r="E412" s="48">
        <v>12.36</v>
      </c>
      <c r="F412" s="48">
        <v>4</v>
      </c>
      <c r="G412" s="48">
        <v>0</v>
      </c>
      <c r="H412" s="48">
        <v>0.15450000000000003</v>
      </c>
      <c r="I412" s="48">
        <v>-0.1884615384615384</v>
      </c>
      <c r="J412" s="48">
        <v>0</v>
      </c>
      <c r="K412" s="48">
        <v>-0.21711538461538465</v>
      </c>
    </row>
    <row r="413" spans="1:11" ht="15.75" customHeight="1" x14ac:dyDescent="0.2">
      <c r="A413" s="49">
        <v>24</v>
      </c>
      <c r="B413" s="49">
        <v>3</v>
      </c>
      <c r="C413" s="49">
        <v>14.295807692307694</v>
      </c>
      <c r="D413" s="49">
        <v>0</v>
      </c>
      <c r="E413" s="49">
        <v>5.29</v>
      </c>
      <c r="F413" s="49">
        <v>4</v>
      </c>
      <c r="G413" s="49">
        <v>0</v>
      </c>
      <c r="H413" s="49">
        <v>0.10103846153846155</v>
      </c>
      <c r="I413" s="49">
        <v>0.13461538461538458</v>
      </c>
      <c r="J413" s="49">
        <v>0</v>
      </c>
      <c r="K413" s="49">
        <v>-0.26257692307692304</v>
      </c>
    </row>
    <row r="414" spans="1:11" ht="15.75" customHeight="1" x14ac:dyDescent="0.2">
      <c r="A414" s="50">
        <v>24</v>
      </c>
      <c r="B414" s="50">
        <v>3</v>
      </c>
      <c r="C414" s="50">
        <v>9.6992307692307698</v>
      </c>
      <c r="D414" s="50">
        <v>0</v>
      </c>
      <c r="E414" s="50">
        <v>5.74</v>
      </c>
      <c r="F414" s="50">
        <v>3</v>
      </c>
      <c r="G414" s="50">
        <v>4.6730769230769235E-2</v>
      </c>
      <c r="H414" s="50">
        <v>0.14173076923076924</v>
      </c>
      <c r="I414" s="50">
        <v>-24.396153846153847</v>
      </c>
      <c r="J414" s="50">
        <v>22.532192307692306</v>
      </c>
      <c r="K414" s="50">
        <v>-0.14726923076923076</v>
      </c>
    </row>
    <row r="415" spans="1:11" ht="15.75" customHeight="1" x14ac:dyDescent="0.2">
      <c r="A415" s="49">
        <v>24</v>
      </c>
      <c r="B415" s="49">
        <v>3</v>
      </c>
      <c r="C415" s="49">
        <v>15.484076923076925</v>
      </c>
      <c r="D415" s="49">
        <v>0</v>
      </c>
      <c r="E415" s="49">
        <v>6.03</v>
      </c>
      <c r="F415" s="49">
        <v>3</v>
      </c>
      <c r="G415" s="49">
        <v>0</v>
      </c>
      <c r="H415" s="49">
        <v>8.9423076923076952E-2</v>
      </c>
      <c r="I415" s="49">
        <v>-0.91538461538461524</v>
      </c>
      <c r="J415" s="49">
        <v>43.500961538461532</v>
      </c>
      <c r="K415" s="49">
        <v>-6.3384615384615386E-2</v>
      </c>
    </row>
    <row r="416" spans="1:11" ht="15.75" customHeight="1" x14ac:dyDescent="0.2">
      <c r="A416" s="50">
        <v>24</v>
      </c>
      <c r="B416" s="50">
        <v>3</v>
      </c>
      <c r="C416" s="50">
        <v>16.515807692307696</v>
      </c>
      <c r="D416" s="50">
        <v>0</v>
      </c>
      <c r="E416" s="50">
        <v>2.59</v>
      </c>
      <c r="F416" s="50">
        <v>2</v>
      </c>
      <c r="G416" s="50">
        <v>0</v>
      </c>
      <c r="H416" s="50">
        <v>0.13811538461538461</v>
      </c>
      <c r="I416" s="50">
        <v>-13.307692307692303</v>
      </c>
      <c r="J416" s="50">
        <v>0</v>
      </c>
      <c r="K416" s="50">
        <v>-0.28053846153846151</v>
      </c>
    </row>
    <row r="417" spans="1:11" ht="15.75" customHeight="1" x14ac:dyDescent="0.2">
      <c r="A417" s="51">
        <v>24</v>
      </c>
      <c r="B417" s="51">
        <v>3</v>
      </c>
      <c r="C417" s="51">
        <v>10.559192307692307</v>
      </c>
      <c r="D417" s="51">
        <v>0</v>
      </c>
      <c r="E417" s="51">
        <v>2.5499999999999998</v>
      </c>
      <c r="F417" s="51">
        <v>2</v>
      </c>
      <c r="G417" s="51">
        <v>2.1923076923076922E-3</v>
      </c>
      <c r="H417" s="51">
        <v>5.7769230769230767E-2</v>
      </c>
      <c r="I417" s="51">
        <v>-0.20769230769230765</v>
      </c>
      <c r="J417" s="51">
        <v>0.28519230769230774</v>
      </c>
      <c r="K417" s="51">
        <v>-0.24580769230769234</v>
      </c>
    </row>
    <row r="418" spans="1:11" ht="15.75" customHeight="1" x14ac:dyDescent="0.2">
      <c r="A418" s="48">
        <v>25</v>
      </c>
      <c r="B418" s="48">
        <v>1</v>
      </c>
      <c r="C418" s="48">
        <v>10.925761904761906</v>
      </c>
      <c r="D418" s="48">
        <v>0</v>
      </c>
      <c r="E418" s="48">
        <v>4.0199999999999996</v>
      </c>
      <c r="F418" s="48">
        <v>4</v>
      </c>
      <c r="G418" s="48">
        <v>0</v>
      </c>
      <c r="H418" s="48">
        <v>0.15914285714285714</v>
      </c>
      <c r="I418" s="48">
        <v>1.0952380952380949</v>
      </c>
      <c r="J418" s="48">
        <v>10.637952380952381</v>
      </c>
      <c r="K418" s="48">
        <v>0.18280952380952381</v>
      </c>
    </row>
    <row r="419" spans="1:11" ht="15.75" customHeight="1" x14ac:dyDescent="0.2">
      <c r="A419" s="49">
        <v>25</v>
      </c>
      <c r="B419" s="49">
        <v>1</v>
      </c>
      <c r="C419" s="49">
        <v>15.818523809523802</v>
      </c>
      <c r="D419" s="49">
        <v>0</v>
      </c>
      <c r="E419" s="49">
        <v>5.5</v>
      </c>
      <c r="F419" s="49">
        <v>4</v>
      </c>
      <c r="G419" s="49">
        <v>0</v>
      </c>
      <c r="H419" s="49">
        <v>0.11142857142857142</v>
      </c>
      <c r="I419" s="49">
        <v>-3.8095238095238085E-2</v>
      </c>
      <c r="J419" s="49">
        <v>173.39004761904758</v>
      </c>
      <c r="K419" s="49">
        <v>0.38542857142857151</v>
      </c>
    </row>
    <row r="420" spans="1:11" ht="15.75" customHeight="1" x14ac:dyDescent="0.2">
      <c r="A420" s="50">
        <v>25</v>
      </c>
      <c r="B420" s="50">
        <v>1</v>
      </c>
      <c r="C420" s="50">
        <v>16.454666666666668</v>
      </c>
      <c r="D420" s="50">
        <v>0</v>
      </c>
      <c r="E420" s="50">
        <v>3.85</v>
      </c>
      <c r="F420" s="50">
        <v>3</v>
      </c>
      <c r="G420" s="50">
        <v>5.0000000000000001E-3</v>
      </c>
      <c r="H420" s="50">
        <v>9.6047619047619048E-2</v>
      </c>
      <c r="I420" s="50">
        <v>0.68095238095238098</v>
      </c>
      <c r="J420" s="50">
        <v>0</v>
      </c>
      <c r="K420" s="50">
        <v>0.25404761904761902</v>
      </c>
    </row>
    <row r="421" spans="1:11" ht="15.75" customHeight="1" x14ac:dyDescent="0.2">
      <c r="A421" s="49">
        <v>25</v>
      </c>
      <c r="B421" s="49">
        <v>1</v>
      </c>
      <c r="C421" s="49">
        <v>13.60795238095238</v>
      </c>
      <c r="D421" s="49">
        <v>0</v>
      </c>
      <c r="E421" s="49">
        <v>2.82</v>
      </c>
      <c r="F421" s="49">
        <v>3</v>
      </c>
      <c r="G421" s="49">
        <v>6.7142857142857134E-3</v>
      </c>
      <c r="H421" s="49">
        <v>0.17157142857142857</v>
      </c>
      <c r="I421" s="49">
        <v>-26.847619047619052</v>
      </c>
      <c r="J421" s="49">
        <v>24.364761904761906</v>
      </c>
      <c r="K421" s="49">
        <v>0.34552380952380951</v>
      </c>
    </row>
    <row r="422" spans="1:11" ht="15.75" customHeight="1" x14ac:dyDescent="0.2">
      <c r="A422" s="50">
        <v>25</v>
      </c>
      <c r="B422" s="50">
        <v>1</v>
      </c>
      <c r="C422" s="50">
        <v>17.675428571428572</v>
      </c>
      <c r="D422" s="50">
        <v>0</v>
      </c>
      <c r="E422" s="50">
        <v>1.74</v>
      </c>
      <c r="F422" s="50">
        <v>2</v>
      </c>
      <c r="G422" s="50">
        <v>0</v>
      </c>
      <c r="H422" s="50">
        <v>0.13057142857142856</v>
      </c>
      <c r="I422" s="50">
        <v>-1.3761904761904762</v>
      </c>
      <c r="J422" s="50">
        <v>0</v>
      </c>
      <c r="K422" s="50">
        <v>0.35971428571428582</v>
      </c>
    </row>
    <row r="423" spans="1:11" ht="15.75" customHeight="1" x14ac:dyDescent="0.2">
      <c r="A423" s="51">
        <v>25</v>
      </c>
      <c r="B423" s="51">
        <v>1</v>
      </c>
      <c r="C423" s="51">
        <v>17.042047619047619</v>
      </c>
      <c r="D423" s="51">
        <v>0</v>
      </c>
      <c r="E423" s="51">
        <v>2.91</v>
      </c>
      <c r="F423" s="51">
        <v>2</v>
      </c>
      <c r="G423" s="51">
        <v>0</v>
      </c>
      <c r="H423" s="51">
        <v>0.11576190476190476</v>
      </c>
      <c r="I423" s="51">
        <v>-13.323809523809521</v>
      </c>
      <c r="J423" s="51">
        <v>0</v>
      </c>
      <c r="K423" s="51">
        <v>0.21800000000000003</v>
      </c>
    </row>
    <row r="424" spans="1:11" ht="15.75" customHeight="1" x14ac:dyDescent="0.2">
      <c r="A424" s="48">
        <v>25</v>
      </c>
      <c r="B424" s="48">
        <v>2</v>
      </c>
      <c r="C424" s="48">
        <v>16.044041531473081</v>
      </c>
      <c r="D424" s="48">
        <v>0</v>
      </c>
      <c r="E424" s="48">
        <v>3.3</v>
      </c>
      <c r="F424" s="48">
        <v>4</v>
      </c>
      <c r="G424" s="48">
        <v>0</v>
      </c>
      <c r="H424" s="48">
        <v>0.2719377027903967</v>
      </c>
      <c r="I424" s="48">
        <v>5.8792991563919483E-2</v>
      </c>
      <c r="J424" s="48">
        <v>58.672056456846171</v>
      </c>
      <c r="K424" s="48">
        <v>1.0940077871512022</v>
      </c>
    </row>
    <row r="425" spans="1:11" ht="15.75" customHeight="1" x14ac:dyDescent="0.2">
      <c r="A425" s="49">
        <v>25</v>
      </c>
      <c r="B425" s="49">
        <v>2</v>
      </c>
      <c r="C425" s="49">
        <v>25.999701492537334</v>
      </c>
      <c r="D425" s="49">
        <v>0</v>
      </c>
      <c r="E425" s="49">
        <v>6.38</v>
      </c>
      <c r="F425" s="49">
        <v>4</v>
      </c>
      <c r="G425" s="49">
        <v>0</v>
      </c>
      <c r="H425" s="49">
        <v>0.26699480856586805</v>
      </c>
      <c r="I425" s="49">
        <v>-0.13913043478260848</v>
      </c>
      <c r="J425" s="49">
        <v>0</v>
      </c>
      <c r="K425" s="49">
        <v>0.76016807268007658</v>
      </c>
    </row>
    <row r="426" spans="1:11" ht="15.75" customHeight="1" x14ac:dyDescent="0.2">
      <c r="A426" s="50">
        <v>25</v>
      </c>
      <c r="B426" s="50">
        <v>2</v>
      </c>
      <c r="C426" s="50">
        <v>22.633696301103182</v>
      </c>
      <c r="D426" s="50">
        <v>0</v>
      </c>
      <c r="E426" s="50">
        <v>3.04</v>
      </c>
      <c r="F426" s="50">
        <v>3</v>
      </c>
      <c r="G426" s="50">
        <v>0</v>
      </c>
      <c r="H426" s="50">
        <v>0.147994808565866</v>
      </c>
      <c r="I426" s="50">
        <v>-11.447501622323159</v>
      </c>
      <c r="J426" s="50">
        <v>0</v>
      </c>
      <c r="K426" s="50">
        <v>0.27156651524983766</v>
      </c>
    </row>
    <row r="427" spans="1:11" ht="15.75" customHeight="1" x14ac:dyDescent="0.2">
      <c r="A427" s="49">
        <v>25</v>
      </c>
      <c r="B427" s="49">
        <v>2</v>
      </c>
      <c r="C427" s="49">
        <v>22.408112264763147</v>
      </c>
      <c r="D427" s="49">
        <v>0</v>
      </c>
      <c r="E427" s="49">
        <v>2.78</v>
      </c>
      <c r="F427" s="49">
        <v>3</v>
      </c>
      <c r="G427" s="49">
        <v>0</v>
      </c>
      <c r="H427" s="49">
        <v>0.22610902011680883</v>
      </c>
      <c r="I427" s="49">
        <v>-0.22057105775470284</v>
      </c>
      <c r="J427" s="49">
        <v>0</v>
      </c>
      <c r="K427" s="49">
        <v>0.82508825438027211</v>
      </c>
    </row>
    <row r="428" spans="1:11" ht="15.75" customHeight="1" x14ac:dyDescent="0.2">
      <c r="A428" s="50">
        <v>25</v>
      </c>
      <c r="B428" s="50">
        <v>2</v>
      </c>
      <c r="C428" s="50">
        <v>25.520649578195975</v>
      </c>
      <c r="D428" s="50">
        <v>0</v>
      </c>
      <c r="E428" s="50">
        <v>2.48</v>
      </c>
      <c r="F428" s="50">
        <v>2</v>
      </c>
      <c r="G428" s="50">
        <v>0</v>
      </c>
      <c r="H428" s="50">
        <v>0.23010772225827175</v>
      </c>
      <c r="I428" s="50">
        <v>-4.0038935756003272E-2</v>
      </c>
      <c r="J428" s="50">
        <v>0</v>
      </c>
      <c r="K428" s="50">
        <v>0.71825048669694846</v>
      </c>
    </row>
    <row r="429" spans="1:11" ht="15.75" customHeight="1" x14ac:dyDescent="0.2">
      <c r="A429" s="51">
        <v>25</v>
      </c>
      <c r="B429" s="51">
        <v>2</v>
      </c>
      <c r="C429" s="51">
        <v>24.197503569110967</v>
      </c>
      <c r="D429" s="51">
        <v>0</v>
      </c>
      <c r="E429" s="51">
        <v>1.69</v>
      </c>
      <c r="F429" s="51">
        <v>2</v>
      </c>
      <c r="G429" s="51">
        <v>0</v>
      </c>
      <c r="H429" s="51">
        <v>0.15207787151200461</v>
      </c>
      <c r="I429" s="51">
        <v>-12.540038935755996</v>
      </c>
      <c r="J429" s="51">
        <v>0</v>
      </c>
      <c r="K429" s="51">
        <v>0.41391369240752768</v>
      </c>
    </row>
    <row r="430" spans="1:11" ht="15.75" customHeight="1" x14ac:dyDescent="0.2">
      <c r="A430" s="48">
        <v>25</v>
      </c>
      <c r="B430" s="48">
        <v>3</v>
      </c>
      <c r="C430" s="48">
        <v>12.700000000000001</v>
      </c>
      <c r="D430" s="48">
        <v>0</v>
      </c>
      <c r="E430" s="48">
        <v>3.75</v>
      </c>
      <c r="F430" s="48">
        <v>4</v>
      </c>
      <c r="G430" s="48">
        <v>0</v>
      </c>
      <c r="H430" s="48">
        <v>0.1627692307692308</v>
      </c>
      <c r="I430" s="48">
        <v>0.54999999999999993</v>
      </c>
      <c r="J430" s="48">
        <v>0</v>
      </c>
      <c r="K430" s="48">
        <v>0.24080769230769231</v>
      </c>
    </row>
    <row r="431" spans="1:11" ht="15.75" customHeight="1" x14ac:dyDescent="0.2">
      <c r="A431" s="49">
        <v>25</v>
      </c>
      <c r="B431" s="49">
        <v>3</v>
      </c>
      <c r="C431" s="49">
        <v>15.725884615384611</v>
      </c>
      <c r="D431" s="49">
        <v>0</v>
      </c>
      <c r="E431" s="49">
        <v>6.38</v>
      </c>
      <c r="F431" s="49">
        <v>4</v>
      </c>
      <c r="G431" s="49">
        <v>4.2692307692307696E-2</v>
      </c>
      <c r="H431" s="49">
        <v>0.1043846153846154</v>
      </c>
      <c r="I431" s="49">
        <v>0.34615384615384609</v>
      </c>
      <c r="J431" s="49">
        <v>6.3061923076923083</v>
      </c>
      <c r="K431" s="49">
        <v>0.37896153846153846</v>
      </c>
    </row>
    <row r="432" spans="1:11" ht="15.75" customHeight="1" x14ac:dyDescent="0.2">
      <c r="A432" s="50">
        <v>25</v>
      </c>
      <c r="B432" s="50">
        <v>3</v>
      </c>
      <c r="C432" s="50">
        <v>8.2458846153846146</v>
      </c>
      <c r="D432" s="50">
        <v>0</v>
      </c>
      <c r="E432" s="50">
        <v>3.04</v>
      </c>
      <c r="F432" s="50">
        <v>3</v>
      </c>
      <c r="G432" s="50">
        <v>5.1038461538461539E-2</v>
      </c>
      <c r="H432" s="50">
        <v>0.13180769230769232</v>
      </c>
      <c r="I432" s="50">
        <v>-24.461538461538456</v>
      </c>
      <c r="J432" s="50">
        <v>65.429346153846154</v>
      </c>
      <c r="K432" s="50">
        <v>0.90680769230769243</v>
      </c>
    </row>
    <row r="433" spans="1:11" ht="15.75" customHeight="1" x14ac:dyDescent="0.2">
      <c r="A433" s="49">
        <v>25</v>
      </c>
      <c r="B433" s="49">
        <v>3</v>
      </c>
      <c r="C433" s="49">
        <v>13.166423076923078</v>
      </c>
      <c r="D433" s="49">
        <v>0</v>
      </c>
      <c r="E433" s="49">
        <v>2.78</v>
      </c>
      <c r="F433" s="49">
        <v>3</v>
      </c>
      <c r="G433" s="49">
        <v>2.7461538461538461E-2</v>
      </c>
      <c r="H433" s="49">
        <v>0.12565384615384614</v>
      </c>
      <c r="I433" s="49">
        <v>-5.0000000000000017E-2</v>
      </c>
      <c r="J433" s="49">
        <v>57.646192307692303</v>
      </c>
      <c r="K433" s="49">
        <v>0.4926923076923076</v>
      </c>
    </row>
    <row r="434" spans="1:11" ht="15.75" customHeight="1" x14ac:dyDescent="0.2">
      <c r="A434" s="50">
        <v>25</v>
      </c>
      <c r="B434" s="50">
        <v>3</v>
      </c>
      <c r="C434" s="50">
        <v>17.282538461538458</v>
      </c>
      <c r="D434" s="50">
        <v>0</v>
      </c>
      <c r="E434" s="50">
        <v>2.48</v>
      </c>
      <c r="F434" s="50">
        <v>2</v>
      </c>
      <c r="G434" s="50">
        <v>2.453846153846154E-2</v>
      </c>
      <c r="H434" s="50">
        <v>0.14934615384615385</v>
      </c>
      <c r="I434" s="50">
        <v>-13.515384615384615</v>
      </c>
      <c r="J434" s="50">
        <v>44.934999999999995</v>
      </c>
      <c r="K434" s="50">
        <v>4.3576923076923076E-2</v>
      </c>
    </row>
    <row r="435" spans="1:11" ht="15.75" customHeight="1" x14ac:dyDescent="0.2">
      <c r="A435" s="51">
        <v>25</v>
      </c>
      <c r="B435" s="51">
        <v>3</v>
      </c>
      <c r="C435" s="51">
        <v>11.770384615384616</v>
      </c>
      <c r="D435" s="51">
        <v>0</v>
      </c>
      <c r="E435" s="51">
        <v>1.69</v>
      </c>
      <c r="F435" s="51">
        <v>2</v>
      </c>
      <c r="G435" s="51">
        <v>8.8461538461538473E-3</v>
      </c>
      <c r="H435" s="51">
        <v>0.14038461538461539</v>
      </c>
      <c r="I435" s="51">
        <v>-7.6923076923076858E-2</v>
      </c>
      <c r="J435" s="51">
        <v>48.774192307692303</v>
      </c>
      <c r="K435" s="51">
        <v>-1.4384615384615385E-2</v>
      </c>
    </row>
    <row r="436" spans="1:11" ht="15.75" customHeight="1" x14ac:dyDescent="0.2">
      <c r="A436" s="48">
        <v>26</v>
      </c>
      <c r="B436" s="48">
        <v>1</v>
      </c>
      <c r="C436" s="48">
        <v>10.739531250000002</v>
      </c>
      <c r="D436" s="48">
        <v>0</v>
      </c>
      <c r="E436" s="48">
        <v>5.21</v>
      </c>
      <c r="F436" s="48">
        <v>4</v>
      </c>
      <c r="G436" s="48">
        <v>0</v>
      </c>
      <c r="H436" s="48">
        <v>0.12887499999999999</v>
      </c>
      <c r="I436" s="48">
        <v>0.21875000000000003</v>
      </c>
      <c r="J436" s="48">
        <v>54.861062500000003</v>
      </c>
      <c r="K436" s="48">
        <v>0.21271875000000007</v>
      </c>
    </row>
    <row r="437" spans="1:11" ht="15.75" customHeight="1" x14ac:dyDescent="0.2">
      <c r="A437" s="49">
        <v>26</v>
      </c>
      <c r="B437" s="49">
        <v>1</v>
      </c>
      <c r="C437" s="49">
        <v>15.489000000000001</v>
      </c>
      <c r="D437" s="49">
        <v>1</v>
      </c>
      <c r="E437" s="49">
        <v>6.35</v>
      </c>
      <c r="F437" s="49">
        <v>4</v>
      </c>
      <c r="G437" s="49">
        <v>0</v>
      </c>
      <c r="H437" s="49">
        <v>0.10246875000000001</v>
      </c>
      <c r="I437" s="49">
        <v>-0.46875</v>
      </c>
      <c r="J437" s="49">
        <v>57.499718749999992</v>
      </c>
      <c r="K437" s="49">
        <v>0.74299999999999988</v>
      </c>
    </row>
    <row r="438" spans="1:11" ht="15.75" customHeight="1" x14ac:dyDescent="0.2">
      <c r="A438" s="50">
        <v>26</v>
      </c>
      <c r="B438" s="50">
        <v>1</v>
      </c>
      <c r="C438" s="50">
        <v>3.608625</v>
      </c>
      <c r="D438" s="50">
        <v>0</v>
      </c>
      <c r="E438" s="50">
        <v>3.32</v>
      </c>
      <c r="F438" s="50">
        <v>3</v>
      </c>
      <c r="G438" s="50">
        <v>4.8343749999999998E-2</v>
      </c>
      <c r="H438" s="50">
        <v>5.6250000000000007E-3</v>
      </c>
      <c r="I438" s="50">
        <v>-4.9999999999999961E-2</v>
      </c>
      <c r="J438" s="50">
        <v>0</v>
      </c>
      <c r="K438" s="50">
        <v>0.54249999999999987</v>
      </c>
    </row>
    <row r="439" spans="1:11" ht="15.75" customHeight="1" x14ac:dyDescent="0.2">
      <c r="A439" s="49">
        <v>26</v>
      </c>
      <c r="B439" s="49">
        <v>1</v>
      </c>
      <c r="C439" s="49">
        <v>4.2045000000000012</v>
      </c>
      <c r="D439" s="49">
        <v>1</v>
      </c>
      <c r="E439" s="49">
        <v>5.59</v>
      </c>
      <c r="F439" s="49">
        <v>3</v>
      </c>
      <c r="G439" s="49">
        <v>4.7812499999999999E-3</v>
      </c>
      <c r="H439" s="49">
        <v>4.4812500000000012E-2</v>
      </c>
      <c r="I439" s="49">
        <v>-29.093750000000004</v>
      </c>
      <c r="J439" s="49">
        <v>6.5008125000000003</v>
      </c>
      <c r="K439" s="49">
        <v>0.61396875000000006</v>
      </c>
    </row>
    <row r="440" spans="1:11" ht="15.75" customHeight="1" x14ac:dyDescent="0.2">
      <c r="A440" s="50">
        <v>26</v>
      </c>
      <c r="B440" s="50">
        <v>1</v>
      </c>
      <c r="C440" s="50">
        <v>10.7979375</v>
      </c>
      <c r="D440" s="50">
        <v>0</v>
      </c>
      <c r="E440" s="50">
        <v>2.96</v>
      </c>
      <c r="F440" s="50">
        <v>2</v>
      </c>
      <c r="G440" s="50">
        <v>0</v>
      </c>
      <c r="H440" s="50">
        <v>9.9218750000000022E-2</v>
      </c>
      <c r="I440" s="50">
        <v>1.5624999999999951E-2</v>
      </c>
      <c r="J440" s="50">
        <v>30.31625</v>
      </c>
      <c r="K440" s="50">
        <v>0.95196875000000003</v>
      </c>
    </row>
    <row r="441" spans="1:11" ht="15.75" customHeight="1" x14ac:dyDescent="0.2">
      <c r="A441" s="51">
        <v>26</v>
      </c>
      <c r="B441" s="51">
        <v>1</v>
      </c>
      <c r="C441" s="51">
        <v>12.224281250000002</v>
      </c>
      <c r="D441" s="51">
        <v>0</v>
      </c>
      <c r="E441" s="51">
        <v>2.4500000000000002</v>
      </c>
      <c r="F441" s="51">
        <v>2</v>
      </c>
      <c r="G441" s="51">
        <v>0</v>
      </c>
      <c r="H441" s="51">
        <v>8.0343750000000019E-2</v>
      </c>
      <c r="I441" s="51">
        <v>-8.2906250000000021</v>
      </c>
      <c r="J441" s="51">
        <v>0</v>
      </c>
      <c r="K441" s="51">
        <v>0.41703125000000008</v>
      </c>
    </row>
    <row r="442" spans="1:11" ht="15.75" customHeight="1" x14ac:dyDescent="0.2">
      <c r="A442" s="48">
        <v>26</v>
      </c>
      <c r="B442" s="48">
        <v>2</v>
      </c>
      <c r="C442" s="48">
        <v>12.138713235294125</v>
      </c>
      <c r="D442" s="48">
        <v>1</v>
      </c>
      <c r="E442" s="48">
        <v>4.42</v>
      </c>
      <c r="F442" s="48">
        <v>4</v>
      </c>
      <c r="G442" s="48">
        <v>0</v>
      </c>
      <c r="H442" s="48">
        <v>0.1877720588235286</v>
      </c>
      <c r="I442" s="48">
        <v>-1.0048796791443895</v>
      </c>
      <c r="J442" s="48">
        <v>34.237514037433165</v>
      </c>
      <c r="K442" s="48">
        <v>1.1286945187165784</v>
      </c>
    </row>
    <row r="443" spans="1:11" ht="15.75" customHeight="1" x14ac:dyDescent="0.2">
      <c r="A443" s="49">
        <v>26</v>
      </c>
      <c r="B443" s="49">
        <v>2</v>
      </c>
      <c r="C443" s="49">
        <v>20.08514572192508</v>
      </c>
      <c r="D443" s="49">
        <v>0</v>
      </c>
      <c r="E443" s="49">
        <v>5.36</v>
      </c>
      <c r="F443" s="49">
        <v>4</v>
      </c>
      <c r="G443" s="49">
        <v>0</v>
      </c>
      <c r="H443" s="49">
        <v>0.16010695187165777</v>
      </c>
      <c r="I443" s="49">
        <v>-0.15514705882353041</v>
      </c>
      <c r="J443" s="49">
        <v>0</v>
      </c>
      <c r="K443" s="49">
        <v>0.76111898395721922</v>
      </c>
    </row>
    <row r="444" spans="1:11" ht="15.75" customHeight="1" x14ac:dyDescent="0.2">
      <c r="A444" s="50">
        <v>26</v>
      </c>
      <c r="B444" s="50">
        <v>2</v>
      </c>
      <c r="C444" s="50">
        <v>20.12255815508016</v>
      </c>
      <c r="D444" s="50">
        <v>0</v>
      </c>
      <c r="E444" s="50">
        <v>3.03</v>
      </c>
      <c r="F444" s="50">
        <v>3</v>
      </c>
      <c r="G444" s="50">
        <v>0</v>
      </c>
      <c r="H444" s="50">
        <v>0.157761363636364</v>
      </c>
      <c r="I444" s="50">
        <v>-1.8487299465240636</v>
      </c>
      <c r="J444" s="50">
        <v>0</v>
      </c>
      <c r="K444" s="50">
        <v>0.6110802139037429</v>
      </c>
    </row>
    <row r="445" spans="1:11" ht="15.75" customHeight="1" x14ac:dyDescent="0.2">
      <c r="A445" s="49">
        <v>26</v>
      </c>
      <c r="B445" s="49">
        <v>2</v>
      </c>
      <c r="C445" s="49">
        <v>19.843379679144405</v>
      </c>
      <c r="D445" s="49">
        <v>0</v>
      </c>
      <c r="E445" s="49">
        <v>2.6</v>
      </c>
      <c r="F445" s="49">
        <v>3</v>
      </c>
      <c r="G445" s="49">
        <v>0</v>
      </c>
      <c r="H445" s="49">
        <v>0.15058823529411611</v>
      </c>
      <c r="I445" s="49">
        <v>-10.854144385026776</v>
      </c>
      <c r="J445" s="49">
        <v>20.336517379679144</v>
      </c>
      <c r="K445" s="49">
        <v>5.7396390374331537E-2</v>
      </c>
    </row>
    <row r="446" spans="1:11" ht="15.75" customHeight="1" x14ac:dyDescent="0.2">
      <c r="A446" s="50">
        <v>26</v>
      </c>
      <c r="B446" s="50">
        <v>2</v>
      </c>
      <c r="C446" s="50">
        <v>19.604375668449375</v>
      </c>
      <c r="D446" s="50">
        <v>0</v>
      </c>
      <c r="E446" s="50">
        <v>1.62</v>
      </c>
      <c r="F446" s="50">
        <v>2</v>
      </c>
      <c r="G446" s="50">
        <v>0</v>
      </c>
      <c r="H446" s="50">
        <v>0.15563435828876898</v>
      </c>
      <c r="I446" s="50">
        <v>0.43389037433154953</v>
      </c>
      <c r="J446" s="50">
        <v>85.094072192513366</v>
      </c>
      <c r="K446" s="50">
        <v>0.74776671122994731</v>
      </c>
    </row>
    <row r="447" spans="1:11" ht="15.75" customHeight="1" x14ac:dyDescent="0.2">
      <c r="A447" s="51">
        <v>26</v>
      </c>
      <c r="B447" s="51">
        <v>2</v>
      </c>
      <c r="C447" s="51">
        <v>19.698385695187206</v>
      </c>
      <c r="D447" s="51">
        <v>0</v>
      </c>
      <c r="E447" s="51">
        <v>2.5</v>
      </c>
      <c r="F447" s="51">
        <v>2</v>
      </c>
      <c r="G447" s="51">
        <v>0</v>
      </c>
      <c r="H447" s="51">
        <v>0.14958221925133491</v>
      </c>
      <c r="I447" s="51">
        <v>-0.13943850267379873</v>
      </c>
      <c r="J447" s="51">
        <v>3.3541804812834219</v>
      </c>
      <c r="K447" s="51">
        <v>0.79677339572192296</v>
      </c>
    </row>
    <row r="448" spans="1:11" ht="15.75" customHeight="1" x14ac:dyDescent="0.2">
      <c r="A448" s="48">
        <v>26</v>
      </c>
      <c r="B448" s="48">
        <v>3</v>
      </c>
      <c r="C448" s="48">
        <v>7.6242173913043487</v>
      </c>
      <c r="D448" s="48">
        <v>0</v>
      </c>
      <c r="E448" s="48">
        <v>4.5999999999999996</v>
      </c>
      <c r="F448" s="48">
        <v>4</v>
      </c>
      <c r="G448" s="48">
        <v>0</v>
      </c>
      <c r="H448" s="48">
        <v>0.1040434782608696</v>
      </c>
      <c r="I448" s="48">
        <v>0.69130434782608696</v>
      </c>
      <c r="J448" s="48">
        <v>0</v>
      </c>
      <c r="K448" s="48">
        <v>0.37930434782608696</v>
      </c>
    </row>
    <row r="449" spans="1:11" ht="15.75" customHeight="1" x14ac:dyDescent="0.2">
      <c r="A449" s="49">
        <v>26</v>
      </c>
      <c r="B449" s="49">
        <v>3</v>
      </c>
      <c r="C449" s="49">
        <v>14.003608695652172</v>
      </c>
      <c r="D449" s="49">
        <v>0</v>
      </c>
      <c r="E449" s="49">
        <v>3.1</v>
      </c>
      <c r="F449" s="49">
        <v>4</v>
      </c>
      <c r="G449" s="49">
        <v>0</v>
      </c>
      <c r="H449" s="49">
        <v>0.11869565217391306</v>
      </c>
      <c r="I449" s="49">
        <v>0.16086956521739135</v>
      </c>
      <c r="J449" s="49">
        <v>15.458478260869564</v>
      </c>
      <c r="K449" s="49">
        <v>0.67708695652173911</v>
      </c>
    </row>
    <row r="450" spans="1:11" ht="15.75" customHeight="1" x14ac:dyDescent="0.2">
      <c r="A450" s="50">
        <v>26</v>
      </c>
      <c r="B450" s="50">
        <v>3</v>
      </c>
      <c r="C450" s="50">
        <v>13.954130434782613</v>
      </c>
      <c r="D450" s="50">
        <v>0</v>
      </c>
      <c r="E450" s="50">
        <v>5.0599999999999996</v>
      </c>
      <c r="F450" s="50">
        <v>3</v>
      </c>
      <c r="G450" s="50">
        <v>4.5217391304347822E-3</v>
      </c>
      <c r="H450" s="50">
        <v>8.2260869565217387E-2</v>
      </c>
      <c r="I450" s="50">
        <v>-32.165217391304353</v>
      </c>
      <c r="J450" s="50">
        <v>8.8642173913043489</v>
      </c>
      <c r="K450" s="50">
        <v>0.30139130434782607</v>
      </c>
    </row>
    <row r="451" spans="1:11" ht="15.75" customHeight="1" x14ac:dyDescent="0.2">
      <c r="A451" s="49">
        <v>26</v>
      </c>
      <c r="B451" s="49">
        <v>3</v>
      </c>
      <c r="C451" s="49">
        <v>10.750782608695653</v>
      </c>
      <c r="D451" s="49">
        <v>0</v>
      </c>
      <c r="E451" s="49">
        <v>2.42</v>
      </c>
      <c r="F451" s="49">
        <v>3</v>
      </c>
      <c r="G451" s="49">
        <v>0</v>
      </c>
      <c r="H451" s="49">
        <v>0.1152173913043478</v>
      </c>
      <c r="I451" s="49">
        <v>4.7739130434782622</v>
      </c>
      <c r="J451" s="49">
        <v>91.863782608695644</v>
      </c>
      <c r="K451" s="49">
        <v>-3.42608695652174E-2</v>
      </c>
    </row>
    <row r="452" spans="1:11" ht="15.75" customHeight="1" x14ac:dyDescent="0.2">
      <c r="A452" s="50">
        <v>26</v>
      </c>
      <c r="B452" s="50">
        <v>3</v>
      </c>
      <c r="C452" s="50">
        <v>10.833173913043479</v>
      </c>
      <c r="D452" s="50">
        <v>0</v>
      </c>
      <c r="E452" s="50">
        <v>3</v>
      </c>
      <c r="F452" s="50">
        <v>2</v>
      </c>
      <c r="G452" s="50">
        <v>2.6478260869565218E-2</v>
      </c>
      <c r="H452" s="50">
        <v>9.1956521739130465E-2</v>
      </c>
      <c r="I452" s="50">
        <v>0.11739130434782609</v>
      </c>
      <c r="J452" s="50">
        <v>44.326478260869564</v>
      </c>
      <c r="K452" s="50">
        <v>0.14165217391304349</v>
      </c>
    </row>
    <row r="453" spans="1:11" ht="15.75" customHeight="1" x14ac:dyDescent="0.2">
      <c r="A453" s="51">
        <v>26</v>
      </c>
      <c r="B453" s="51">
        <v>3</v>
      </c>
      <c r="C453" s="51">
        <v>13.254434782608692</v>
      </c>
      <c r="D453" s="51">
        <v>0</v>
      </c>
      <c r="E453" s="51">
        <v>2.8</v>
      </c>
      <c r="F453" s="51">
        <v>2</v>
      </c>
      <c r="G453" s="51">
        <v>0</v>
      </c>
      <c r="H453" s="51">
        <v>0.11973913043478263</v>
      </c>
      <c r="I453" s="51">
        <v>-11.856521739130434</v>
      </c>
      <c r="J453" s="51">
        <v>91.351086956521755</v>
      </c>
      <c r="K453" s="51">
        <v>0.41247826086956524</v>
      </c>
    </row>
    <row r="454" spans="1:11" ht="15.75" customHeight="1" x14ac:dyDescent="0.2">
      <c r="A454" s="48">
        <v>27</v>
      </c>
      <c r="B454" s="48">
        <v>1</v>
      </c>
      <c r="C454" s="48">
        <v>12.679128205128206</v>
      </c>
      <c r="D454" s="48">
        <v>1</v>
      </c>
      <c r="E454" s="48">
        <v>9.4</v>
      </c>
      <c r="F454" s="48">
        <v>4</v>
      </c>
      <c r="G454" s="48">
        <v>0</v>
      </c>
      <c r="H454" s="48">
        <v>0.13335897435897437</v>
      </c>
      <c r="I454" s="48">
        <v>0.39743589743589741</v>
      </c>
      <c r="J454" s="48">
        <v>49.281128205128198</v>
      </c>
      <c r="K454" s="48">
        <v>0.797025641025641</v>
      </c>
    </row>
    <row r="455" spans="1:11" ht="15.75" customHeight="1" x14ac:dyDescent="0.2">
      <c r="A455" s="49">
        <v>27</v>
      </c>
      <c r="B455" s="49">
        <v>1</v>
      </c>
      <c r="C455" s="49">
        <v>11.401589743589746</v>
      </c>
      <c r="D455" s="49">
        <v>0</v>
      </c>
      <c r="E455" s="49">
        <v>5.23</v>
      </c>
      <c r="F455" s="49">
        <v>4</v>
      </c>
      <c r="G455" s="49">
        <v>3.2717948717948718E-2</v>
      </c>
      <c r="H455" s="49">
        <v>7.3999999999999996E-2</v>
      </c>
      <c r="I455" s="49">
        <v>-0.17692307692307688</v>
      </c>
      <c r="J455" s="49">
        <v>60.722384615384613</v>
      </c>
      <c r="K455" s="49">
        <v>0.56394871794871781</v>
      </c>
    </row>
    <row r="456" spans="1:11" ht="15.75" customHeight="1" x14ac:dyDescent="0.2">
      <c r="A456" s="50">
        <v>27</v>
      </c>
      <c r="B456" s="50">
        <v>1</v>
      </c>
      <c r="C456" s="50">
        <v>5.3524871794871789</v>
      </c>
      <c r="D456" s="50">
        <v>0</v>
      </c>
      <c r="E456" s="50">
        <v>7.7</v>
      </c>
      <c r="F456" s="50">
        <v>3</v>
      </c>
      <c r="G456" s="50">
        <v>1.653846153846154E-2</v>
      </c>
      <c r="H456" s="50">
        <v>6.7948717948717943E-2</v>
      </c>
      <c r="I456" s="50">
        <v>-17.020512820512824</v>
      </c>
      <c r="J456" s="50">
        <v>55.55123076923077</v>
      </c>
      <c r="K456" s="50">
        <v>0.54728205128205132</v>
      </c>
    </row>
    <row r="457" spans="1:11" ht="15.75" customHeight="1" x14ac:dyDescent="0.2">
      <c r="A457" s="49">
        <v>27</v>
      </c>
      <c r="B457" s="49">
        <v>1</v>
      </c>
      <c r="C457" s="49">
        <v>13.442179487179487</v>
      </c>
      <c r="D457" s="49">
        <v>0</v>
      </c>
      <c r="E457" s="49">
        <v>4.83</v>
      </c>
      <c r="F457" s="49">
        <v>3</v>
      </c>
      <c r="G457" s="49">
        <v>0</v>
      </c>
      <c r="H457" s="49">
        <v>9.092307692307694E-2</v>
      </c>
      <c r="I457" s="49">
        <v>-3.4512820512820519</v>
      </c>
      <c r="J457" s="49">
        <v>12.295333333333334</v>
      </c>
      <c r="K457" s="49">
        <v>0.59571794871794859</v>
      </c>
    </row>
    <row r="458" spans="1:11" ht="15.75" customHeight="1" x14ac:dyDescent="0.2">
      <c r="A458" s="50">
        <v>27</v>
      </c>
      <c r="B458" s="50">
        <v>1</v>
      </c>
      <c r="C458" s="50">
        <v>14.189512820512819</v>
      </c>
      <c r="D458" s="50">
        <v>2</v>
      </c>
      <c r="E458" s="50">
        <v>12.99</v>
      </c>
      <c r="F458" s="50">
        <v>2</v>
      </c>
      <c r="G458" s="50">
        <v>2.8461538461538459E-3</v>
      </c>
      <c r="H458" s="50">
        <v>0.11823076923076922</v>
      </c>
      <c r="I458" s="50">
        <v>-6.0974358974358971</v>
      </c>
      <c r="J458" s="50">
        <v>20.669384615384612</v>
      </c>
      <c r="K458" s="50">
        <v>0.15389743589743593</v>
      </c>
    </row>
    <row r="459" spans="1:11" ht="15.75" customHeight="1" x14ac:dyDescent="0.2">
      <c r="A459" s="51">
        <v>27</v>
      </c>
      <c r="B459" s="51">
        <v>1</v>
      </c>
      <c r="C459" s="51">
        <v>11.259589743589745</v>
      </c>
      <c r="D459" s="51">
        <v>2</v>
      </c>
      <c r="E459" s="51">
        <v>12.95</v>
      </c>
      <c r="F459" s="51">
        <v>2</v>
      </c>
      <c r="G459" s="51">
        <v>3.7666666666666668E-2</v>
      </c>
      <c r="H459" s="51">
        <v>9.8743589743589766E-2</v>
      </c>
      <c r="I459" s="51">
        <v>-1.6846153846153846</v>
      </c>
      <c r="J459" s="51">
        <v>17.057974358974359</v>
      </c>
      <c r="K459" s="51">
        <v>-9.905128205128208E-2</v>
      </c>
    </row>
    <row r="460" spans="1:11" ht="15.75" customHeight="1" x14ac:dyDescent="0.2">
      <c r="A460" s="48">
        <v>27</v>
      </c>
      <c r="B460" s="48">
        <v>2</v>
      </c>
      <c r="C460" s="48">
        <v>14.357511247443773</v>
      </c>
      <c r="D460" s="48">
        <v>0</v>
      </c>
      <c r="E460" s="48">
        <v>9.76</v>
      </c>
      <c r="F460" s="48">
        <v>4</v>
      </c>
      <c r="G460" s="48">
        <v>0</v>
      </c>
      <c r="H460" s="48">
        <v>0.19847801635991827</v>
      </c>
      <c r="I460" s="48">
        <v>-0.4437627811860973</v>
      </c>
      <c r="J460" s="48">
        <v>36.677780163599166</v>
      </c>
      <c r="K460" s="48">
        <v>1.3391538854805742</v>
      </c>
    </row>
    <row r="461" spans="1:11" ht="15.75" customHeight="1" x14ac:dyDescent="0.2">
      <c r="A461" s="49">
        <v>27</v>
      </c>
      <c r="B461" s="49">
        <v>2</v>
      </c>
      <c r="C461" s="49">
        <v>24.176021472392659</v>
      </c>
      <c r="D461" s="49">
        <v>1</v>
      </c>
      <c r="E461" s="49">
        <v>14.16</v>
      </c>
      <c r="F461" s="49">
        <v>4</v>
      </c>
      <c r="G461" s="49">
        <v>0</v>
      </c>
      <c r="H461" s="49">
        <v>0.3142571574642124</v>
      </c>
      <c r="I461" s="49">
        <v>-0.50276073619631911</v>
      </c>
      <c r="J461" s="49">
        <v>0</v>
      </c>
      <c r="K461" s="49">
        <v>0.87353834355828031</v>
      </c>
    </row>
    <row r="462" spans="1:11" ht="15.75" customHeight="1" x14ac:dyDescent="0.2">
      <c r="A462" s="50">
        <v>27</v>
      </c>
      <c r="B462" s="50">
        <v>2</v>
      </c>
      <c r="C462" s="50">
        <v>28.246534764826148</v>
      </c>
      <c r="D462" s="50">
        <v>0</v>
      </c>
      <c r="E462" s="50">
        <v>9.02</v>
      </c>
      <c r="F462" s="50">
        <v>3</v>
      </c>
      <c r="G462" s="50">
        <v>0</v>
      </c>
      <c r="H462" s="50">
        <v>0.27424693251533583</v>
      </c>
      <c r="I462" s="50">
        <v>-9.4797034764825678</v>
      </c>
      <c r="J462" s="50">
        <v>0</v>
      </c>
      <c r="K462" s="50">
        <v>0.70271421267893697</v>
      </c>
    </row>
    <row r="463" spans="1:11" ht="15.75" customHeight="1" x14ac:dyDescent="0.2">
      <c r="A463" s="49">
        <v>27</v>
      </c>
      <c r="B463" s="49">
        <v>2</v>
      </c>
      <c r="C463" s="49">
        <v>28.855138548057255</v>
      </c>
      <c r="D463" s="49">
        <v>0</v>
      </c>
      <c r="E463" s="49">
        <v>5.5</v>
      </c>
      <c r="F463" s="49">
        <v>3</v>
      </c>
      <c r="G463" s="49">
        <v>0</v>
      </c>
      <c r="H463" s="49">
        <v>0.25304754601226553</v>
      </c>
      <c r="I463" s="49">
        <v>-4.6883435582822131</v>
      </c>
      <c r="J463" s="49">
        <v>0</v>
      </c>
      <c r="K463" s="49">
        <v>0.89749795501022422</v>
      </c>
    </row>
    <row r="464" spans="1:11" ht="15.75" customHeight="1" x14ac:dyDescent="0.2">
      <c r="A464" s="50">
        <v>27</v>
      </c>
      <c r="B464" s="50">
        <v>2</v>
      </c>
      <c r="C464" s="50">
        <v>27.939082822085911</v>
      </c>
      <c r="D464" s="50">
        <v>0</v>
      </c>
      <c r="E464" s="50">
        <v>4.55</v>
      </c>
      <c r="F464" s="50">
        <v>2</v>
      </c>
      <c r="G464" s="50">
        <v>0</v>
      </c>
      <c r="H464" s="50">
        <v>0.28038036809816091</v>
      </c>
      <c r="I464" s="50">
        <v>-5.7641615541922109</v>
      </c>
      <c r="J464" s="50">
        <v>18.63264263803682</v>
      </c>
      <c r="K464" s="50">
        <v>0.53920143149284283</v>
      </c>
    </row>
    <row r="465" spans="1:11" ht="15.75" customHeight="1" x14ac:dyDescent="0.2">
      <c r="A465" s="51">
        <v>27</v>
      </c>
      <c r="B465" s="51">
        <v>2</v>
      </c>
      <c r="C465" s="51">
        <v>29.898451942740376</v>
      </c>
      <c r="D465" s="51">
        <v>0</v>
      </c>
      <c r="E465" s="51">
        <v>2.5499999999999998</v>
      </c>
      <c r="F465" s="51">
        <v>2</v>
      </c>
      <c r="G465" s="51">
        <v>0</v>
      </c>
      <c r="H465" s="51">
        <v>0.30119529652351762</v>
      </c>
      <c r="I465" s="51">
        <v>-9.9405930470347723</v>
      </c>
      <c r="J465" s="51">
        <v>129.88131901840504</v>
      </c>
      <c r="K465" s="51">
        <v>0.90738036809815936</v>
      </c>
    </row>
    <row r="466" spans="1:11" ht="15.75" customHeight="1" x14ac:dyDescent="0.2">
      <c r="A466" s="48">
        <v>27</v>
      </c>
      <c r="B466" s="48">
        <v>3</v>
      </c>
      <c r="C466" s="48">
        <v>12.770314285714287</v>
      </c>
      <c r="D466" s="48">
        <v>0</v>
      </c>
      <c r="E466" s="48">
        <v>3.16</v>
      </c>
      <c r="F466" s="48">
        <v>4</v>
      </c>
      <c r="G466" s="48">
        <v>4.8571428571428576E-3</v>
      </c>
      <c r="H466" s="48">
        <v>0.15974285714285716</v>
      </c>
      <c r="I466" s="48">
        <v>-5.7142857142856943E-3</v>
      </c>
      <c r="J466" s="48">
        <v>0</v>
      </c>
      <c r="K466" s="48">
        <v>0.50702857142857138</v>
      </c>
    </row>
    <row r="467" spans="1:11" ht="15.75" customHeight="1" x14ac:dyDescent="0.2">
      <c r="A467" s="49">
        <v>27</v>
      </c>
      <c r="B467" s="49">
        <v>3</v>
      </c>
      <c r="C467" s="49">
        <v>13.114114285714287</v>
      </c>
      <c r="D467" s="49">
        <v>0</v>
      </c>
      <c r="E467" s="49">
        <v>4.5999999999999996</v>
      </c>
      <c r="F467" s="49">
        <v>4</v>
      </c>
      <c r="G467" s="49">
        <v>5.1657142857142853E-2</v>
      </c>
      <c r="H467" s="49">
        <v>9.4942857142857121E-2</v>
      </c>
      <c r="I467" s="49">
        <v>-0.32285714285714279</v>
      </c>
      <c r="J467" s="49">
        <v>6.2795428571428573</v>
      </c>
      <c r="K467" s="49">
        <v>0.27202857142857145</v>
      </c>
    </row>
    <row r="468" spans="1:11" ht="15.75" customHeight="1" x14ac:dyDescent="0.2">
      <c r="A468" s="50">
        <v>27</v>
      </c>
      <c r="B468" s="50">
        <v>3</v>
      </c>
      <c r="C468" s="50">
        <v>-3.6975142857142842</v>
      </c>
      <c r="D468" s="50">
        <v>0</v>
      </c>
      <c r="E468" s="50">
        <v>3.93</v>
      </c>
      <c r="F468" s="50">
        <v>3</v>
      </c>
      <c r="G468" s="50">
        <v>0.14808571428571429</v>
      </c>
      <c r="H468" s="50">
        <v>0.11640000000000002</v>
      </c>
      <c r="I468" s="50">
        <v>-48.557142857142857</v>
      </c>
      <c r="J468" s="50">
        <v>0</v>
      </c>
      <c r="K468" s="50">
        <v>-0.45785714285714302</v>
      </c>
    </row>
    <row r="469" spans="1:11" ht="15.75" customHeight="1" x14ac:dyDescent="0.2">
      <c r="A469" s="49">
        <v>27</v>
      </c>
      <c r="B469" s="49">
        <v>3</v>
      </c>
      <c r="C469" s="49">
        <v>13.987885714285715</v>
      </c>
      <c r="D469" s="49">
        <v>0</v>
      </c>
      <c r="E469" s="49">
        <v>2.52</v>
      </c>
      <c r="F469" s="49">
        <v>3</v>
      </c>
      <c r="G469" s="49">
        <v>6.5142857142857141E-2</v>
      </c>
      <c r="H469" s="49">
        <v>0.1927142857142857</v>
      </c>
      <c r="I469" s="49">
        <v>-5.8999999999999986</v>
      </c>
      <c r="J469" s="49">
        <v>0</v>
      </c>
      <c r="K469" s="49">
        <v>0.33151428571428576</v>
      </c>
    </row>
    <row r="470" spans="1:11" ht="15.75" customHeight="1" x14ac:dyDescent="0.2">
      <c r="A470" s="50">
        <v>27</v>
      </c>
      <c r="B470" s="50">
        <v>3</v>
      </c>
      <c r="C470" s="50">
        <v>14.472657142857143</v>
      </c>
      <c r="D470" s="50">
        <v>0</v>
      </c>
      <c r="E470" s="50">
        <v>3.69</v>
      </c>
      <c r="F470" s="50">
        <v>2</v>
      </c>
      <c r="G470" s="50">
        <v>4.1171428571428581E-2</v>
      </c>
      <c r="H470" s="50">
        <v>0.18091428571428572</v>
      </c>
      <c r="I470" s="50">
        <v>-10.000000000000002</v>
      </c>
      <c r="J470" s="50">
        <v>48.145428571428575</v>
      </c>
      <c r="K470" s="50">
        <v>-6.7600000000000035E-2</v>
      </c>
    </row>
    <row r="471" spans="1:11" ht="15.75" customHeight="1" x14ac:dyDescent="0.2">
      <c r="A471" s="51">
        <v>27</v>
      </c>
      <c r="B471" s="51">
        <v>3</v>
      </c>
      <c r="C471" s="51">
        <v>13.515828571428575</v>
      </c>
      <c r="D471" s="51">
        <v>0</v>
      </c>
      <c r="E471" s="51">
        <v>4.33</v>
      </c>
      <c r="F471" s="51">
        <v>2</v>
      </c>
      <c r="G471" s="51">
        <v>0</v>
      </c>
      <c r="H471" s="51">
        <v>0.14562857142857144</v>
      </c>
      <c r="I471" s="51">
        <v>-7.428571428571433E-2</v>
      </c>
      <c r="J471" s="51">
        <v>49.042799999999986</v>
      </c>
      <c r="K471" s="51">
        <v>0.29128571428571431</v>
      </c>
    </row>
    <row r="472" spans="1:11" ht="15.75" customHeight="1" x14ac:dyDescent="0.2">
      <c r="A472" s="48">
        <v>28</v>
      </c>
      <c r="B472" s="48">
        <v>1</v>
      </c>
      <c r="C472" s="48">
        <v>11.010782608695651</v>
      </c>
      <c r="D472" s="48">
        <v>0</v>
      </c>
      <c r="E472" s="48">
        <v>4.8600000000000003</v>
      </c>
      <c r="F472" s="48">
        <v>4</v>
      </c>
      <c r="G472" s="48">
        <v>0</v>
      </c>
      <c r="H472" s="48">
        <v>0.14965217391304345</v>
      </c>
      <c r="I472" s="48">
        <v>-0.24782608695652183</v>
      </c>
      <c r="J472" s="48">
        <v>13.579391304347826</v>
      </c>
      <c r="K472" s="48">
        <v>0.16139130434782603</v>
      </c>
    </row>
    <row r="473" spans="1:11" ht="15.75" customHeight="1" x14ac:dyDescent="0.2">
      <c r="A473" s="49">
        <v>28</v>
      </c>
      <c r="B473" s="49">
        <v>1</v>
      </c>
      <c r="C473" s="49">
        <v>15.878260869565214</v>
      </c>
      <c r="D473" s="49">
        <v>0</v>
      </c>
      <c r="E473" s="49">
        <v>4.43</v>
      </c>
      <c r="F473" s="49">
        <v>4</v>
      </c>
      <c r="G473" s="49">
        <v>0</v>
      </c>
      <c r="H473" s="49">
        <v>0.1262608695652174</v>
      </c>
      <c r="I473" s="49">
        <v>6.9565217391304321E-2</v>
      </c>
      <c r="J473" s="49">
        <v>155.84926086956526</v>
      </c>
      <c r="K473" s="49">
        <v>0.48569565217391303</v>
      </c>
    </row>
    <row r="474" spans="1:11" ht="15.75" customHeight="1" x14ac:dyDescent="0.2">
      <c r="A474" s="50">
        <v>28</v>
      </c>
      <c r="B474" s="50">
        <v>1</v>
      </c>
      <c r="C474" s="50">
        <v>15.059956521739132</v>
      </c>
      <c r="D474" s="50">
        <v>0</v>
      </c>
      <c r="E474" s="50">
        <v>3.83</v>
      </c>
      <c r="F474" s="50">
        <v>3</v>
      </c>
      <c r="G474" s="50">
        <v>1.6999999999999998E-2</v>
      </c>
      <c r="H474" s="50">
        <v>8.3521739130434772E-2</v>
      </c>
      <c r="I474" s="50">
        <v>-2.7347826086956526</v>
      </c>
      <c r="J474" s="50">
        <v>4.1657391304347824</v>
      </c>
      <c r="K474" s="50">
        <v>0.40417391304347822</v>
      </c>
    </row>
    <row r="475" spans="1:11" ht="15.75" customHeight="1" x14ac:dyDescent="0.2">
      <c r="A475" s="49">
        <v>28</v>
      </c>
      <c r="B475" s="49">
        <v>1</v>
      </c>
      <c r="C475" s="49">
        <v>10.267260869565218</v>
      </c>
      <c r="D475" s="49">
        <v>1</v>
      </c>
      <c r="E475" s="49">
        <v>4.5999999999999996</v>
      </c>
      <c r="F475" s="49">
        <v>3</v>
      </c>
      <c r="G475" s="49">
        <v>0</v>
      </c>
      <c r="H475" s="49">
        <v>0.12578260869565219</v>
      </c>
      <c r="I475" s="49">
        <v>-29.965217391304346</v>
      </c>
      <c r="J475" s="49">
        <v>0</v>
      </c>
      <c r="K475" s="49">
        <v>0.25786956521739129</v>
      </c>
    </row>
    <row r="476" spans="1:11" ht="15.75" customHeight="1" x14ac:dyDescent="0.2">
      <c r="A476" s="50">
        <v>28</v>
      </c>
      <c r="B476" s="50">
        <v>1</v>
      </c>
      <c r="C476" s="50">
        <v>17.136304347826083</v>
      </c>
      <c r="D476" s="50">
        <v>0</v>
      </c>
      <c r="E476" s="50">
        <v>4.1500000000000004</v>
      </c>
      <c r="F476" s="50">
        <v>2</v>
      </c>
      <c r="G476" s="50">
        <v>0</v>
      </c>
      <c r="H476" s="50">
        <v>0.15230434782608693</v>
      </c>
      <c r="I476" s="50">
        <v>-1.9434782608695653</v>
      </c>
      <c r="J476" s="50">
        <v>0</v>
      </c>
      <c r="K476" s="50">
        <v>-7.9739130434782604E-2</v>
      </c>
    </row>
    <row r="477" spans="1:11" ht="15.75" customHeight="1" x14ac:dyDescent="0.2">
      <c r="A477" s="51">
        <v>28</v>
      </c>
      <c r="B477" s="51">
        <v>1</v>
      </c>
      <c r="C477" s="51">
        <v>15.238173913043477</v>
      </c>
      <c r="D477" s="51">
        <v>0</v>
      </c>
      <c r="E477" s="51">
        <v>2.6</v>
      </c>
      <c r="F477" s="51">
        <v>2</v>
      </c>
      <c r="G477" s="51">
        <v>0</v>
      </c>
      <c r="H477" s="51">
        <v>7.6999999999999999E-2</v>
      </c>
      <c r="I477" s="51">
        <v>-11.68695652173913</v>
      </c>
      <c r="J477" s="51">
        <v>0</v>
      </c>
      <c r="K477" s="51">
        <v>-0.10634782608695653</v>
      </c>
    </row>
    <row r="478" spans="1:11" ht="15.75" customHeight="1" x14ac:dyDescent="0.2">
      <c r="A478" s="48">
        <v>28</v>
      </c>
      <c r="B478" s="48">
        <v>2</v>
      </c>
      <c r="C478" s="48">
        <v>8.3478783877692742</v>
      </c>
      <c r="D478" s="48">
        <v>0</v>
      </c>
      <c r="E478" s="48">
        <v>5.0199999999999996</v>
      </c>
      <c r="F478" s="48">
        <v>4</v>
      </c>
      <c r="G478" s="48">
        <v>0</v>
      </c>
      <c r="H478" s="48">
        <v>0.14879708130646283</v>
      </c>
      <c r="I478" s="48">
        <v>-1.7696316886726848</v>
      </c>
      <c r="J478" s="48">
        <v>23.857656706045862</v>
      </c>
      <c r="K478" s="48">
        <v>1.1205017373175767</v>
      </c>
    </row>
    <row r="479" spans="1:11" ht="15.75" customHeight="1" x14ac:dyDescent="0.2">
      <c r="A479" s="49">
        <v>28</v>
      </c>
      <c r="B479" s="49">
        <v>2</v>
      </c>
      <c r="C479" s="49">
        <v>22.508764419735925</v>
      </c>
      <c r="D479" s="49">
        <v>0</v>
      </c>
      <c r="E479" s="49">
        <v>4.2300000000000004</v>
      </c>
      <c r="F479" s="49">
        <v>4</v>
      </c>
      <c r="G479" s="49">
        <v>0</v>
      </c>
      <c r="H479" s="49">
        <v>0.27327936066712416</v>
      </c>
      <c r="I479" s="49">
        <v>2.536483669214681E-2</v>
      </c>
      <c r="J479" s="49">
        <v>0</v>
      </c>
      <c r="K479" s="49">
        <v>0.11129395413481599</v>
      </c>
    </row>
    <row r="480" spans="1:11" ht="15.75" customHeight="1" x14ac:dyDescent="0.2">
      <c r="A480" s="50">
        <v>28</v>
      </c>
      <c r="B480" s="50">
        <v>2</v>
      </c>
      <c r="C480" s="50">
        <v>27.768361362056968</v>
      </c>
      <c r="D480" s="50">
        <v>1</v>
      </c>
      <c r="E480" s="50">
        <v>3.86</v>
      </c>
      <c r="F480" s="50">
        <v>3</v>
      </c>
      <c r="G480" s="50">
        <v>0</v>
      </c>
      <c r="H480" s="50">
        <v>0.28322654621264354</v>
      </c>
      <c r="I480" s="50">
        <v>-5.296803335649753</v>
      </c>
      <c r="J480" s="50">
        <v>0</v>
      </c>
      <c r="K480" s="50">
        <v>-0.32120708825573302</v>
      </c>
    </row>
    <row r="481" spans="1:11" ht="15.75" customHeight="1" x14ac:dyDescent="0.2">
      <c r="A481" s="49">
        <v>28</v>
      </c>
      <c r="B481" s="49">
        <v>2</v>
      </c>
      <c r="C481" s="49">
        <v>28.621343988881179</v>
      </c>
      <c r="D481" s="49">
        <v>0</v>
      </c>
      <c r="E481" s="49">
        <v>4.12</v>
      </c>
      <c r="F481" s="49">
        <v>3</v>
      </c>
      <c r="G481" s="49">
        <v>0</v>
      </c>
      <c r="H481" s="49">
        <v>0.28536136205697676</v>
      </c>
      <c r="I481" s="49">
        <v>-8.3138290479499588</v>
      </c>
      <c r="J481" s="49">
        <v>0</v>
      </c>
      <c r="K481" s="49">
        <v>-0.35249200833912436</v>
      </c>
    </row>
    <row r="482" spans="1:11" ht="15.75" customHeight="1" x14ac:dyDescent="0.2">
      <c r="A482" s="50">
        <v>28</v>
      </c>
      <c r="B482" s="50">
        <v>2</v>
      </c>
      <c r="C482" s="50">
        <v>29.307307157748397</v>
      </c>
      <c r="D482" s="50">
        <v>0</v>
      </c>
      <c r="E482" s="50">
        <v>4.8600000000000003</v>
      </c>
      <c r="F482" s="50">
        <v>2</v>
      </c>
      <c r="G482" s="50">
        <v>0</v>
      </c>
      <c r="H482" s="50">
        <v>0.25931202223766764</v>
      </c>
      <c r="I482" s="50">
        <v>7.1716469770674501E-2</v>
      </c>
      <c r="J482" s="50">
        <v>0</v>
      </c>
      <c r="K482" s="50">
        <v>-0.38117790132036183</v>
      </c>
    </row>
    <row r="483" spans="1:11" ht="15.75" customHeight="1" x14ac:dyDescent="0.2">
      <c r="A483" s="51">
        <v>28</v>
      </c>
      <c r="B483" s="51">
        <v>2</v>
      </c>
      <c r="C483" s="51">
        <v>28.504455177206435</v>
      </c>
      <c r="D483" s="51">
        <v>0</v>
      </c>
      <c r="E483" s="51">
        <v>4.3</v>
      </c>
      <c r="F483" s="51">
        <v>2</v>
      </c>
      <c r="G483" s="51">
        <v>0</v>
      </c>
      <c r="H483" s="51">
        <v>0.247295343988882</v>
      </c>
      <c r="I483" s="51">
        <v>-14.489298123697012</v>
      </c>
      <c r="J483" s="51">
        <v>0</v>
      </c>
      <c r="K483" s="51">
        <v>0.27119527449617814</v>
      </c>
    </row>
    <row r="484" spans="1:11" ht="15.75" customHeight="1" x14ac:dyDescent="0.2">
      <c r="A484" s="48">
        <v>28</v>
      </c>
      <c r="B484" s="48">
        <v>3</v>
      </c>
      <c r="C484" s="48">
        <v>9.2880689655172404</v>
      </c>
      <c r="D484" s="48">
        <v>0</v>
      </c>
      <c r="E484" s="48">
        <v>2.95</v>
      </c>
      <c r="F484" s="48">
        <v>4</v>
      </c>
      <c r="G484" s="48">
        <v>0</v>
      </c>
      <c r="H484" s="48">
        <v>0.11255172413793105</v>
      </c>
      <c r="I484" s="48">
        <v>-0.20689655172413793</v>
      </c>
      <c r="J484" s="48">
        <v>0</v>
      </c>
      <c r="K484" s="48">
        <v>-6.3517241379310335E-2</v>
      </c>
    </row>
    <row r="485" spans="1:11" ht="15.75" customHeight="1" x14ac:dyDescent="0.2">
      <c r="A485" s="49">
        <v>28</v>
      </c>
      <c r="B485" s="49">
        <v>3</v>
      </c>
      <c r="C485" s="49">
        <v>15.088172413793101</v>
      </c>
      <c r="D485" s="49">
        <v>0</v>
      </c>
      <c r="E485" s="49">
        <v>4.1100000000000003</v>
      </c>
      <c r="F485" s="49">
        <v>4</v>
      </c>
      <c r="G485" s="49">
        <v>0</v>
      </c>
      <c r="H485" s="49">
        <v>0.12020689655172417</v>
      </c>
      <c r="I485" s="49">
        <v>-1.0413793103448277</v>
      </c>
      <c r="J485" s="49">
        <v>1.8046206896551724</v>
      </c>
      <c r="K485" s="49">
        <v>0.15444827586206894</v>
      </c>
    </row>
    <row r="486" spans="1:11" ht="15.75" customHeight="1" x14ac:dyDescent="0.2">
      <c r="A486" s="50">
        <v>28</v>
      </c>
      <c r="B486" s="50">
        <v>3</v>
      </c>
      <c r="C486" s="50">
        <v>1.2851724137931035</v>
      </c>
      <c r="D486" s="50">
        <v>0</v>
      </c>
      <c r="E486" s="50">
        <v>3.2</v>
      </c>
      <c r="F486" s="50">
        <v>3</v>
      </c>
      <c r="G486" s="50">
        <v>0.24758620689655178</v>
      </c>
      <c r="H486" s="50">
        <v>6.2413793103448271E-3</v>
      </c>
      <c r="I486" s="50">
        <v>0.16206896551724148</v>
      </c>
      <c r="J486" s="50">
        <v>11.162689655172411</v>
      </c>
      <c r="K486" s="50">
        <v>-0.18851724137931036</v>
      </c>
    </row>
    <row r="487" spans="1:11" ht="15.75" customHeight="1" x14ac:dyDescent="0.2">
      <c r="A487" s="49">
        <v>28</v>
      </c>
      <c r="B487" s="49">
        <v>3</v>
      </c>
      <c r="C487" s="49">
        <v>9.1616206896551713</v>
      </c>
      <c r="D487" s="49">
        <v>0</v>
      </c>
      <c r="E487" s="49">
        <v>3.32</v>
      </c>
      <c r="F487" s="49">
        <v>3</v>
      </c>
      <c r="G487" s="49">
        <v>0</v>
      </c>
      <c r="H487" s="49">
        <v>0.10751724137931035</v>
      </c>
      <c r="I487" s="49">
        <v>-22.431034482758612</v>
      </c>
      <c r="J487" s="49">
        <v>89.474689655172398</v>
      </c>
      <c r="K487" s="49">
        <v>0.21824137931034482</v>
      </c>
    </row>
    <row r="488" spans="1:11" ht="15.75" customHeight="1" x14ac:dyDescent="0.2">
      <c r="A488" s="50">
        <v>28</v>
      </c>
      <c r="B488" s="50">
        <v>3</v>
      </c>
      <c r="C488" s="50">
        <v>16.408517241379311</v>
      </c>
      <c r="D488" s="50">
        <v>0</v>
      </c>
      <c r="E488" s="50">
        <v>3.82</v>
      </c>
      <c r="F488" s="50">
        <v>2</v>
      </c>
      <c r="G488" s="50">
        <v>0</v>
      </c>
      <c r="H488" s="50">
        <v>0.1443103448275862</v>
      </c>
      <c r="I488" s="50">
        <v>-4.4862068965517237</v>
      </c>
      <c r="J488" s="50">
        <v>-0.12679310344827585</v>
      </c>
      <c r="K488" s="50">
        <v>0.22637931034482767</v>
      </c>
    </row>
    <row r="489" spans="1:11" ht="15.75" customHeight="1" x14ac:dyDescent="0.2">
      <c r="A489" s="51">
        <v>28</v>
      </c>
      <c r="B489" s="51">
        <v>3</v>
      </c>
      <c r="C489" s="51">
        <v>16.250103448275858</v>
      </c>
      <c r="D489" s="51">
        <v>0</v>
      </c>
      <c r="E489" s="51">
        <v>3.32</v>
      </c>
      <c r="F489" s="51">
        <v>2</v>
      </c>
      <c r="G489" s="51">
        <v>0</v>
      </c>
      <c r="H489" s="51">
        <v>0.10193103448275861</v>
      </c>
      <c r="I489" s="51">
        <v>-7.544827586206897</v>
      </c>
      <c r="J489" s="51">
        <v>6.9655172413793098E-2</v>
      </c>
      <c r="K489" s="51">
        <v>-0.73624137931034472</v>
      </c>
    </row>
    <row r="490" spans="1:11" ht="15.75" customHeight="1" x14ac:dyDescent="0.2">
      <c r="A490" s="48">
        <v>29</v>
      </c>
      <c r="B490" s="48">
        <v>1</v>
      </c>
      <c r="C490" s="48">
        <v>12.028933333333333</v>
      </c>
      <c r="D490" s="48">
        <v>0</v>
      </c>
      <c r="E490" s="48">
        <v>3.16</v>
      </c>
      <c r="F490" s="48">
        <v>4</v>
      </c>
      <c r="G490" s="48">
        <v>0</v>
      </c>
      <c r="H490" s="48">
        <v>0.1394</v>
      </c>
      <c r="I490" s="48">
        <v>0.58666666666666667</v>
      </c>
      <c r="J490" s="48">
        <v>81.615000000000009</v>
      </c>
      <c r="K490" s="48">
        <v>0.33936666666666665</v>
      </c>
    </row>
    <row r="491" spans="1:11" ht="15.75" customHeight="1" x14ac:dyDescent="0.2">
      <c r="A491" s="49">
        <v>29</v>
      </c>
      <c r="B491" s="49">
        <v>1</v>
      </c>
      <c r="C491" s="49">
        <v>14.5191</v>
      </c>
      <c r="D491" s="49">
        <v>0</v>
      </c>
      <c r="E491" s="49">
        <v>8.7899999999999991</v>
      </c>
      <c r="F491" s="49">
        <v>4</v>
      </c>
      <c r="G491" s="49">
        <v>0</v>
      </c>
      <c r="H491" s="49">
        <v>0.12433333333333335</v>
      </c>
      <c r="I491" s="49">
        <v>-0.30999999999999994</v>
      </c>
      <c r="J491" s="49">
        <v>15.663333333333332</v>
      </c>
      <c r="K491" s="49">
        <v>0.34613333333333335</v>
      </c>
    </row>
    <row r="492" spans="1:11" ht="15.75" customHeight="1" x14ac:dyDescent="0.2">
      <c r="A492" s="50">
        <v>29</v>
      </c>
      <c r="B492" s="50">
        <v>1</v>
      </c>
      <c r="C492" s="50">
        <v>4.9295000000000009</v>
      </c>
      <c r="D492" s="50">
        <v>0</v>
      </c>
      <c r="E492" s="50">
        <v>3.45</v>
      </c>
      <c r="F492" s="50">
        <v>3</v>
      </c>
      <c r="G492" s="50">
        <v>0.31270000000000009</v>
      </c>
      <c r="H492" s="50">
        <v>3.9533333333333337E-2</v>
      </c>
      <c r="I492" s="50">
        <v>-1.3066666666666664</v>
      </c>
      <c r="J492" s="50">
        <v>7.5576333333333334</v>
      </c>
      <c r="K492" s="50">
        <v>0.3635666666666667</v>
      </c>
    </row>
    <row r="493" spans="1:11" ht="15.75" customHeight="1" x14ac:dyDescent="0.2">
      <c r="A493" s="49">
        <v>29</v>
      </c>
      <c r="B493" s="49">
        <v>1</v>
      </c>
      <c r="C493" s="49">
        <v>7.4399000000000024</v>
      </c>
      <c r="D493" s="49">
        <v>0</v>
      </c>
      <c r="E493" s="49">
        <v>3.4</v>
      </c>
      <c r="F493" s="49">
        <v>3</v>
      </c>
      <c r="G493" s="49">
        <v>5.5500000000000001E-2</v>
      </c>
      <c r="H493" s="49">
        <v>9.959999999999998E-2</v>
      </c>
      <c r="I493" s="49">
        <v>-20.013333333333328</v>
      </c>
      <c r="J493" s="49">
        <v>90.671800000000019</v>
      </c>
      <c r="K493" s="49">
        <v>0.77149999999999996</v>
      </c>
    </row>
    <row r="494" spans="1:11" ht="15.75" customHeight="1" x14ac:dyDescent="0.2">
      <c r="A494" s="50">
        <v>29</v>
      </c>
      <c r="B494" s="50">
        <v>1</v>
      </c>
      <c r="C494" s="50">
        <v>16.425833333333333</v>
      </c>
      <c r="D494" s="50">
        <v>0</v>
      </c>
      <c r="E494" s="50">
        <v>1.8</v>
      </c>
      <c r="F494" s="50">
        <v>2</v>
      </c>
      <c r="G494" s="50">
        <v>3.5999999999999999E-3</v>
      </c>
      <c r="H494" s="50">
        <v>0.13729999999999995</v>
      </c>
      <c r="I494" s="50">
        <v>-3.7100000000000004</v>
      </c>
      <c r="J494" s="50">
        <v>0</v>
      </c>
      <c r="K494" s="50">
        <v>0.30729999999999991</v>
      </c>
    </row>
    <row r="495" spans="1:11" ht="15.75" customHeight="1" x14ac:dyDescent="0.2">
      <c r="A495" s="51">
        <v>29</v>
      </c>
      <c r="B495" s="51">
        <v>1</v>
      </c>
      <c r="C495" s="51">
        <v>12.069399999999998</v>
      </c>
      <c r="D495" s="51">
        <v>0</v>
      </c>
      <c r="E495" s="51">
        <v>4.5999999999999996</v>
      </c>
      <c r="F495" s="51">
        <v>2</v>
      </c>
      <c r="G495" s="51">
        <v>0</v>
      </c>
      <c r="H495" s="51">
        <v>6.3100000000000003E-2</v>
      </c>
      <c r="I495" s="51">
        <v>-6.7666666666666666</v>
      </c>
      <c r="J495" s="51">
        <v>11.745566666666667</v>
      </c>
      <c r="K495" s="51">
        <v>-6.8033333333333362E-2</v>
      </c>
    </row>
    <row r="496" spans="1:11" ht="15.75" customHeight="1" x14ac:dyDescent="0.2">
      <c r="A496" s="48">
        <v>29</v>
      </c>
      <c r="B496" s="48">
        <v>2</v>
      </c>
      <c r="C496" s="48">
        <v>13.671574224021608</v>
      </c>
      <c r="D496" s="48">
        <v>0</v>
      </c>
      <c r="E496" s="48">
        <v>4.83</v>
      </c>
      <c r="F496" s="48">
        <v>4</v>
      </c>
      <c r="G496" s="48">
        <v>2.4595141700404859E-3</v>
      </c>
      <c r="H496" s="48">
        <v>0.22523886639676019</v>
      </c>
      <c r="I496" s="48">
        <v>-1.172807017543863</v>
      </c>
      <c r="J496" s="48">
        <v>23.798028340080972</v>
      </c>
      <c r="K496" s="48">
        <v>1.5013954116059394</v>
      </c>
    </row>
    <row r="497" spans="1:11" ht="15.75" customHeight="1" x14ac:dyDescent="0.2">
      <c r="A497" s="49">
        <v>29</v>
      </c>
      <c r="B497" s="49">
        <v>2</v>
      </c>
      <c r="C497" s="49">
        <v>26.789599190283397</v>
      </c>
      <c r="D497" s="49">
        <v>0</v>
      </c>
      <c r="E497" s="49">
        <v>5.55</v>
      </c>
      <c r="F497" s="49">
        <v>4</v>
      </c>
      <c r="G497" s="49">
        <v>0</v>
      </c>
      <c r="H497" s="49">
        <v>0.42621255060728686</v>
      </c>
      <c r="I497" s="49">
        <v>0.30681511470985362</v>
      </c>
      <c r="J497" s="49">
        <v>0</v>
      </c>
      <c r="K497" s="49">
        <v>0.62371052631578994</v>
      </c>
    </row>
    <row r="498" spans="1:11" ht="15.75" customHeight="1" x14ac:dyDescent="0.2">
      <c r="A498" s="50">
        <v>29</v>
      </c>
      <c r="B498" s="50">
        <v>2</v>
      </c>
      <c r="C498" s="50">
        <v>27.863020242915002</v>
      </c>
      <c r="D498" s="50">
        <v>0</v>
      </c>
      <c r="E498" s="50">
        <v>2.59</v>
      </c>
      <c r="F498" s="50">
        <v>3</v>
      </c>
      <c r="G498" s="50">
        <v>2.9457489878543127E-2</v>
      </c>
      <c r="H498" s="50">
        <v>0.17992780026991007</v>
      </c>
      <c r="I498" s="50">
        <v>-11.755263157894744</v>
      </c>
      <c r="J498" s="50">
        <v>0</v>
      </c>
      <c r="K498" s="50">
        <v>-6.7707152496626316E-2</v>
      </c>
    </row>
    <row r="499" spans="1:11" ht="15.75" customHeight="1" x14ac:dyDescent="0.2">
      <c r="A499" s="49">
        <v>29</v>
      </c>
      <c r="B499" s="49">
        <v>2</v>
      </c>
      <c r="C499" s="49">
        <v>24.09533738191632</v>
      </c>
      <c r="D499" s="49">
        <v>0</v>
      </c>
      <c r="E499" s="49">
        <v>4.63</v>
      </c>
      <c r="F499" s="49">
        <v>3</v>
      </c>
      <c r="G499" s="49">
        <v>0</v>
      </c>
      <c r="H499" s="49">
        <v>0.28880094466936251</v>
      </c>
      <c r="I499" s="49">
        <v>-0.30094466936572156</v>
      </c>
      <c r="J499" s="49">
        <v>0</v>
      </c>
      <c r="K499" s="49">
        <v>0.83505668016194357</v>
      </c>
    </row>
    <row r="500" spans="1:11" ht="15.75" customHeight="1" x14ac:dyDescent="0.2">
      <c r="A500" s="50">
        <v>29</v>
      </c>
      <c r="B500" s="50">
        <v>2</v>
      </c>
      <c r="C500" s="50">
        <v>28.346803643724694</v>
      </c>
      <c r="D500" s="50">
        <v>0</v>
      </c>
      <c r="E500" s="50">
        <v>1.92</v>
      </c>
      <c r="F500" s="50">
        <v>2</v>
      </c>
      <c r="G500" s="50">
        <v>0</v>
      </c>
      <c r="H500" s="50">
        <v>0.27620377867746021</v>
      </c>
      <c r="I500" s="50">
        <v>-1.3242240215924423</v>
      </c>
      <c r="J500" s="50">
        <v>0</v>
      </c>
      <c r="K500" s="50">
        <v>0.2886086369770578</v>
      </c>
    </row>
    <row r="501" spans="1:11" ht="15.75" customHeight="1" x14ac:dyDescent="0.2">
      <c r="A501" s="51">
        <v>29</v>
      </c>
      <c r="B501" s="51">
        <v>2</v>
      </c>
      <c r="C501" s="51">
        <v>18.786386639676117</v>
      </c>
      <c r="D501" s="51">
        <v>1</v>
      </c>
      <c r="E501" s="51">
        <v>3.32</v>
      </c>
      <c r="F501" s="51">
        <v>2</v>
      </c>
      <c r="G501" s="51">
        <v>1.1611336032388613E-2</v>
      </c>
      <c r="H501" s="51">
        <v>7.8933873144400053E-3</v>
      </c>
      <c r="I501" s="51">
        <v>-13.084817813765447</v>
      </c>
      <c r="J501" s="51">
        <v>16.053967611336052</v>
      </c>
      <c r="K501" s="51">
        <v>0.37077327935222715</v>
      </c>
    </row>
    <row r="502" spans="1:11" ht="15.75" customHeight="1" x14ac:dyDescent="0.2">
      <c r="A502" s="48">
        <v>29</v>
      </c>
      <c r="B502" s="48">
        <v>3</v>
      </c>
      <c r="C502" s="48">
        <v>10.448666666666668</v>
      </c>
      <c r="D502" s="48">
        <v>0</v>
      </c>
      <c r="E502" s="48">
        <v>5.21</v>
      </c>
      <c r="F502" s="48">
        <v>4</v>
      </c>
      <c r="G502" s="48">
        <v>0</v>
      </c>
      <c r="H502" s="48">
        <v>0.16570000000000001</v>
      </c>
      <c r="I502" s="48">
        <v>1.4933333333333347</v>
      </c>
      <c r="J502" s="48">
        <v>57.873866666666665</v>
      </c>
      <c r="K502" s="48">
        <v>0.31146666666666667</v>
      </c>
    </row>
    <row r="503" spans="1:11" ht="15.75" customHeight="1" x14ac:dyDescent="0.2">
      <c r="A503" s="49">
        <v>29</v>
      </c>
      <c r="B503" s="49">
        <v>3</v>
      </c>
      <c r="C503" s="49">
        <v>14.475266666666668</v>
      </c>
      <c r="D503" s="49">
        <v>0</v>
      </c>
      <c r="E503" s="49">
        <v>2.63</v>
      </c>
      <c r="F503" s="49">
        <v>4</v>
      </c>
      <c r="G503" s="49">
        <v>7.5800000000000006E-2</v>
      </c>
      <c r="H503" s="49">
        <v>9.636666666666667E-2</v>
      </c>
      <c r="I503" s="49">
        <v>-0.55999999999999994</v>
      </c>
      <c r="J503" s="49">
        <v>85.797733333333341</v>
      </c>
      <c r="K503" s="49">
        <v>0.79216666666666669</v>
      </c>
    </row>
    <row r="504" spans="1:11" ht="15.75" customHeight="1" x14ac:dyDescent="0.2">
      <c r="A504" s="50">
        <v>29</v>
      </c>
      <c r="B504" s="50">
        <v>3</v>
      </c>
      <c r="C504" s="50">
        <v>10.897233333333332</v>
      </c>
      <c r="D504" s="50">
        <v>0</v>
      </c>
      <c r="E504" s="50">
        <v>5.7</v>
      </c>
      <c r="F504" s="50">
        <v>3</v>
      </c>
      <c r="G504" s="50">
        <v>3.5133333333333336E-2</v>
      </c>
      <c r="H504" s="50">
        <v>0.15919999999999995</v>
      </c>
      <c r="I504" s="50">
        <v>-20.57</v>
      </c>
      <c r="J504" s="50">
        <v>7.3877666666666659</v>
      </c>
      <c r="K504" s="50">
        <v>-0.17180000000000004</v>
      </c>
    </row>
    <row r="505" spans="1:11" ht="15.75" customHeight="1" x14ac:dyDescent="0.2">
      <c r="A505" s="49">
        <v>29</v>
      </c>
      <c r="B505" s="49">
        <v>3</v>
      </c>
      <c r="C505" s="49">
        <v>11.875933333333334</v>
      </c>
      <c r="D505" s="49">
        <v>0</v>
      </c>
      <c r="E505" s="49">
        <v>4.6900000000000004</v>
      </c>
      <c r="F505" s="49">
        <v>3</v>
      </c>
      <c r="G505" s="49">
        <v>5.3599999999999995E-2</v>
      </c>
      <c r="H505" s="49">
        <v>0.16323333333333334</v>
      </c>
      <c r="I505" s="49">
        <v>-3.7</v>
      </c>
      <c r="J505" s="49">
        <v>40.855333333333334</v>
      </c>
      <c r="K505" s="49">
        <v>-0.23483333333333337</v>
      </c>
    </row>
    <row r="506" spans="1:11" ht="15.75" customHeight="1" x14ac:dyDescent="0.2">
      <c r="A506" s="50">
        <v>29</v>
      </c>
      <c r="B506" s="50">
        <v>3</v>
      </c>
      <c r="C506" s="50">
        <v>13.286733333333332</v>
      </c>
      <c r="D506" s="50">
        <v>0</v>
      </c>
      <c r="E506" s="50">
        <v>1.39</v>
      </c>
      <c r="F506" s="50">
        <v>2</v>
      </c>
      <c r="G506" s="50">
        <v>3.2566666666666667E-2</v>
      </c>
      <c r="H506" s="50">
        <v>0.13876666666666665</v>
      </c>
      <c r="I506" s="50">
        <v>-8.5333333333333332</v>
      </c>
      <c r="J506" s="50">
        <v>45.450799999999994</v>
      </c>
      <c r="K506" s="50">
        <v>0.17766666666666669</v>
      </c>
    </row>
    <row r="507" spans="1:11" ht="15.75" customHeight="1" x14ac:dyDescent="0.2">
      <c r="A507" s="51">
        <v>29</v>
      </c>
      <c r="B507" s="51">
        <v>3</v>
      </c>
      <c r="C507" s="51">
        <v>13.502699999999999</v>
      </c>
      <c r="D507" s="51">
        <v>0</v>
      </c>
      <c r="E507" s="51">
        <v>6.19</v>
      </c>
      <c r="F507" s="51">
        <v>2</v>
      </c>
      <c r="G507" s="51">
        <v>2.5366666666666662E-2</v>
      </c>
      <c r="H507" s="51">
        <v>0.10476666666666663</v>
      </c>
      <c r="I507" s="51">
        <v>-0.1866666666666667</v>
      </c>
      <c r="J507" s="51">
        <v>56.782333333333327</v>
      </c>
      <c r="K507" s="51">
        <v>-2.0700000000000007E-2</v>
      </c>
    </row>
    <row r="508" spans="1:11" ht="15.75" customHeight="1" x14ac:dyDescent="0.2">
      <c r="A508" s="48">
        <v>30</v>
      </c>
      <c r="B508" s="48">
        <v>1</v>
      </c>
      <c r="C508" s="48">
        <v>14.604843750000002</v>
      </c>
      <c r="D508" s="48">
        <v>1</v>
      </c>
      <c r="E508" s="48">
        <v>12.22</v>
      </c>
      <c r="F508" s="48">
        <v>4</v>
      </c>
      <c r="G508" s="48">
        <v>0</v>
      </c>
      <c r="H508" s="48">
        <v>0.19534374999999995</v>
      </c>
      <c r="I508" s="48">
        <v>0.47812500000000013</v>
      </c>
      <c r="J508" s="48">
        <v>44.593062500000009</v>
      </c>
      <c r="K508" s="48">
        <v>-2.2531249999999999E-2</v>
      </c>
    </row>
    <row r="509" spans="1:11" ht="15.75" customHeight="1" x14ac:dyDescent="0.2">
      <c r="A509" s="49">
        <v>30</v>
      </c>
      <c r="B509" s="49">
        <v>1</v>
      </c>
      <c r="C509" s="49">
        <v>15.374437499999999</v>
      </c>
      <c r="D509" s="49">
        <v>0</v>
      </c>
      <c r="E509" s="49">
        <v>9.86</v>
      </c>
      <c r="F509" s="49">
        <v>4</v>
      </c>
      <c r="G509" s="49">
        <v>9.5937499999999998E-3</v>
      </c>
      <c r="H509" s="49">
        <v>4.9531249999999999E-2</v>
      </c>
      <c r="I509" s="49">
        <v>-0.23749999999999993</v>
      </c>
      <c r="J509" s="49">
        <v>77.055218750000023</v>
      </c>
      <c r="K509" s="49">
        <v>-0.27387499999999998</v>
      </c>
    </row>
    <row r="510" spans="1:11" ht="15.75" customHeight="1" x14ac:dyDescent="0.2">
      <c r="A510" s="50">
        <v>30</v>
      </c>
      <c r="B510" s="50">
        <v>1</v>
      </c>
      <c r="C510" s="50">
        <v>15.951187500000001</v>
      </c>
      <c r="D510" s="50">
        <v>0</v>
      </c>
      <c r="E510" s="50">
        <v>4.16</v>
      </c>
      <c r="F510" s="50">
        <v>3</v>
      </c>
      <c r="G510" s="50">
        <v>3.6656250000000001E-2</v>
      </c>
      <c r="H510" s="50">
        <v>0.21246875000000001</v>
      </c>
      <c r="I510" s="50">
        <v>-17.274999999999999</v>
      </c>
      <c r="J510" s="50">
        <v>56.591625000000001</v>
      </c>
      <c r="K510" s="50">
        <v>0.27799999999999997</v>
      </c>
    </row>
    <row r="511" spans="1:11" ht="15.75" customHeight="1" x14ac:dyDescent="0.2">
      <c r="A511" s="49">
        <v>30</v>
      </c>
      <c r="B511" s="49">
        <v>1</v>
      </c>
      <c r="C511" s="49">
        <v>21.493781250000001</v>
      </c>
      <c r="D511" s="49">
        <v>0</v>
      </c>
      <c r="E511" s="49">
        <v>6.26</v>
      </c>
      <c r="F511" s="49">
        <v>3</v>
      </c>
      <c r="G511" s="49">
        <v>0</v>
      </c>
      <c r="H511" s="49">
        <v>0.26965625000000004</v>
      </c>
      <c r="I511" s="49">
        <v>-10.565624999999999</v>
      </c>
      <c r="J511" s="49">
        <v>29.551218750000004</v>
      </c>
      <c r="K511" s="49">
        <v>-5.809375E-2</v>
      </c>
    </row>
    <row r="512" spans="1:11" ht="15.75" customHeight="1" x14ac:dyDescent="0.2">
      <c r="A512" s="50">
        <v>30</v>
      </c>
      <c r="B512" s="50">
        <v>1</v>
      </c>
      <c r="C512" s="50">
        <v>13.96725</v>
      </c>
      <c r="D512" s="50">
        <v>0</v>
      </c>
      <c r="E512" s="50">
        <v>3.3</v>
      </c>
      <c r="F512" s="50">
        <v>2</v>
      </c>
      <c r="G512" s="50">
        <v>1.4843749999999999E-2</v>
      </c>
      <c r="H512" s="50">
        <v>4.8968750000000005E-2</v>
      </c>
      <c r="I512" s="50">
        <v>-0.14062500000000011</v>
      </c>
      <c r="J512" s="50">
        <v>34.062218749999992</v>
      </c>
      <c r="K512" s="50">
        <v>-0.30671874999999998</v>
      </c>
    </row>
    <row r="513" spans="1:11" ht="15.75" customHeight="1" x14ac:dyDescent="0.2">
      <c r="A513" s="51">
        <v>30</v>
      </c>
      <c r="B513" s="51">
        <v>1</v>
      </c>
      <c r="C513" s="51">
        <v>11.487406250000003</v>
      </c>
      <c r="D513" s="51">
        <v>0</v>
      </c>
      <c r="E513" s="51">
        <v>5.15</v>
      </c>
      <c r="F513" s="51">
        <v>2</v>
      </c>
      <c r="G513" s="51">
        <v>1.8218749999999999E-2</v>
      </c>
      <c r="H513" s="51">
        <v>0.17106250000000003</v>
      </c>
      <c r="I513" s="51">
        <v>-21.634374999999995</v>
      </c>
      <c r="J513" s="51">
        <v>2.99265625</v>
      </c>
      <c r="K513" s="51">
        <v>0.12181249999999999</v>
      </c>
    </row>
    <row r="514" spans="1:11" ht="15.75" customHeight="1" x14ac:dyDescent="0.2">
      <c r="A514" s="48">
        <v>30</v>
      </c>
      <c r="B514" s="48">
        <v>2</v>
      </c>
      <c r="C514" s="48">
        <v>18.759792757660172</v>
      </c>
      <c r="D514" s="48">
        <v>0</v>
      </c>
      <c r="E514" s="48">
        <v>9.15</v>
      </c>
      <c r="F514" s="48">
        <v>4</v>
      </c>
      <c r="G514" s="48">
        <v>0</v>
      </c>
      <c r="H514" s="48">
        <v>0.39893426183844027</v>
      </c>
      <c r="I514" s="48">
        <v>0.42551532033426109</v>
      </c>
      <c r="J514" s="48">
        <v>19.125201671309206</v>
      </c>
      <c r="K514" s="48">
        <v>0.89955431754874282</v>
      </c>
    </row>
    <row r="515" spans="1:11" ht="15.75" customHeight="1" x14ac:dyDescent="0.2">
      <c r="A515" s="49">
        <v>30</v>
      </c>
      <c r="B515" s="49">
        <v>2</v>
      </c>
      <c r="C515" s="49">
        <v>31.794651253481902</v>
      </c>
      <c r="D515" s="49">
        <v>0</v>
      </c>
      <c r="E515" s="49">
        <v>18.22</v>
      </c>
      <c r="F515" s="49">
        <v>4</v>
      </c>
      <c r="G515" s="49">
        <v>0</v>
      </c>
      <c r="H515" s="49">
        <v>0.29761337047353514</v>
      </c>
      <c r="I515" s="49">
        <v>-7.6361559888579409</v>
      </c>
      <c r="J515" s="49">
        <v>0</v>
      </c>
      <c r="K515" s="49">
        <v>8.8638440111420733E-2</v>
      </c>
    </row>
    <row r="516" spans="1:11" ht="15.75" customHeight="1" x14ac:dyDescent="0.2">
      <c r="A516" s="50">
        <v>30</v>
      </c>
      <c r="B516" s="50">
        <v>2</v>
      </c>
      <c r="C516" s="50">
        <v>27.998319220055709</v>
      </c>
      <c r="D516" s="50">
        <v>0</v>
      </c>
      <c r="E516" s="50">
        <v>8.93</v>
      </c>
      <c r="F516" s="50">
        <v>3</v>
      </c>
      <c r="G516" s="50">
        <v>0</v>
      </c>
      <c r="H516" s="50">
        <v>0.29422005571030363</v>
      </c>
      <c r="I516" s="50">
        <v>-3.0522562674094731</v>
      </c>
      <c r="J516" s="50">
        <v>0</v>
      </c>
      <c r="K516" s="50">
        <v>-0.11966350974930362</v>
      </c>
    </row>
    <row r="517" spans="1:11" ht="15.75" customHeight="1" x14ac:dyDescent="0.2">
      <c r="A517" s="49">
        <v>30</v>
      </c>
      <c r="B517" s="49">
        <v>2</v>
      </c>
      <c r="C517" s="49">
        <v>30.272244568245149</v>
      </c>
      <c r="D517" s="49">
        <v>0</v>
      </c>
      <c r="E517" s="49">
        <v>3.39</v>
      </c>
      <c r="F517" s="49">
        <v>3</v>
      </c>
      <c r="G517" s="49">
        <v>0</v>
      </c>
      <c r="H517" s="49">
        <v>0.27003565459610068</v>
      </c>
      <c r="I517" s="49">
        <v>-8.7591643454038923</v>
      </c>
      <c r="J517" s="49">
        <v>31.117738161559895</v>
      </c>
      <c r="K517" s="49">
        <v>-9.186629526462381E-2</v>
      </c>
    </row>
    <row r="518" spans="1:11" ht="15.75" customHeight="1" x14ac:dyDescent="0.2">
      <c r="A518" s="50">
        <v>30</v>
      </c>
      <c r="B518" s="50">
        <v>2</v>
      </c>
      <c r="C518" s="50">
        <v>28.694508077994438</v>
      </c>
      <c r="D518" s="50">
        <v>1</v>
      </c>
      <c r="E518" s="50">
        <v>10.42</v>
      </c>
      <c r="F518" s="50">
        <v>2</v>
      </c>
      <c r="G518" s="50">
        <v>0</v>
      </c>
      <c r="H518" s="50">
        <v>0.35489192200557201</v>
      </c>
      <c r="I518" s="50">
        <v>-2.2565459610028</v>
      </c>
      <c r="J518" s="50">
        <v>91.485761002785409</v>
      </c>
      <c r="K518" s="50">
        <v>-0.14537381615598868</v>
      </c>
    </row>
    <row r="519" spans="1:11" ht="15.75" customHeight="1" x14ac:dyDescent="0.2">
      <c r="A519" s="51">
        <v>30</v>
      </c>
      <c r="B519" s="51">
        <v>2</v>
      </c>
      <c r="C519" s="51">
        <v>31.686163231197813</v>
      </c>
      <c r="D519" s="51">
        <v>0</v>
      </c>
      <c r="E519" s="51">
        <v>2.82</v>
      </c>
      <c r="F519" s="51">
        <v>2</v>
      </c>
      <c r="G519" s="51">
        <v>0</v>
      </c>
      <c r="H519" s="51">
        <v>0.30088690807799301</v>
      </c>
      <c r="I519" s="51">
        <v>-11.336155988857938</v>
      </c>
      <c r="J519" s="51">
        <v>6.7141821727019568</v>
      </c>
      <c r="K519" s="51">
        <v>-0.3034846796657385</v>
      </c>
    </row>
    <row r="520" spans="1:11" ht="15.75" customHeight="1" x14ac:dyDescent="0.2">
      <c r="A520" s="48">
        <v>30</v>
      </c>
      <c r="B520" s="48">
        <v>3</v>
      </c>
      <c r="C520" s="48">
        <v>15.219900000000001</v>
      </c>
      <c r="D520" s="48">
        <v>0</v>
      </c>
      <c r="E520" s="48">
        <v>5.32</v>
      </c>
      <c r="F520" s="48">
        <v>4</v>
      </c>
      <c r="G520" s="48">
        <v>0</v>
      </c>
      <c r="H520" s="48">
        <v>0.20630000000000001</v>
      </c>
      <c r="I520" s="48">
        <v>0.26999999999999996</v>
      </c>
      <c r="J520" s="48">
        <v>0</v>
      </c>
      <c r="K520" s="48">
        <v>-4.0166666666666656E-2</v>
      </c>
    </row>
    <row r="521" spans="1:11" ht="15.75" customHeight="1" x14ac:dyDescent="0.2">
      <c r="A521" s="49">
        <v>30</v>
      </c>
      <c r="B521" s="49">
        <v>3</v>
      </c>
      <c r="C521" s="49">
        <v>11.565433333333335</v>
      </c>
      <c r="D521" s="49">
        <v>0</v>
      </c>
      <c r="E521" s="49">
        <v>15</v>
      </c>
      <c r="F521" s="49">
        <v>4</v>
      </c>
      <c r="G521" s="49">
        <v>5.9600000000000007E-2</v>
      </c>
      <c r="H521" s="49">
        <v>0.10806666666666667</v>
      </c>
      <c r="I521" s="49">
        <v>-16.859999999999996</v>
      </c>
      <c r="J521" s="49">
        <v>13.862</v>
      </c>
      <c r="K521" s="49">
        <v>6.9233333333333355E-2</v>
      </c>
    </row>
    <row r="522" spans="1:11" ht="15.75" customHeight="1" x14ac:dyDescent="0.2">
      <c r="A522" s="50">
        <v>30</v>
      </c>
      <c r="B522" s="50">
        <v>3</v>
      </c>
      <c r="C522" s="50">
        <v>15.960599999999999</v>
      </c>
      <c r="D522" s="50">
        <v>0</v>
      </c>
      <c r="E522" s="50">
        <v>4.5999999999999996</v>
      </c>
      <c r="F522" s="50">
        <v>3</v>
      </c>
      <c r="G522" s="50">
        <v>3.44E-2</v>
      </c>
      <c r="H522" s="50">
        <v>0.15433333333333332</v>
      </c>
      <c r="I522" s="50">
        <v>0.43666666666666665</v>
      </c>
      <c r="J522" s="50">
        <v>46.734566666666666</v>
      </c>
      <c r="K522" s="50">
        <v>0.13373333333333332</v>
      </c>
    </row>
    <row r="523" spans="1:11" ht="15.75" customHeight="1" x14ac:dyDescent="0.2">
      <c r="A523" s="49">
        <v>30</v>
      </c>
      <c r="B523" s="49">
        <v>3</v>
      </c>
      <c r="C523" s="49">
        <v>16.790833333333332</v>
      </c>
      <c r="D523" s="49">
        <v>0</v>
      </c>
      <c r="E523" s="49">
        <v>5.86</v>
      </c>
      <c r="F523" s="49">
        <v>3</v>
      </c>
      <c r="G523" s="49">
        <v>3.153333333333333E-2</v>
      </c>
      <c r="H523" s="49">
        <v>0.20963333333333337</v>
      </c>
      <c r="I523" s="49">
        <v>-11.813333333333331</v>
      </c>
      <c r="J523" s="49">
        <v>31.475233333333335</v>
      </c>
      <c r="K523" s="49">
        <v>-0.15206666666666666</v>
      </c>
    </row>
    <row r="524" spans="1:11" ht="15.75" customHeight="1" x14ac:dyDescent="0.2">
      <c r="A524" s="50">
        <v>30</v>
      </c>
      <c r="B524" s="50">
        <v>3</v>
      </c>
      <c r="C524" s="50">
        <v>15.057766666666669</v>
      </c>
      <c r="D524" s="50">
        <v>0</v>
      </c>
      <c r="E524" s="50">
        <v>2.46</v>
      </c>
      <c r="F524" s="50">
        <v>2</v>
      </c>
      <c r="G524" s="50">
        <v>3.8566666666666659E-2</v>
      </c>
      <c r="H524" s="50">
        <v>0.17200000000000004</v>
      </c>
      <c r="I524" s="50">
        <v>-2.666666666666672E-2</v>
      </c>
      <c r="J524" s="50">
        <v>51.67730000000001</v>
      </c>
      <c r="K524" s="50">
        <v>-0.3473666666666666</v>
      </c>
    </row>
    <row r="525" spans="1:11" ht="15.75" customHeight="1" x14ac:dyDescent="0.2">
      <c r="A525" s="51">
        <v>30</v>
      </c>
      <c r="B525" s="51">
        <v>3</v>
      </c>
      <c r="C525" s="51">
        <v>10.026399999999997</v>
      </c>
      <c r="D525" s="51">
        <v>0</v>
      </c>
      <c r="E525" s="51">
        <v>2.7</v>
      </c>
      <c r="F525" s="51">
        <v>2</v>
      </c>
      <c r="G525" s="51">
        <v>1.1333333333333332E-2</v>
      </c>
      <c r="H525" s="51">
        <v>0.17333333333333331</v>
      </c>
      <c r="I525" s="51">
        <v>-16.943333333333335</v>
      </c>
      <c r="J525" s="51">
        <v>43.859966666666665</v>
      </c>
      <c r="K525" s="51">
        <v>3.9766666666666721E-2</v>
      </c>
    </row>
  </sheetData>
  <autoFilter ref="A1:K150">
    <sortState ref="A2:L525">
      <sortCondition ref="A1:A150"/>
    </sortState>
  </autoFilter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041"/>
  <sheetViews>
    <sheetView topLeftCell="B134" workbookViewId="0">
      <selection activeCell="E134" sqref="E134"/>
    </sheetView>
  </sheetViews>
  <sheetFormatPr defaultColWidth="14.42578125" defaultRowHeight="12.75" x14ac:dyDescent="0.2"/>
  <cols>
    <col min="1" max="1" width="8.5703125" customWidth="1"/>
    <col min="2" max="2" width="8.28515625" customWidth="1"/>
    <col min="3" max="3" width="6.7109375" customWidth="1"/>
    <col min="4" max="4" width="17.28515625" customWidth="1"/>
    <col min="5" max="5" width="8.85546875" customWidth="1"/>
    <col min="6" max="6" width="6.7109375" customWidth="1"/>
    <col min="7" max="7" width="17.28515625" customWidth="1"/>
    <col min="8" max="8" width="8.85546875" customWidth="1"/>
    <col min="9" max="9" width="6.7109375" customWidth="1"/>
    <col min="10" max="10" width="17.28515625" customWidth="1"/>
    <col min="11" max="11" width="8.85546875" customWidth="1"/>
    <col min="12" max="12" width="6.7109375" customWidth="1"/>
    <col min="13" max="13" width="17.28515625" customWidth="1"/>
    <col min="14" max="14" width="8.85546875" customWidth="1"/>
    <col min="15" max="15" width="6.7109375" customWidth="1"/>
    <col min="16" max="16" width="17.28515625" customWidth="1"/>
    <col min="17" max="17" width="8.85546875" customWidth="1"/>
    <col min="18" max="18" width="6.7109375" customWidth="1"/>
    <col min="19" max="19" width="17.28515625" customWidth="1"/>
    <col min="20" max="20" width="8.85546875" customWidth="1"/>
    <col min="21" max="21" width="9.42578125" customWidth="1"/>
    <col min="22" max="22" width="6.42578125" customWidth="1"/>
  </cols>
  <sheetData>
    <row r="1" spans="1:32" ht="33.75" customHeight="1" x14ac:dyDescent="0.2">
      <c r="A1" s="1">
        <v>9.2899999999999991</v>
      </c>
      <c r="B1" s="2"/>
      <c r="C1" s="72" t="s">
        <v>28</v>
      </c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x14ac:dyDescent="0.2">
      <c r="A2" s="4"/>
      <c r="B2" s="5"/>
      <c r="C2" s="5"/>
      <c r="D2" s="6" t="s">
        <v>29</v>
      </c>
      <c r="E2" s="7"/>
      <c r="F2" s="5"/>
      <c r="G2" s="5"/>
      <c r="H2" s="7"/>
      <c r="I2" s="5"/>
      <c r="J2" s="5"/>
      <c r="K2" s="7"/>
      <c r="L2" s="5"/>
      <c r="M2" s="5"/>
      <c r="N2" s="7"/>
      <c r="O2" s="5"/>
      <c r="P2" s="5"/>
      <c r="Q2" s="7"/>
      <c r="R2" s="8"/>
      <c r="S2" s="9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</row>
    <row r="3" spans="1:32" x14ac:dyDescent="0.2">
      <c r="A3" s="10" t="s">
        <v>30</v>
      </c>
      <c r="B3" s="11"/>
      <c r="C3" s="12" t="s">
        <v>31</v>
      </c>
      <c r="D3" s="12" t="s">
        <v>32</v>
      </c>
      <c r="E3" s="12" t="s">
        <v>33</v>
      </c>
      <c r="F3" s="12" t="s">
        <v>31</v>
      </c>
      <c r="G3" s="12" t="s">
        <v>32</v>
      </c>
      <c r="H3" s="12" t="s">
        <v>33</v>
      </c>
      <c r="I3" s="12" t="s">
        <v>31</v>
      </c>
      <c r="J3" s="12" t="s">
        <v>34</v>
      </c>
      <c r="K3" s="12" t="s">
        <v>33</v>
      </c>
      <c r="L3" s="12" t="s">
        <v>31</v>
      </c>
      <c r="M3" s="12" t="s">
        <v>34</v>
      </c>
      <c r="N3" s="12" t="s">
        <v>33</v>
      </c>
      <c r="O3" s="12" t="s">
        <v>31</v>
      </c>
      <c r="P3" s="12" t="s">
        <v>35</v>
      </c>
      <c r="Q3" s="12" t="s">
        <v>33</v>
      </c>
      <c r="R3" s="12" t="s">
        <v>31</v>
      </c>
      <c r="S3" s="12" t="s">
        <v>35</v>
      </c>
      <c r="T3" s="12" t="s">
        <v>33</v>
      </c>
      <c r="U3" s="13" t="s">
        <v>36</v>
      </c>
      <c r="V3" s="14">
        <f>SUM(E4:E6,H4:H6,K4:K6,N4:N6,Q4:Q6,T4:T6)</f>
        <v>0</v>
      </c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4"/>
      <c r="B4" s="16" t="s">
        <v>37</v>
      </c>
      <c r="C4" s="17"/>
      <c r="D4" s="17"/>
      <c r="E4" s="18">
        <v>0</v>
      </c>
      <c r="F4" s="17"/>
      <c r="G4" s="17"/>
      <c r="H4" s="18">
        <v>0</v>
      </c>
      <c r="I4" s="17"/>
      <c r="J4" s="17"/>
      <c r="K4" s="18">
        <v>0</v>
      </c>
      <c r="L4" s="17"/>
      <c r="M4" s="17"/>
      <c r="N4" s="18">
        <v>0</v>
      </c>
      <c r="O4" s="17"/>
      <c r="P4" s="17"/>
      <c r="Q4" s="18">
        <v>0</v>
      </c>
      <c r="R4" s="17"/>
      <c r="S4" s="17"/>
      <c r="T4" s="18">
        <v>0</v>
      </c>
      <c r="U4" s="13" t="s">
        <v>38</v>
      </c>
      <c r="V4" s="14" t="e">
        <f>AVERAGE(C4:C6,F4:F6)</f>
        <v>#DIV/0!</v>
      </c>
    </row>
    <row r="5" spans="1:32" x14ac:dyDescent="0.2">
      <c r="A5" s="4"/>
      <c r="B5" s="19" t="s">
        <v>39</v>
      </c>
      <c r="C5" s="17"/>
      <c r="D5" s="17"/>
      <c r="E5" s="18">
        <v>0</v>
      </c>
      <c r="F5" s="17"/>
      <c r="G5" s="17"/>
      <c r="H5" s="18">
        <v>0</v>
      </c>
      <c r="I5" s="17"/>
      <c r="J5" s="17"/>
      <c r="K5" s="18">
        <v>0</v>
      </c>
      <c r="L5" s="17"/>
      <c r="M5" s="17"/>
      <c r="N5" s="18">
        <v>0</v>
      </c>
      <c r="O5" s="17"/>
      <c r="P5" s="17"/>
      <c r="Q5" s="18">
        <v>0</v>
      </c>
      <c r="R5" s="17"/>
      <c r="S5" s="17"/>
      <c r="T5" s="18">
        <v>0</v>
      </c>
      <c r="U5" s="13" t="s">
        <v>40</v>
      </c>
      <c r="V5" s="14" t="e">
        <f>AVERAGE(L4:L6, I4:I6)</f>
        <v>#DIV/0!</v>
      </c>
    </row>
    <row r="6" spans="1:32" x14ac:dyDescent="0.2">
      <c r="A6" s="4"/>
      <c r="B6" s="20" t="s">
        <v>41</v>
      </c>
      <c r="C6" s="21"/>
      <c r="D6" s="21"/>
      <c r="E6" s="22">
        <v>0</v>
      </c>
      <c r="F6" s="21"/>
      <c r="G6" s="21"/>
      <c r="H6" s="22">
        <v>0</v>
      </c>
      <c r="I6" s="21"/>
      <c r="J6" s="21"/>
      <c r="K6" s="22">
        <v>0</v>
      </c>
      <c r="L6" s="21"/>
      <c r="M6" s="21"/>
      <c r="N6" s="22">
        <v>0</v>
      </c>
      <c r="O6" s="21"/>
      <c r="P6" s="21"/>
      <c r="Q6" s="22">
        <v>0</v>
      </c>
      <c r="R6" s="21"/>
      <c r="S6" s="21"/>
      <c r="T6" s="22">
        <v>0</v>
      </c>
      <c r="U6" s="13" t="s">
        <v>42</v>
      </c>
      <c r="V6" s="14" t="e">
        <f>AVERAGE(R4:R6, O4:O6)</f>
        <v>#DIV/0!</v>
      </c>
    </row>
    <row r="7" spans="1:32" x14ac:dyDescent="0.2">
      <c r="A7" s="4"/>
      <c r="B7" s="5"/>
      <c r="C7" s="5"/>
      <c r="D7" s="5"/>
      <c r="E7" s="7"/>
      <c r="F7" s="5"/>
      <c r="G7" s="5"/>
      <c r="H7" s="7"/>
      <c r="I7" s="5"/>
      <c r="J7" s="5"/>
      <c r="K7" s="7"/>
      <c r="L7" s="5"/>
      <c r="M7" s="5"/>
      <c r="N7" s="7"/>
      <c r="O7" s="5"/>
      <c r="P7" s="5"/>
      <c r="Q7" s="7"/>
      <c r="T7" s="8"/>
      <c r="U7" s="8"/>
      <c r="V7" s="9"/>
      <c r="W7" s="8"/>
      <c r="X7" s="8"/>
      <c r="Y7" s="8"/>
      <c r="Z7" s="8"/>
      <c r="AA7" s="8"/>
      <c r="AB7" s="8"/>
      <c r="AC7" s="8"/>
      <c r="AD7" s="8"/>
      <c r="AE7" s="8"/>
      <c r="AF7" s="8"/>
    </row>
    <row r="8" spans="1:32" x14ac:dyDescent="0.2">
      <c r="A8" s="4"/>
      <c r="B8" s="23"/>
      <c r="C8" s="23"/>
      <c r="D8" s="6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13"/>
      <c r="S8" s="13"/>
      <c r="T8" s="23"/>
      <c r="U8" s="23"/>
      <c r="V8" s="24"/>
      <c r="W8" s="8"/>
      <c r="X8" s="8"/>
      <c r="Y8" s="8"/>
      <c r="Z8" s="8"/>
      <c r="AA8" s="8"/>
      <c r="AB8" s="8"/>
      <c r="AC8" s="8"/>
      <c r="AD8" s="8"/>
      <c r="AE8" s="8"/>
      <c r="AF8" s="8"/>
    </row>
    <row r="9" spans="1:32" x14ac:dyDescent="0.2">
      <c r="A9" s="4"/>
      <c r="B9" s="23"/>
      <c r="C9" s="25"/>
      <c r="D9" s="26" t="s">
        <v>21</v>
      </c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7"/>
      <c r="S9" s="27"/>
      <c r="T9" s="25"/>
      <c r="U9" s="23"/>
      <c r="V9" s="24"/>
      <c r="W9" s="8"/>
      <c r="X9" s="8"/>
      <c r="Y9" s="8"/>
      <c r="Z9" s="8"/>
      <c r="AA9" s="8"/>
      <c r="AB9" s="8"/>
      <c r="AC9" s="8"/>
      <c r="AD9" s="8"/>
      <c r="AE9" s="8"/>
      <c r="AF9" s="8"/>
    </row>
    <row r="10" spans="1:32" x14ac:dyDescent="0.2">
      <c r="A10" s="4"/>
      <c r="B10" s="28"/>
      <c r="C10" s="29" t="s">
        <v>31</v>
      </c>
      <c r="D10" s="29" t="s">
        <v>32</v>
      </c>
      <c r="E10" s="29" t="s">
        <v>33</v>
      </c>
      <c r="F10" s="29" t="s">
        <v>31</v>
      </c>
      <c r="G10" s="29" t="s">
        <v>32</v>
      </c>
      <c r="H10" s="29" t="s">
        <v>33</v>
      </c>
      <c r="I10" s="29" t="s">
        <v>31</v>
      </c>
      <c r="J10" s="29" t="s">
        <v>34</v>
      </c>
      <c r="K10" s="29" t="s">
        <v>33</v>
      </c>
      <c r="L10" s="29" t="s">
        <v>31</v>
      </c>
      <c r="M10" s="29" t="s">
        <v>34</v>
      </c>
      <c r="N10" s="29" t="s">
        <v>33</v>
      </c>
      <c r="O10" s="29" t="s">
        <v>31</v>
      </c>
      <c r="P10" s="29" t="s">
        <v>35</v>
      </c>
      <c r="Q10" s="29" t="s">
        <v>33</v>
      </c>
      <c r="R10" s="29" t="s">
        <v>31</v>
      </c>
      <c r="S10" s="29" t="s">
        <v>35</v>
      </c>
      <c r="T10" s="29" t="s">
        <v>33</v>
      </c>
      <c r="U10" s="13" t="s">
        <v>36</v>
      </c>
      <c r="V10" s="14">
        <f>SUM(E11:E13,H11:H13,K11:K13,N11:N13,Q11:Q13,T11:T13)</f>
        <v>2</v>
      </c>
      <c r="W10" s="8"/>
      <c r="X10" s="8"/>
      <c r="Y10" s="8"/>
      <c r="Z10" s="8"/>
      <c r="AA10" s="8"/>
      <c r="AB10" s="8"/>
      <c r="AC10" s="8"/>
      <c r="AD10" s="8"/>
      <c r="AE10" s="8"/>
      <c r="AF10" s="8"/>
    </row>
    <row r="11" spans="1:32" x14ac:dyDescent="0.2">
      <c r="A11" s="4"/>
      <c r="B11" s="19" t="s">
        <v>37</v>
      </c>
      <c r="C11" s="30">
        <v>9.2899999999999991</v>
      </c>
      <c r="D11" s="30"/>
      <c r="E11" s="31">
        <v>0</v>
      </c>
      <c r="F11" s="30">
        <v>8.6300000000000008</v>
      </c>
      <c r="G11" s="30"/>
      <c r="H11" s="31">
        <v>0</v>
      </c>
      <c r="I11" s="30">
        <v>8.98</v>
      </c>
      <c r="J11" s="30"/>
      <c r="K11" s="31">
        <v>1</v>
      </c>
      <c r="L11" s="30">
        <v>3.74</v>
      </c>
      <c r="M11" s="30"/>
      <c r="N11" s="31">
        <v>0</v>
      </c>
      <c r="O11" s="30">
        <v>2.29</v>
      </c>
      <c r="P11" s="30"/>
      <c r="Q11" s="31">
        <v>0</v>
      </c>
      <c r="R11" s="30">
        <v>4.29</v>
      </c>
      <c r="S11" s="30"/>
      <c r="T11" s="31">
        <v>0</v>
      </c>
      <c r="U11" s="13" t="s">
        <v>38</v>
      </c>
      <c r="V11" s="14">
        <f>AVERAGE(C11:C13,F11:F13)</f>
        <v>5.8466666666666676</v>
      </c>
      <c r="W11" s="8"/>
      <c r="X11" s="8"/>
      <c r="Y11" s="8"/>
      <c r="Z11" s="8"/>
      <c r="AA11" s="8"/>
      <c r="AB11" s="8"/>
      <c r="AC11" s="8"/>
      <c r="AD11" s="8"/>
      <c r="AE11" s="8"/>
      <c r="AF11" s="8"/>
    </row>
    <row r="12" spans="1:32" x14ac:dyDescent="0.2">
      <c r="A12" s="4"/>
      <c r="B12" s="19" t="s">
        <v>39</v>
      </c>
      <c r="C12" s="30">
        <v>4.41</v>
      </c>
      <c r="D12" s="30"/>
      <c r="E12" s="31">
        <v>0</v>
      </c>
      <c r="F12" s="30">
        <v>5.17</v>
      </c>
      <c r="G12" s="30"/>
      <c r="H12" s="31">
        <v>0</v>
      </c>
      <c r="I12" s="30">
        <v>5.4</v>
      </c>
      <c r="J12" s="30"/>
      <c r="K12" s="31">
        <v>0</v>
      </c>
      <c r="L12" s="30">
        <v>3.01</v>
      </c>
      <c r="M12" s="30"/>
      <c r="N12" s="31">
        <v>0</v>
      </c>
      <c r="O12" s="30">
        <v>1.75</v>
      </c>
      <c r="P12" s="30"/>
      <c r="Q12" s="31">
        <v>0</v>
      </c>
      <c r="R12" s="30">
        <v>9.8699999999999992</v>
      </c>
      <c r="S12" s="30"/>
      <c r="T12" s="31">
        <v>1</v>
      </c>
      <c r="U12" s="13" t="s">
        <v>40</v>
      </c>
      <c r="V12" s="14">
        <f>AVERAGE(L11:L13, I11:I13)</f>
        <v>4.668333333333333</v>
      </c>
      <c r="W12" s="8"/>
      <c r="X12" s="8"/>
      <c r="Y12" s="8"/>
      <c r="Z12" s="8"/>
      <c r="AA12" s="8"/>
      <c r="AB12" s="8"/>
      <c r="AC12" s="8"/>
      <c r="AD12" s="8"/>
      <c r="AE12" s="8"/>
      <c r="AF12" s="8"/>
    </row>
    <row r="13" spans="1:32" x14ac:dyDescent="0.2">
      <c r="A13" s="4"/>
      <c r="B13" s="20" t="s">
        <v>41</v>
      </c>
      <c r="C13" s="32">
        <v>4.16</v>
      </c>
      <c r="D13" s="32"/>
      <c r="E13" s="33">
        <v>0</v>
      </c>
      <c r="F13" s="32">
        <v>3.42</v>
      </c>
      <c r="G13" s="32"/>
      <c r="H13" s="33">
        <v>0</v>
      </c>
      <c r="I13" s="32">
        <v>2.54</v>
      </c>
      <c r="J13" s="32"/>
      <c r="K13" s="33">
        <v>0</v>
      </c>
      <c r="L13" s="32">
        <v>4.34</v>
      </c>
      <c r="M13" s="32"/>
      <c r="N13" s="33">
        <v>0</v>
      </c>
      <c r="O13" s="32">
        <v>1.57</v>
      </c>
      <c r="P13" s="32"/>
      <c r="Q13" s="33">
        <v>0</v>
      </c>
      <c r="R13" s="32">
        <v>2.6</v>
      </c>
      <c r="S13" s="32"/>
      <c r="T13" s="33">
        <v>0</v>
      </c>
      <c r="U13" s="13" t="s">
        <v>42</v>
      </c>
      <c r="V13" s="14">
        <f>AVERAGE(R11:R13, O11:O13)</f>
        <v>3.7283333333333335</v>
      </c>
      <c r="W13" s="8"/>
      <c r="X13" s="8"/>
      <c r="Y13" s="8"/>
      <c r="Z13" s="8"/>
      <c r="AA13" s="8"/>
      <c r="AB13" s="8"/>
      <c r="AC13" s="8"/>
      <c r="AD13" s="8"/>
      <c r="AE13" s="8"/>
      <c r="AF13" s="8"/>
    </row>
    <row r="14" spans="1:32" x14ac:dyDescent="0.2">
      <c r="A14" s="4"/>
      <c r="B14" s="23"/>
      <c r="C14" s="23"/>
      <c r="D14" s="6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13"/>
      <c r="S14" s="13"/>
      <c r="T14" s="23"/>
      <c r="U14" s="23"/>
      <c r="V14" s="24"/>
      <c r="W14" s="8"/>
      <c r="X14" s="8"/>
      <c r="Y14" s="8"/>
      <c r="Z14" s="8"/>
      <c r="AA14" s="8"/>
      <c r="AB14" s="8"/>
      <c r="AC14" s="8"/>
      <c r="AD14" s="8"/>
      <c r="AE14" s="8"/>
      <c r="AF14" s="8"/>
    </row>
    <row r="15" spans="1:32" x14ac:dyDescent="0.2">
      <c r="A15" s="4"/>
      <c r="B15" s="23"/>
      <c r="C15" s="25"/>
      <c r="D15" s="26" t="s">
        <v>11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7"/>
      <c r="S15" s="27"/>
      <c r="T15" s="25"/>
      <c r="U15" s="23"/>
      <c r="V15" s="24"/>
      <c r="W15" s="8"/>
      <c r="X15" s="8"/>
      <c r="Y15" s="8"/>
      <c r="Z15" s="8"/>
      <c r="AA15" s="8"/>
      <c r="AB15" s="8"/>
      <c r="AC15" s="8"/>
      <c r="AD15" s="8"/>
      <c r="AE15" s="8"/>
      <c r="AF15" s="8"/>
    </row>
    <row r="16" spans="1:32" x14ac:dyDescent="0.2">
      <c r="A16" s="4"/>
      <c r="B16" s="28"/>
      <c r="C16" s="29" t="s">
        <v>31</v>
      </c>
      <c r="D16" s="29" t="s">
        <v>32</v>
      </c>
      <c r="E16" s="29" t="s">
        <v>33</v>
      </c>
      <c r="F16" s="29" t="s">
        <v>31</v>
      </c>
      <c r="G16" s="29" t="s">
        <v>32</v>
      </c>
      <c r="H16" s="29" t="s">
        <v>33</v>
      </c>
      <c r="I16" s="29" t="s">
        <v>31</v>
      </c>
      <c r="J16" s="29" t="s">
        <v>34</v>
      </c>
      <c r="K16" s="29" t="s">
        <v>33</v>
      </c>
      <c r="L16" s="29" t="s">
        <v>31</v>
      </c>
      <c r="M16" s="29" t="s">
        <v>34</v>
      </c>
      <c r="N16" s="29" t="s">
        <v>33</v>
      </c>
      <c r="O16" s="29" t="s">
        <v>31</v>
      </c>
      <c r="P16" s="29" t="s">
        <v>35</v>
      </c>
      <c r="Q16" s="29" t="s">
        <v>33</v>
      </c>
      <c r="R16" s="29" t="s">
        <v>31</v>
      </c>
      <c r="S16" s="29" t="s">
        <v>35</v>
      </c>
      <c r="T16" s="29" t="s">
        <v>33</v>
      </c>
      <c r="U16" s="13" t="s">
        <v>36</v>
      </c>
      <c r="V16" s="14">
        <f>SUM(E17:E19,H17:H19,K17:K19,N17:N19,Q17:Q19,T17:T19)</f>
        <v>2</v>
      </c>
      <c r="W16" s="8"/>
      <c r="X16" s="8"/>
      <c r="Y16" s="8"/>
      <c r="Z16" s="8"/>
      <c r="AA16" s="8"/>
      <c r="AB16" s="8"/>
      <c r="AC16" s="8"/>
      <c r="AD16" s="8"/>
      <c r="AE16" s="8"/>
      <c r="AF16" s="8"/>
    </row>
    <row r="17" spans="1:32" x14ac:dyDescent="0.2">
      <c r="A17" s="4"/>
      <c r="B17" s="19" t="s">
        <v>37</v>
      </c>
      <c r="C17" s="30">
        <v>5.09</v>
      </c>
      <c r="D17" s="30"/>
      <c r="E17" s="31">
        <v>0</v>
      </c>
      <c r="F17" s="30">
        <v>4.58</v>
      </c>
      <c r="G17" s="30"/>
      <c r="H17" s="31">
        <v>0</v>
      </c>
      <c r="I17" s="30">
        <v>2.58</v>
      </c>
      <c r="J17" s="30"/>
      <c r="K17" s="31">
        <v>0</v>
      </c>
      <c r="L17" s="30">
        <v>5.33</v>
      </c>
      <c r="M17" s="30"/>
      <c r="N17" s="31">
        <v>0</v>
      </c>
      <c r="O17" s="30">
        <v>1.36</v>
      </c>
      <c r="P17" s="30"/>
      <c r="Q17" s="31">
        <v>0</v>
      </c>
      <c r="R17" s="30">
        <v>3.72</v>
      </c>
      <c r="S17" s="30"/>
      <c r="T17" s="31">
        <v>0</v>
      </c>
      <c r="U17" s="13" t="s">
        <v>38</v>
      </c>
      <c r="V17" s="14">
        <f>AVERAGE(C17:C19,F17:F19)</f>
        <v>5.7216666666666667</v>
      </c>
      <c r="W17" s="8"/>
      <c r="X17" s="8"/>
      <c r="Y17" s="8"/>
      <c r="Z17" s="8"/>
      <c r="AA17" s="8"/>
      <c r="AB17" s="8"/>
      <c r="AC17" s="8"/>
      <c r="AD17" s="8"/>
      <c r="AE17" s="8"/>
      <c r="AF17" s="8"/>
    </row>
    <row r="18" spans="1:32" x14ac:dyDescent="0.2">
      <c r="A18" s="4"/>
      <c r="B18" s="19" t="s">
        <v>39</v>
      </c>
      <c r="C18" s="30">
        <v>5</v>
      </c>
      <c r="D18" s="30"/>
      <c r="E18" s="31">
        <v>0</v>
      </c>
      <c r="F18" s="30">
        <v>5.73</v>
      </c>
      <c r="G18" s="30"/>
      <c r="H18" s="31">
        <v>0</v>
      </c>
      <c r="I18" s="30">
        <v>3.18</v>
      </c>
      <c r="J18" s="30"/>
      <c r="K18" s="31">
        <v>0</v>
      </c>
      <c r="L18" s="30">
        <v>3.05</v>
      </c>
      <c r="M18" s="30"/>
      <c r="N18" s="31">
        <v>0</v>
      </c>
      <c r="O18" s="30">
        <v>14.71</v>
      </c>
      <c r="P18" s="30"/>
      <c r="Q18" s="31">
        <v>0</v>
      </c>
      <c r="R18" s="30">
        <v>3.17</v>
      </c>
      <c r="S18" s="30"/>
      <c r="T18" s="31">
        <v>2</v>
      </c>
      <c r="U18" s="13" t="s">
        <v>40</v>
      </c>
      <c r="V18" s="14">
        <f>AVERAGE(L17:L19, I17:I19)</f>
        <v>4.456666666666667</v>
      </c>
      <c r="W18" s="8"/>
      <c r="X18" s="8"/>
      <c r="Y18" s="8"/>
      <c r="Z18" s="8"/>
      <c r="AA18" s="8"/>
      <c r="AB18" s="8"/>
      <c r="AC18" s="8"/>
      <c r="AD18" s="8"/>
      <c r="AE18" s="8"/>
      <c r="AF18" s="8"/>
    </row>
    <row r="19" spans="1:32" x14ac:dyDescent="0.2">
      <c r="A19" s="4"/>
      <c r="B19" s="20" t="s">
        <v>41</v>
      </c>
      <c r="C19" s="32">
        <v>6.2</v>
      </c>
      <c r="D19" s="32"/>
      <c r="E19" s="33">
        <v>0</v>
      </c>
      <c r="F19" s="32">
        <v>7.73</v>
      </c>
      <c r="G19" s="32"/>
      <c r="H19" s="33">
        <v>0</v>
      </c>
      <c r="I19" s="32">
        <v>8.31</v>
      </c>
      <c r="J19" s="32"/>
      <c r="K19" s="33">
        <v>0</v>
      </c>
      <c r="L19" s="32">
        <v>4.29</v>
      </c>
      <c r="M19" s="32"/>
      <c r="N19" s="33">
        <v>0</v>
      </c>
      <c r="O19" s="32">
        <v>3.14</v>
      </c>
      <c r="P19" s="32"/>
      <c r="Q19" s="33">
        <v>0</v>
      </c>
      <c r="R19" s="32">
        <v>3.18</v>
      </c>
      <c r="S19" s="32"/>
      <c r="T19" s="33">
        <v>0</v>
      </c>
      <c r="U19" s="13" t="s">
        <v>42</v>
      </c>
      <c r="V19" s="14">
        <f>AVERAGE(R17:R19, O17:O19)</f>
        <v>4.88</v>
      </c>
      <c r="W19" s="8"/>
      <c r="X19" s="8"/>
      <c r="Y19" s="8"/>
      <c r="Z19" s="8"/>
      <c r="AA19" s="8"/>
      <c r="AB19" s="8"/>
      <c r="AC19" s="8"/>
      <c r="AD19" s="8"/>
      <c r="AE19" s="8"/>
      <c r="AF19" s="8"/>
    </row>
    <row r="20" spans="1:32" x14ac:dyDescent="0.2">
      <c r="A20" s="4"/>
      <c r="B20" s="23"/>
      <c r="C20" s="23"/>
      <c r="D20" s="6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13"/>
      <c r="S20" s="13"/>
      <c r="T20" s="23"/>
      <c r="U20" s="23"/>
      <c r="V20" s="24"/>
      <c r="W20" s="8"/>
      <c r="X20" s="8"/>
      <c r="Y20" s="8"/>
      <c r="Z20" s="8"/>
      <c r="AA20" s="8"/>
      <c r="AB20" s="8"/>
      <c r="AC20" s="8"/>
      <c r="AD20" s="8"/>
      <c r="AE20" s="8"/>
      <c r="AF20" s="8"/>
    </row>
    <row r="21" spans="1:32" x14ac:dyDescent="0.2">
      <c r="A21" s="4"/>
      <c r="B21" s="23"/>
      <c r="C21" s="25"/>
      <c r="D21" s="26" t="s">
        <v>12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7"/>
      <c r="S21" s="27"/>
      <c r="T21" s="25"/>
      <c r="U21" s="23"/>
      <c r="V21" s="24"/>
      <c r="W21" s="8"/>
      <c r="X21" s="8"/>
      <c r="Y21" s="8"/>
      <c r="Z21" s="8"/>
      <c r="AA21" s="8"/>
      <c r="AB21" s="8"/>
      <c r="AC21" s="8"/>
      <c r="AD21" s="8"/>
      <c r="AE21" s="8"/>
      <c r="AF21" s="8"/>
    </row>
    <row r="22" spans="1:32" x14ac:dyDescent="0.2">
      <c r="A22" s="4"/>
      <c r="B22" s="28"/>
      <c r="C22" s="29" t="s">
        <v>31</v>
      </c>
      <c r="D22" s="29" t="s">
        <v>32</v>
      </c>
      <c r="E22" s="29" t="s">
        <v>33</v>
      </c>
      <c r="F22" s="29" t="s">
        <v>31</v>
      </c>
      <c r="G22" s="29" t="s">
        <v>32</v>
      </c>
      <c r="H22" s="29" t="s">
        <v>33</v>
      </c>
      <c r="I22" s="29" t="s">
        <v>31</v>
      </c>
      <c r="J22" s="29" t="s">
        <v>34</v>
      </c>
      <c r="K22" s="29" t="s">
        <v>33</v>
      </c>
      <c r="L22" s="29" t="s">
        <v>31</v>
      </c>
      <c r="M22" s="29" t="s">
        <v>34</v>
      </c>
      <c r="N22" s="29" t="s">
        <v>33</v>
      </c>
      <c r="O22" s="29" t="s">
        <v>31</v>
      </c>
      <c r="P22" s="29" t="s">
        <v>35</v>
      </c>
      <c r="Q22" s="29" t="s">
        <v>33</v>
      </c>
      <c r="R22" s="29" t="s">
        <v>31</v>
      </c>
      <c r="S22" s="29" t="s">
        <v>35</v>
      </c>
      <c r="T22" s="29" t="s">
        <v>33</v>
      </c>
      <c r="U22" s="13" t="s">
        <v>36</v>
      </c>
      <c r="V22" s="14">
        <f>SUM(E23:E25,H23:H25,K23:K25,N23:N25,Q23:Q25,T23:T25)</f>
        <v>0</v>
      </c>
      <c r="W22" s="8"/>
      <c r="X22" s="8"/>
      <c r="Y22" s="8"/>
      <c r="Z22" s="8"/>
      <c r="AA22" s="8"/>
      <c r="AB22" s="8"/>
      <c r="AC22" s="8"/>
      <c r="AD22" s="8"/>
      <c r="AE22" s="8"/>
      <c r="AF22" s="8"/>
    </row>
    <row r="23" spans="1:32" x14ac:dyDescent="0.2">
      <c r="A23" s="4"/>
      <c r="B23" s="19" t="s">
        <v>37</v>
      </c>
      <c r="C23" s="30">
        <v>4.54</v>
      </c>
      <c r="D23" s="30"/>
      <c r="E23" s="31">
        <v>0</v>
      </c>
      <c r="F23" s="30">
        <v>5.24</v>
      </c>
      <c r="G23" s="30"/>
      <c r="H23" s="31">
        <v>0</v>
      </c>
      <c r="I23" s="30">
        <v>2.84</v>
      </c>
      <c r="J23" s="30"/>
      <c r="K23" s="31">
        <v>0</v>
      </c>
      <c r="L23" s="30">
        <v>3.36</v>
      </c>
      <c r="M23" s="30"/>
      <c r="N23" s="31">
        <v>0</v>
      </c>
      <c r="O23" s="30">
        <v>2.27</v>
      </c>
      <c r="P23" s="30"/>
      <c r="Q23" s="31">
        <v>0</v>
      </c>
      <c r="R23" s="30">
        <v>1.8</v>
      </c>
      <c r="S23" s="30"/>
      <c r="T23" s="31">
        <v>0</v>
      </c>
      <c r="U23" s="13" t="s">
        <v>38</v>
      </c>
      <c r="V23" s="14">
        <f>AVERAGE(C23:C25,F23:F25)</f>
        <v>4.8283333333333331</v>
      </c>
      <c r="W23" s="8"/>
      <c r="X23" s="8"/>
      <c r="Y23" s="8"/>
      <c r="Z23" s="8"/>
      <c r="AA23" s="8"/>
      <c r="AB23" s="8"/>
      <c r="AC23" s="8"/>
      <c r="AD23" s="8"/>
      <c r="AE23" s="8"/>
      <c r="AF23" s="8"/>
    </row>
    <row r="24" spans="1:32" x14ac:dyDescent="0.2">
      <c r="A24" s="4"/>
      <c r="B24" s="19" t="s">
        <v>39</v>
      </c>
      <c r="C24" s="30">
        <v>4.4400000000000004</v>
      </c>
      <c r="D24" s="30"/>
      <c r="E24" s="31">
        <v>0</v>
      </c>
      <c r="F24" s="30">
        <v>4.97</v>
      </c>
      <c r="G24" s="30"/>
      <c r="H24" s="31">
        <v>0</v>
      </c>
      <c r="I24" s="30">
        <v>3.85</v>
      </c>
      <c r="J24" s="30"/>
      <c r="K24" s="31">
        <v>0</v>
      </c>
      <c r="L24" s="30">
        <v>3.18</v>
      </c>
      <c r="M24" s="30"/>
      <c r="N24" s="31">
        <v>0</v>
      </c>
      <c r="O24" s="30">
        <v>2</v>
      </c>
      <c r="P24" s="30"/>
      <c r="Q24" s="31">
        <v>0</v>
      </c>
      <c r="R24" s="30">
        <v>3.15</v>
      </c>
      <c r="S24" s="30"/>
      <c r="T24" s="31">
        <v>0</v>
      </c>
      <c r="U24" s="13" t="s">
        <v>40</v>
      </c>
      <c r="V24" s="14">
        <f>AVERAGE(L23:L25, I23:I25)</f>
        <v>3.44</v>
      </c>
      <c r="W24" s="8"/>
      <c r="X24" s="8"/>
      <c r="Y24" s="8"/>
      <c r="Z24" s="8"/>
      <c r="AA24" s="8"/>
      <c r="AB24" s="8"/>
      <c r="AC24" s="8"/>
      <c r="AD24" s="8"/>
      <c r="AE24" s="8"/>
      <c r="AF24" s="8"/>
    </row>
    <row r="25" spans="1:32" x14ac:dyDescent="0.2">
      <c r="A25" s="4"/>
      <c r="B25" s="20" t="s">
        <v>41</v>
      </c>
      <c r="C25" s="32">
        <v>4.7</v>
      </c>
      <c r="D25" s="32"/>
      <c r="E25" s="33">
        <v>0</v>
      </c>
      <c r="F25" s="32">
        <v>5.08</v>
      </c>
      <c r="G25" s="32"/>
      <c r="H25" s="33">
        <v>0</v>
      </c>
      <c r="I25" s="32">
        <v>2.4700000000000002</v>
      </c>
      <c r="J25" s="32"/>
      <c r="K25" s="33">
        <v>0</v>
      </c>
      <c r="L25" s="32">
        <v>4.9400000000000004</v>
      </c>
      <c r="M25" s="32"/>
      <c r="N25" s="33">
        <v>0</v>
      </c>
      <c r="O25" s="32">
        <v>2.0099999999999998</v>
      </c>
      <c r="P25" s="32"/>
      <c r="Q25" s="33">
        <v>0</v>
      </c>
      <c r="R25" s="32">
        <v>1.91</v>
      </c>
      <c r="S25" s="32"/>
      <c r="T25" s="33">
        <v>0</v>
      </c>
      <c r="U25" s="13" t="s">
        <v>42</v>
      </c>
      <c r="V25" s="14">
        <f>AVERAGE(R23:R25, O23:O25)</f>
        <v>2.19</v>
      </c>
      <c r="W25" s="8"/>
      <c r="X25" s="8"/>
      <c r="Y25" s="8"/>
      <c r="Z25" s="8"/>
      <c r="AA25" s="8"/>
      <c r="AB25" s="8"/>
      <c r="AC25" s="8"/>
      <c r="AD25" s="8"/>
      <c r="AE25" s="8"/>
      <c r="AF25" s="8"/>
    </row>
    <row r="26" spans="1:32" x14ac:dyDescent="0.2">
      <c r="A26" s="4"/>
      <c r="B26" s="5"/>
      <c r="C26" s="5"/>
      <c r="D26" s="6"/>
      <c r="E26" s="7"/>
      <c r="F26" s="5"/>
      <c r="G26" s="5"/>
      <c r="H26" s="7"/>
      <c r="I26" s="5"/>
      <c r="J26" s="5"/>
      <c r="K26" s="7"/>
      <c r="L26" s="5"/>
      <c r="M26" s="5"/>
      <c r="N26" s="7"/>
      <c r="O26" s="5"/>
      <c r="P26" s="5"/>
      <c r="Q26" s="7"/>
      <c r="T26" s="8"/>
      <c r="U26" s="8"/>
      <c r="V26" s="9"/>
      <c r="W26" s="8"/>
      <c r="X26" s="8"/>
      <c r="Y26" s="8"/>
      <c r="Z26" s="8"/>
      <c r="AA26" s="8"/>
      <c r="AB26" s="8"/>
      <c r="AC26" s="8"/>
      <c r="AD26" s="8"/>
      <c r="AE26" s="8"/>
      <c r="AF26" s="8"/>
    </row>
    <row r="27" spans="1:32" x14ac:dyDescent="0.2">
      <c r="A27" s="4"/>
      <c r="B27" s="23"/>
      <c r="C27" s="25"/>
      <c r="D27" s="26" t="s">
        <v>13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7"/>
      <c r="S27" s="27"/>
      <c r="T27" s="25"/>
      <c r="U27" s="23"/>
      <c r="V27" s="24"/>
      <c r="W27" s="8"/>
      <c r="X27" s="8"/>
      <c r="Y27" s="8"/>
      <c r="Z27" s="8"/>
      <c r="AA27" s="8"/>
      <c r="AB27" s="8"/>
      <c r="AC27" s="8"/>
      <c r="AD27" s="8"/>
      <c r="AE27" s="8"/>
      <c r="AF27" s="8"/>
    </row>
    <row r="28" spans="1:32" x14ac:dyDescent="0.2">
      <c r="A28" s="4"/>
      <c r="B28" s="28"/>
      <c r="C28" s="29" t="s">
        <v>31</v>
      </c>
      <c r="D28" s="29" t="s">
        <v>32</v>
      </c>
      <c r="E28" s="29" t="s">
        <v>33</v>
      </c>
      <c r="F28" s="29" t="s">
        <v>31</v>
      </c>
      <c r="G28" s="29" t="s">
        <v>32</v>
      </c>
      <c r="H28" s="29" t="s">
        <v>33</v>
      </c>
      <c r="I28" s="29" t="s">
        <v>31</v>
      </c>
      <c r="J28" s="29" t="s">
        <v>34</v>
      </c>
      <c r="K28" s="29" t="s">
        <v>33</v>
      </c>
      <c r="L28" s="29" t="s">
        <v>31</v>
      </c>
      <c r="M28" s="29" t="s">
        <v>34</v>
      </c>
      <c r="N28" s="29" t="s">
        <v>33</v>
      </c>
      <c r="O28" s="29" t="s">
        <v>31</v>
      </c>
      <c r="P28" s="29" t="s">
        <v>35</v>
      </c>
      <c r="Q28" s="29" t="s">
        <v>33</v>
      </c>
      <c r="R28" s="29" t="s">
        <v>31</v>
      </c>
      <c r="S28" s="29" t="s">
        <v>35</v>
      </c>
      <c r="T28" s="29" t="s">
        <v>33</v>
      </c>
      <c r="U28" s="13" t="s">
        <v>36</v>
      </c>
      <c r="V28" s="14">
        <f>SUM(E29:E31,H29:H31,K29:K31,N29:N31,Q29:Q31,T29:T31)</f>
        <v>7</v>
      </c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2">
      <c r="A29" s="4"/>
      <c r="B29" s="19" t="s">
        <v>37</v>
      </c>
      <c r="C29" s="30">
        <v>10.38</v>
      </c>
      <c r="D29" s="30"/>
      <c r="E29" s="31">
        <v>1</v>
      </c>
      <c r="F29" s="30">
        <v>14.59</v>
      </c>
      <c r="G29" s="30"/>
      <c r="H29" s="31">
        <v>1</v>
      </c>
      <c r="I29" s="30">
        <v>5.69</v>
      </c>
      <c r="J29" s="30"/>
      <c r="K29" s="31">
        <v>0</v>
      </c>
      <c r="L29" s="30">
        <v>4.16</v>
      </c>
      <c r="M29" s="30"/>
      <c r="N29" s="31">
        <v>0</v>
      </c>
      <c r="O29" s="30">
        <v>4.37</v>
      </c>
      <c r="P29" s="30"/>
      <c r="Q29" s="31">
        <v>0</v>
      </c>
      <c r="R29" s="30">
        <v>3.56</v>
      </c>
      <c r="S29" s="30"/>
      <c r="T29" s="31">
        <v>1</v>
      </c>
      <c r="U29" s="13" t="s">
        <v>38</v>
      </c>
      <c r="V29" s="14">
        <f>AVERAGE(C29:C31,F29:F31)</f>
        <v>12.303333333333333</v>
      </c>
      <c r="W29" s="8"/>
      <c r="X29" s="8"/>
      <c r="Y29" s="8"/>
      <c r="Z29" s="8"/>
      <c r="AA29" s="8"/>
      <c r="AB29" s="8"/>
      <c r="AC29" s="8"/>
      <c r="AD29" s="8"/>
      <c r="AE29" s="8"/>
      <c r="AF29" s="8"/>
    </row>
    <row r="30" spans="1:32" x14ac:dyDescent="0.2">
      <c r="A30" s="4"/>
      <c r="B30" s="19" t="s">
        <v>39</v>
      </c>
      <c r="C30" s="30">
        <v>13.33</v>
      </c>
      <c r="D30" s="30"/>
      <c r="E30" s="31">
        <v>0</v>
      </c>
      <c r="F30" s="30">
        <v>7.3</v>
      </c>
      <c r="G30" s="30"/>
      <c r="H30" s="31">
        <v>1</v>
      </c>
      <c r="I30" s="30">
        <v>12.66</v>
      </c>
      <c r="J30" s="30"/>
      <c r="K30" s="31">
        <v>1</v>
      </c>
      <c r="L30" s="30">
        <v>3.47</v>
      </c>
      <c r="M30" s="30"/>
      <c r="N30" s="31">
        <v>0</v>
      </c>
      <c r="O30" s="30">
        <v>5.35</v>
      </c>
      <c r="P30" s="30"/>
      <c r="Q30" s="31">
        <v>0</v>
      </c>
      <c r="R30" s="30">
        <v>4.32</v>
      </c>
      <c r="S30" s="30"/>
      <c r="T30" s="31">
        <v>0</v>
      </c>
      <c r="U30" s="13" t="s">
        <v>40</v>
      </c>
      <c r="V30" s="14">
        <f>AVERAGE(L29:L31, I29:I31)</f>
        <v>6.9750000000000005</v>
      </c>
      <c r="W30" s="8"/>
      <c r="X30" s="8"/>
      <c r="Y30" s="8"/>
      <c r="Z30" s="8"/>
      <c r="AA30" s="8"/>
      <c r="AB30" s="8"/>
      <c r="AC30" s="8"/>
      <c r="AD30" s="8"/>
      <c r="AE30" s="8"/>
      <c r="AF30" s="8"/>
    </row>
    <row r="31" spans="1:32" x14ac:dyDescent="0.2">
      <c r="A31" s="4"/>
      <c r="B31" s="20" t="s">
        <v>41</v>
      </c>
      <c r="C31" s="32">
        <v>9.17</v>
      </c>
      <c r="D31" s="32"/>
      <c r="E31" s="33">
        <v>0</v>
      </c>
      <c r="F31" s="32">
        <v>19.05</v>
      </c>
      <c r="G31" s="32"/>
      <c r="H31" s="33">
        <v>1</v>
      </c>
      <c r="I31" s="32">
        <v>12.54</v>
      </c>
      <c r="J31" s="32"/>
      <c r="K31" s="33">
        <v>1</v>
      </c>
      <c r="L31" s="32">
        <v>3.33</v>
      </c>
      <c r="M31" s="32"/>
      <c r="N31" s="33">
        <v>0</v>
      </c>
      <c r="O31" s="32">
        <v>4.87</v>
      </c>
      <c r="P31" s="32"/>
      <c r="Q31" s="33">
        <v>0</v>
      </c>
      <c r="R31" s="32">
        <v>3.85</v>
      </c>
      <c r="S31" s="32"/>
      <c r="T31" s="33">
        <v>0</v>
      </c>
      <c r="U31" s="13" t="s">
        <v>42</v>
      </c>
      <c r="V31" s="14">
        <f>AVERAGE(R29:R31, O29:O31)</f>
        <v>4.3866666666666676</v>
      </c>
      <c r="W31" s="8"/>
      <c r="X31" s="8"/>
      <c r="Y31" s="8"/>
      <c r="Z31" s="8"/>
      <c r="AA31" s="8"/>
      <c r="AB31" s="8"/>
      <c r="AC31" s="8"/>
      <c r="AD31" s="8"/>
      <c r="AE31" s="8"/>
      <c r="AF31" s="8"/>
    </row>
    <row r="32" spans="1:32" x14ac:dyDescent="0.2">
      <c r="A32" s="4"/>
      <c r="B32" s="5"/>
      <c r="C32" s="5"/>
      <c r="D32" s="6"/>
      <c r="E32" s="7"/>
      <c r="F32" s="5"/>
      <c r="G32" s="5"/>
      <c r="H32" s="7"/>
      <c r="I32" s="5"/>
      <c r="J32" s="5"/>
      <c r="K32" s="7"/>
      <c r="L32" s="5"/>
      <c r="M32" s="5"/>
      <c r="N32" s="7"/>
      <c r="O32" s="5"/>
      <c r="P32" s="5"/>
      <c r="Q32" s="7"/>
      <c r="T32" s="8"/>
      <c r="U32" s="8"/>
      <c r="V32" s="9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2">
      <c r="A33" s="4"/>
      <c r="B33" s="5"/>
      <c r="C33" s="5"/>
      <c r="D33" s="6" t="s">
        <v>14</v>
      </c>
      <c r="E33" s="7"/>
      <c r="F33" s="5"/>
      <c r="G33" s="5"/>
      <c r="H33" s="7"/>
      <c r="I33" s="5"/>
      <c r="J33" s="5"/>
      <c r="K33" s="7"/>
      <c r="L33" s="5"/>
      <c r="M33" s="5"/>
      <c r="N33" s="7"/>
      <c r="O33" s="5"/>
      <c r="P33" s="5"/>
      <c r="Q33" s="7"/>
      <c r="T33" s="8"/>
      <c r="U33" s="8"/>
      <c r="V33" s="9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2">
      <c r="A34" s="4"/>
      <c r="B34" s="11"/>
      <c r="C34" s="12" t="s">
        <v>31</v>
      </c>
      <c r="D34" s="12" t="s">
        <v>32</v>
      </c>
      <c r="E34" s="12" t="s">
        <v>33</v>
      </c>
      <c r="F34" s="12" t="s">
        <v>31</v>
      </c>
      <c r="G34" s="12" t="s">
        <v>32</v>
      </c>
      <c r="H34" s="12" t="s">
        <v>33</v>
      </c>
      <c r="I34" s="12" t="s">
        <v>31</v>
      </c>
      <c r="J34" s="12" t="s">
        <v>34</v>
      </c>
      <c r="K34" s="12" t="s">
        <v>33</v>
      </c>
      <c r="L34" s="12" t="s">
        <v>31</v>
      </c>
      <c r="M34" s="12" t="s">
        <v>34</v>
      </c>
      <c r="N34" s="12" t="s">
        <v>33</v>
      </c>
      <c r="O34" s="12" t="s">
        <v>31</v>
      </c>
      <c r="P34" s="12" t="s">
        <v>35</v>
      </c>
      <c r="Q34" s="12" t="s">
        <v>33</v>
      </c>
      <c r="R34" s="12" t="s">
        <v>31</v>
      </c>
      <c r="S34" s="12" t="s">
        <v>35</v>
      </c>
      <c r="T34" s="12" t="s">
        <v>33</v>
      </c>
      <c r="U34" s="13" t="s">
        <v>36</v>
      </c>
      <c r="V34" s="14">
        <f>SUM(E35:E37,H35:H37,K35:K37,N35:N37,Q35:Q37,T35:T37)</f>
        <v>1</v>
      </c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2">
      <c r="A35" s="4"/>
      <c r="B35" s="16" t="s">
        <v>37</v>
      </c>
      <c r="C35" s="17">
        <v>10.56</v>
      </c>
      <c r="D35" s="17"/>
      <c r="E35" s="18">
        <v>0</v>
      </c>
      <c r="F35" s="17">
        <v>8.01</v>
      </c>
      <c r="G35" s="17"/>
      <c r="H35" s="18">
        <v>0</v>
      </c>
      <c r="I35" s="17">
        <v>3.77</v>
      </c>
      <c r="J35" s="17"/>
      <c r="K35" s="18">
        <v>0</v>
      </c>
      <c r="L35" s="17">
        <v>4.2</v>
      </c>
      <c r="M35" s="17"/>
      <c r="N35" s="18">
        <v>0</v>
      </c>
      <c r="O35" s="17">
        <v>5.23</v>
      </c>
      <c r="P35" s="17"/>
      <c r="Q35" s="18">
        <v>1</v>
      </c>
      <c r="R35" s="17">
        <v>2.19</v>
      </c>
      <c r="S35" s="17"/>
      <c r="T35" s="18">
        <v>0</v>
      </c>
      <c r="U35" s="13" t="s">
        <v>38</v>
      </c>
      <c r="V35" s="14">
        <f>AVERAGE(C35:C37,F35:F37)</f>
        <v>8.831666666666667</v>
      </c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2">
      <c r="A36" s="4"/>
      <c r="B36" s="19" t="s">
        <v>39</v>
      </c>
      <c r="C36" s="17">
        <v>9.69</v>
      </c>
      <c r="D36" s="17"/>
      <c r="E36" s="18">
        <v>0</v>
      </c>
      <c r="F36" s="17">
        <v>16.41</v>
      </c>
      <c r="G36" s="17"/>
      <c r="H36" s="18">
        <v>0</v>
      </c>
      <c r="I36" s="17">
        <v>5.12</v>
      </c>
      <c r="J36" s="17"/>
      <c r="K36" s="18">
        <v>0</v>
      </c>
      <c r="L36" s="17">
        <v>4.78</v>
      </c>
      <c r="M36" s="17"/>
      <c r="N36" s="18">
        <v>0</v>
      </c>
      <c r="O36" s="17">
        <v>2.37</v>
      </c>
      <c r="P36" s="17"/>
      <c r="Q36" s="18">
        <v>0</v>
      </c>
      <c r="R36" s="17">
        <v>2.2799999999999998</v>
      </c>
      <c r="S36" s="17"/>
      <c r="T36" s="18">
        <v>0</v>
      </c>
      <c r="U36" s="13" t="s">
        <v>40</v>
      </c>
      <c r="V36" s="14">
        <f>AVERAGE(L35:L37, I35:I37)</f>
        <v>4.1400000000000006</v>
      </c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2">
      <c r="A37" s="4"/>
      <c r="B37" s="20" t="s">
        <v>41</v>
      </c>
      <c r="C37" s="21">
        <v>2.42</v>
      </c>
      <c r="D37" s="21"/>
      <c r="E37" s="22">
        <v>0</v>
      </c>
      <c r="F37" s="21">
        <v>5.9</v>
      </c>
      <c r="G37" s="21"/>
      <c r="H37" s="22">
        <v>0</v>
      </c>
      <c r="I37" s="21">
        <v>3.85</v>
      </c>
      <c r="J37" s="21"/>
      <c r="K37" s="22">
        <v>0</v>
      </c>
      <c r="L37" s="21">
        <v>3.12</v>
      </c>
      <c r="M37" s="21"/>
      <c r="N37" s="22">
        <v>0</v>
      </c>
      <c r="O37" s="21">
        <v>2.95</v>
      </c>
      <c r="P37" s="21"/>
      <c r="Q37" s="22">
        <v>0</v>
      </c>
      <c r="R37" s="21">
        <v>2.2999999999999998</v>
      </c>
      <c r="S37" s="21"/>
      <c r="T37" s="22">
        <v>0</v>
      </c>
      <c r="U37" s="13" t="s">
        <v>42</v>
      </c>
      <c r="V37" s="14">
        <f>AVERAGE(R35:R37, O35:O37)</f>
        <v>2.8866666666666667</v>
      </c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2">
      <c r="A38" s="4"/>
      <c r="B38" s="5"/>
      <c r="C38" s="5"/>
      <c r="D38" s="5"/>
      <c r="E38" s="7"/>
      <c r="F38" s="5"/>
      <c r="G38" s="5"/>
      <c r="H38" s="7"/>
      <c r="I38" s="5"/>
      <c r="J38" s="5"/>
      <c r="K38" s="7"/>
      <c r="L38" s="5"/>
      <c r="M38" s="5"/>
      <c r="N38" s="7"/>
      <c r="O38" s="5"/>
      <c r="P38" s="5"/>
      <c r="Q38" s="7"/>
      <c r="T38" s="8"/>
      <c r="U38" s="8"/>
      <c r="V38" s="9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2">
      <c r="A39" s="4"/>
      <c r="B39" s="5"/>
      <c r="C39" s="5"/>
      <c r="D39" s="6" t="s">
        <v>15</v>
      </c>
      <c r="E39" s="7"/>
      <c r="F39" s="5"/>
      <c r="G39" s="5"/>
      <c r="H39" s="7"/>
      <c r="I39" s="5"/>
      <c r="J39" s="5"/>
      <c r="K39" s="7"/>
      <c r="L39" s="5"/>
      <c r="M39" s="5"/>
      <c r="N39" s="7"/>
      <c r="O39" s="5"/>
      <c r="P39" s="5"/>
      <c r="Q39" s="7"/>
      <c r="T39" s="8"/>
      <c r="U39" s="8"/>
      <c r="V39" s="9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2">
      <c r="A40" s="10"/>
      <c r="B40" s="11"/>
      <c r="C40" s="34" t="s">
        <v>31</v>
      </c>
      <c r="D40" s="34" t="s">
        <v>32</v>
      </c>
      <c r="E40" s="34" t="s">
        <v>33</v>
      </c>
      <c r="F40" s="34" t="s">
        <v>31</v>
      </c>
      <c r="G40" s="29" t="s">
        <v>32</v>
      </c>
      <c r="H40" s="29" t="s">
        <v>33</v>
      </c>
      <c r="I40" s="34" t="s">
        <v>31</v>
      </c>
      <c r="J40" s="34" t="s">
        <v>34</v>
      </c>
      <c r="K40" s="34" t="s">
        <v>33</v>
      </c>
      <c r="L40" s="34" t="s">
        <v>31</v>
      </c>
      <c r="M40" s="34" t="s">
        <v>34</v>
      </c>
      <c r="N40" s="34" t="s">
        <v>33</v>
      </c>
      <c r="O40" s="34" t="s">
        <v>31</v>
      </c>
      <c r="P40" s="34" t="s">
        <v>35</v>
      </c>
      <c r="Q40" s="34" t="s">
        <v>33</v>
      </c>
      <c r="R40" s="34" t="s">
        <v>31</v>
      </c>
      <c r="S40" s="34" t="s">
        <v>35</v>
      </c>
      <c r="T40" s="34" t="s">
        <v>33</v>
      </c>
      <c r="U40" s="13" t="s">
        <v>36</v>
      </c>
      <c r="V40" s="14">
        <f>SUM(E41:E43,H41:H43,K41:K43,N41:N43,Q41:Q43,T41:T43)</f>
        <v>5</v>
      </c>
      <c r="W40" s="15"/>
      <c r="X40" s="15"/>
      <c r="Y40" s="15"/>
      <c r="Z40" s="15"/>
      <c r="AA40" s="15"/>
      <c r="AB40" s="15"/>
      <c r="AC40" s="15"/>
      <c r="AD40" s="15"/>
      <c r="AE40" s="15"/>
      <c r="AF40" s="15"/>
    </row>
    <row r="41" spans="1:32" x14ac:dyDescent="0.2">
      <c r="A41" s="4"/>
      <c r="B41" s="16" t="s">
        <v>37</v>
      </c>
      <c r="C41" s="35">
        <v>8.34</v>
      </c>
      <c r="D41" s="35" t="s">
        <v>43</v>
      </c>
      <c r="E41" s="36">
        <v>0</v>
      </c>
      <c r="F41" s="35"/>
      <c r="G41" s="35"/>
      <c r="H41" s="36"/>
      <c r="I41" s="35">
        <v>11.58</v>
      </c>
      <c r="J41" s="35" t="s">
        <v>89</v>
      </c>
      <c r="K41" s="36">
        <v>0</v>
      </c>
      <c r="L41" s="35">
        <v>14.47</v>
      </c>
      <c r="M41" s="35" t="s">
        <v>44</v>
      </c>
      <c r="N41" s="36">
        <v>1</v>
      </c>
      <c r="O41" s="35">
        <v>1.97</v>
      </c>
      <c r="P41" s="35" t="s">
        <v>45</v>
      </c>
      <c r="Q41" s="36">
        <v>0</v>
      </c>
      <c r="R41" s="35">
        <v>6.11</v>
      </c>
      <c r="S41" s="35" t="s">
        <v>46</v>
      </c>
      <c r="T41" s="36">
        <v>0</v>
      </c>
      <c r="U41" s="13" t="s">
        <v>38</v>
      </c>
      <c r="V41" s="14">
        <f>AVERAGE(C41:C43,F41:F43)</f>
        <v>6.71</v>
      </c>
    </row>
    <row r="42" spans="1:32" x14ac:dyDescent="0.2">
      <c r="A42" s="4"/>
      <c r="B42" s="19" t="s">
        <v>39</v>
      </c>
      <c r="C42" s="17">
        <v>3.61</v>
      </c>
      <c r="D42" s="17" t="s">
        <v>90</v>
      </c>
      <c r="E42" s="18">
        <v>0</v>
      </c>
      <c r="F42" s="17"/>
      <c r="G42" s="17"/>
      <c r="H42" s="18"/>
      <c r="I42" s="17">
        <v>4.6500000000000004</v>
      </c>
      <c r="J42" s="17" t="s">
        <v>91</v>
      </c>
      <c r="K42" s="18">
        <v>0</v>
      </c>
      <c r="L42" s="17">
        <v>5.1100000000000003</v>
      </c>
      <c r="M42" s="17" t="s">
        <v>47</v>
      </c>
      <c r="N42" s="18">
        <v>0</v>
      </c>
      <c r="O42" s="17">
        <v>3.28</v>
      </c>
      <c r="P42" s="17" t="s">
        <v>48</v>
      </c>
      <c r="Q42" s="18">
        <v>0</v>
      </c>
      <c r="R42" s="17">
        <v>2.38</v>
      </c>
      <c r="S42" s="17" t="s">
        <v>49</v>
      </c>
      <c r="T42" s="18">
        <v>0</v>
      </c>
      <c r="U42" s="13" t="s">
        <v>40</v>
      </c>
      <c r="V42" s="14">
        <f>AVERAGE(L41:L43, I41:I43)</f>
        <v>9.7533333333333339</v>
      </c>
    </row>
    <row r="43" spans="1:32" x14ac:dyDescent="0.2">
      <c r="A43" s="4"/>
      <c r="B43" s="20" t="s">
        <v>41</v>
      </c>
      <c r="C43" s="21">
        <v>8.18</v>
      </c>
      <c r="D43" s="21" t="s">
        <v>50</v>
      </c>
      <c r="E43" s="22">
        <v>2</v>
      </c>
      <c r="F43" s="21"/>
      <c r="G43" s="21"/>
      <c r="H43" s="22"/>
      <c r="I43" s="21">
        <v>14.06</v>
      </c>
      <c r="J43" s="21" t="s">
        <v>92</v>
      </c>
      <c r="K43" s="22">
        <v>1</v>
      </c>
      <c r="L43" s="21">
        <v>8.65</v>
      </c>
      <c r="M43" s="21" t="s">
        <v>51</v>
      </c>
      <c r="N43" s="22">
        <v>0</v>
      </c>
      <c r="O43" s="21">
        <v>2.64</v>
      </c>
      <c r="P43" s="21" t="s">
        <v>46</v>
      </c>
      <c r="Q43" s="22">
        <v>0</v>
      </c>
      <c r="R43" s="21">
        <v>3.97</v>
      </c>
      <c r="S43" s="21" t="s">
        <v>46</v>
      </c>
      <c r="T43" s="22">
        <v>1</v>
      </c>
      <c r="U43" s="13" t="s">
        <v>42</v>
      </c>
      <c r="V43" s="14">
        <f>AVERAGE(R41:R43, O41:O43)</f>
        <v>3.3916666666666671</v>
      </c>
    </row>
    <row r="44" spans="1:32" x14ac:dyDescent="0.2">
      <c r="A44" s="4"/>
      <c r="B44" s="5"/>
      <c r="C44" s="5"/>
      <c r="D44" s="5"/>
      <c r="E44" s="7"/>
      <c r="F44" s="23"/>
      <c r="G44" s="23"/>
      <c r="H44" s="23"/>
      <c r="I44" s="5"/>
      <c r="J44" s="5"/>
      <c r="K44" s="7"/>
      <c r="L44" s="5"/>
      <c r="M44" s="5"/>
      <c r="N44" s="7"/>
      <c r="O44" s="5"/>
      <c r="P44" s="5"/>
      <c r="Q44" s="7"/>
      <c r="R44" s="5"/>
      <c r="S44" s="5"/>
      <c r="T44" s="7"/>
      <c r="U44" s="8"/>
      <c r="V44" s="9"/>
      <c r="W44" s="8"/>
      <c r="X44" s="8"/>
      <c r="Y44" s="8"/>
      <c r="Z44" s="8"/>
      <c r="AA44" s="8"/>
      <c r="AB44" s="8"/>
      <c r="AC44" s="8"/>
      <c r="AD44" s="8"/>
      <c r="AE44" s="8"/>
      <c r="AF44" s="8"/>
    </row>
    <row r="45" spans="1:32" x14ac:dyDescent="0.2">
      <c r="A45" s="4"/>
      <c r="B45" s="5"/>
      <c r="C45" s="5"/>
      <c r="D45" s="6" t="s">
        <v>16</v>
      </c>
      <c r="E45" s="7"/>
      <c r="F45" s="25"/>
      <c r="G45" s="25"/>
      <c r="H45" s="25"/>
      <c r="I45" s="5"/>
      <c r="J45" s="5"/>
      <c r="K45" s="7"/>
      <c r="L45" s="5"/>
      <c r="M45" s="5"/>
      <c r="N45" s="7"/>
      <c r="O45" s="5"/>
      <c r="P45" s="5"/>
      <c r="Q45" s="7"/>
      <c r="R45" s="5"/>
      <c r="S45" s="5"/>
      <c r="T45" s="7"/>
      <c r="U45" s="8"/>
      <c r="V45" s="9"/>
      <c r="W45" s="8"/>
      <c r="X45" s="8"/>
      <c r="Y45" s="8"/>
      <c r="Z45" s="8"/>
      <c r="AA45" s="8"/>
      <c r="AB45" s="8"/>
      <c r="AC45" s="8"/>
      <c r="AD45" s="8"/>
      <c r="AE45" s="8"/>
      <c r="AF45" s="8"/>
    </row>
    <row r="46" spans="1:32" x14ac:dyDescent="0.2">
      <c r="A46" s="10"/>
      <c r="B46" s="11"/>
      <c r="C46" s="34" t="s">
        <v>31</v>
      </c>
      <c r="D46" s="34" t="s">
        <v>32</v>
      </c>
      <c r="E46" s="34" t="s">
        <v>33</v>
      </c>
      <c r="F46" s="34" t="s">
        <v>31</v>
      </c>
      <c r="G46" s="29" t="s">
        <v>32</v>
      </c>
      <c r="H46" s="29" t="s">
        <v>33</v>
      </c>
      <c r="I46" s="34" t="s">
        <v>31</v>
      </c>
      <c r="J46" s="34" t="s">
        <v>34</v>
      </c>
      <c r="K46" s="34" t="s">
        <v>33</v>
      </c>
      <c r="L46" s="34" t="s">
        <v>31</v>
      </c>
      <c r="M46" s="34" t="s">
        <v>34</v>
      </c>
      <c r="N46" s="34" t="s">
        <v>33</v>
      </c>
      <c r="O46" s="34" t="s">
        <v>31</v>
      </c>
      <c r="P46" s="34" t="s">
        <v>35</v>
      </c>
      <c r="Q46" s="34" t="s">
        <v>33</v>
      </c>
      <c r="R46" s="34" t="s">
        <v>31</v>
      </c>
      <c r="S46" s="34" t="s">
        <v>35</v>
      </c>
      <c r="T46" s="34" t="s">
        <v>33</v>
      </c>
      <c r="U46" s="13" t="s">
        <v>36</v>
      </c>
      <c r="V46" s="14">
        <f>SUM(E47:E49,H47:H49,K47:K49,N47:N49,Q47:Q49,T47:T49)</f>
        <v>5</v>
      </c>
      <c r="W46" s="15"/>
      <c r="X46" s="15"/>
      <c r="Y46" s="15"/>
      <c r="Z46" s="15"/>
      <c r="AA46" s="15"/>
      <c r="AB46" s="15"/>
      <c r="AC46" s="15"/>
      <c r="AD46" s="15"/>
      <c r="AE46" s="15"/>
      <c r="AF46" s="15"/>
    </row>
    <row r="47" spans="1:32" x14ac:dyDescent="0.2">
      <c r="A47" s="4"/>
      <c r="B47" s="16" t="s">
        <v>37</v>
      </c>
      <c r="C47" s="35">
        <v>4.5999999999999996</v>
      </c>
      <c r="D47" s="35" t="s">
        <v>43</v>
      </c>
      <c r="E47" s="36">
        <v>0</v>
      </c>
      <c r="F47" s="35"/>
      <c r="G47" s="35"/>
      <c r="H47" s="36"/>
      <c r="I47" s="35">
        <v>7.91</v>
      </c>
      <c r="J47" s="35" t="s">
        <v>89</v>
      </c>
      <c r="K47" s="36">
        <v>1</v>
      </c>
      <c r="L47" s="35">
        <v>29.1</v>
      </c>
      <c r="M47" s="35" t="s">
        <v>51</v>
      </c>
      <c r="N47" s="36">
        <v>1</v>
      </c>
      <c r="O47" s="35">
        <v>1.93</v>
      </c>
      <c r="P47" s="35" t="s">
        <v>48</v>
      </c>
      <c r="Q47" s="36">
        <v>0</v>
      </c>
      <c r="R47" s="35">
        <v>2.74</v>
      </c>
      <c r="S47" s="35" t="s">
        <v>46</v>
      </c>
      <c r="T47" s="36">
        <v>0</v>
      </c>
      <c r="U47" s="13" t="s">
        <v>38</v>
      </c>
      <c r="V47" s="14">
        <f>AVERAGE(C47:C49,F47:F49)</f>
        <v>8.7633333333333336</v>
      </c>
    </row>
    <row r="48" spans="1:32" x14ac:dyDescent="0.2">
      <c r="A48" s="4"/>
      <c r="B48" s="19" t="s">
        <v>39</v>
      </c>
      <c r="C48" s="17">
        <v>8.58</v>
      </c>
      <c r="D48" s="17" t="s">
        <v>90</v>
      </c>
      <c r="E48" s="18">
        <v>0</v>
      </c>
      <c r="F48" s="17"/>
      <c r="G48" s="17"/>
      <c r="H48" s="18"/>
      <c r="I48" s="17">
        <v>6.07</v>
      </c>
      <c r="J48" s="17" t="s">
        <v>92</v>
      </c>
      <c r="K48" s="18">
        <v>0</v>
      </c>
      <c r="L48" s="17">
        <v>3.8</v>
      </c>
      <c r="M48" s="17" t="s">
        <v>44</v>
      </c>
      <c r="N48" s="18">
        <v>0</v>
      </c>
      <c r="O48" s="17">
        <v>1.4</v>
      </c>
      <c r="P48" s="17" t="s">
        <v>48</v>
      </c>
      <c r="Q48" s="18">
        <v>0</v>
      </c>
      <c r="R48" s="17">
        <v>2.5499999999999998</v>
      </c>
      <c r="S48" s="17" t="s">
        <v>46</v>
      </c>
      <c r="T48" s="18">
        <v>0</v>
      </c>
      <c r="U48" s="13" t="s">
        <v>40</v>
      </c>
      <c r="V48" s="14">
        <f>AVERAGE(L47:L49, I47:I49)</f>
        <v>9.3683333333333323</v>
      </c>
    </row>
    <row r="49" spans="1:32" x14ac:dyDescent="0.2">
      <c r="A49" s="4"/>
      <c r="B49" s="20" t="s">
        <v>41</v>
      </c>
      <c r="C49" s="21">
        <v>13.11</v>
      </c>
      <c r="D49" s="21" t="s">
        <v>52</v>
      </c>
      <c r="E49" s="22">
        <v>2</v>
      </c>
      <c r="F49" s="21"/>
      <c r="G49" s="21"/>
      <c r="H49" s="22"/>
      <c r="I49" s="21">
        <v>5.15</v>
      </c>
      <c r="J49" s="21" t="s">
        <v>47</v>
      </c>
      <c r="K49" s="22">
        <v>0</v>
      </c>
      <c r="L49" s="21">
        <v>4.18</v>
      </c>
      <c r="M49" s="21" t="s">
        <v>93</v>
      </c>
      <c r="N49" s="22">
        <v>0</v>
      </c>
      <c r="O49" s="21">
        <v>6.33</v>
      </c>
      <c r="P49" s="21" t="s">
        <v>48</v>
      </c>
      <c r="Q49" s="22">
        <v>1</v>
      </c>
      <c r="R49" s="21">
        <v>2.5</v>
      </c>
      <c r="S49" s="21" t="s">
        <v>46</v>
      </c>
      <c r="T49" s="22">
        <v>0</v>
      </c>
      <c r="U49" s="13" t="s">
        <v>42</v>
      </c>
      <c r="V49" s="14">
        <f>AVERAGE(R47:R49, O47:O49)</f>
        <v>2.9083333333333337</v>
      </c>
    </row>
    <row r="50" spans="1:32" x14ac:dyDescent="0.2">
      <c r="A50" s="37"/>
      <c r="B50" s="8"/>
      <c r="E50" s="38"/>
      <c r="F50" s="5"/>
      <c r="G50" s="5"/>
      <c r="H50" s="7"/>
      <c r="K50" s="38"/>
      <c r="N50" s="38"/>
      <c r="Q50" s="38"/>
      <c r="T50" s="38"/>
      <c r="V50" s="14"/>
    </row>
    <row r="51" spans="1:32" x14ac:dyDescent="0.2">
      <c r="A51" s="37"/>
      <c r="B51" s="8"/>
      <c r="D51" s="39" t="s">
        <v>17</v>
      </c>
      <c r="E51" s="38"/>
      <c r="F51" s="25"/>
      <c r="G51" s="25"/>
      <c r="H51" s="25"/>
      <c r="K51" s="38"/>
      <c r="N51" s="38"/>
      <c r="Q51" s="38"/>
      <c r="T51" s="38"/>
      <c r="V51" s="14"/>
    </row>
    <row r="52" spans="1:32" x14ac:dyDescent="0.2">
      <c r="A52" s="10"/>
      <c r="B52" s="11"/>
      <c r="C52" s="12" t="s">
        <v>31</v>
      </c>
      <c r="D52" s="12" t="s">
        <v>32</v>
      </c>
      <c r="E52" s="12" t="s">
        <v>33</v>
      </c>
      <c r="F52" s="34" t="s">
        <v>31</v>
      </c>
      <c r="G52" s="29" t="s">
        <v>32</v>
      </c>
      <c r="H52" s="29" t="s">
        <v>33</v>
      </c>
      <c r="I52" s="12" t="s">
        <v>31</v>
      </c>
      <c r="J52" s="12" t="s">
        <v>34</v>
      </c>
      <c r="K52" s="12" t="s">
        <v>33</v>
      </c>
      <c r="L52" s="12" t="s">
        <v>31</v>
      </c>
      <c r="M52" s="12" t="s">
        <v>34</v>
      </c>
      <c r="N52" s="12" t="s">
        <v>33</v>
      </c>
      <c r="O52" s="12" t="s">
        <v>31</v>
      </c>
      <c r="P52" s="12" t="s">
        <v>35</v>
      </c>
      <c r="Q52" s="12" t="s">
        <v>33</v>
      </c>
      <c r="R52" s="12" t="s">
        <v>31</v>
      </c>
      <c r="S52" s="12" t="s">
        <v>35</v>
      </c>
      <c r="T52" s="12" t="s">
        <v>33</v>
      </c>
      <c r="U52" s="13" t="s">
        <v>36</v>
      </c>
      <c r="V52" s="14">
        <f>SUM(E53:E55,H53:H55,K53:K55,N53:N55,Q53:Q55,T53:T55)</f>
        <v>3</v>
      </c>
      <c r="W52" s="15"/>
      <c r="X52" s="15"/>
      <c r="Y52" s="15"/>
      <c r="Z52" s="15"/>
      <c r="AA52" s="15"/>
      <c r="AB52" s="15"/>
      <c r="AC52" s="15"/>
      <c r="AD52" s="15"/>
      <c r="AE52" s="15"/>
      <c r="AF52" s="15"/>
    </row>
    <row r="53" spans="1:32" x14ac:dyDescent="0.2">
      <c r="A53" s="4"/>
      <c r="B53" s="16" t="s">
        <v>37</v>
      </c>
      <c r="C53" s="17">
        <v>5.75</v>
      </c>
      <c r="D53" s="17" t="s">
        <v>53</v>
      </c>
      <c r="E53" s="18">
        <v>0</v>
      </c>
      <c r="F53" s="17"/>
      <c r="G53" s="17"/>
      <c r="H53" s="18"/>
      <c r="I53" s="17">
        <v>18.95</v>
      </c>
      <c r="J53" s="17" t="s">
        <v>54</v>
      </c>
      <c r="K53" s="18">
        <v>1</v>
      </c>
      <c r="L53" s="17">
        <v>3.04</v>
      </c>
      <c r="M53" s="17" t="s">
        <v>51</v>
      </c>
      <c r="N53" s="18">
        <v>0</v>
      </c>
      <c r="O53" s="17">
        <v>2.4300000000000002</v>
      </c>
      <c r="P53" s="17" t="s">
        <v>46</v>
      </c>
      <c r="Q53" s="18">
        <v>0</v>
      </c>
      <c r="R53" s="17">
        <v>3.11</v>
      </c>
      <c r="S53" s="17" t="s">
        <v>45</v>
      </c>
      <c r="T53" s="18">
        <v>0</v>
      </c>
      <c r="U53" s="13" t="s">
        <v>38</v>
      </c>
      <c r="V53" s="14">
        <f>AVERAGE(C53:C55,F53:F55)</f>
        <v>9.8699999999999992</v>
      </c>
    </row>
    <row r="54" spans="1:32" x14ac:dyDescent="0.2">
      <c r="A54" s="4"/>
      <c r="B54" s="19" t="s">
        <v>39</v>
      </c>
      <c r="C54" s="17">
        <v>16.96</v>
      </c>
      <c r="D54" s="17" t="s">
        <v>90</v>
      </c>
      <c r="E54" s="18">
        <v>2</v>
      </c>
      <c r="F54" s="17"/>
      <c r="G54" s="17"/>
      <c r="H54" s="18"/>
      <c r="I54" s="17">
        <v>4.18</v>
      </c>
      <c r="J54" s="17" t="s">
        <v>55</v>
      </c>
      <c r="K54" s="18">
        <v>0</v>
      </c>
      <c r="L54" s="17">
        <v>4.54</v>
      </c>
      <c r="M54" s="17" t="s">
        <v>56</v>
      </c>
      <c r="N54" s="18">
        <v>0</v>
      </c>
      <c r="O54" s="17">
        <v>2.41</v>
      </c>
      <c r="P54" s="17" t="s">
        <v>48</v>
      </c>
      <c r="Q54" s="18">
        <v>0</v>
      </c>
      <c r="R54" s="17">
        <v>2.4700000000000002</v>
      </c>
      <c r="S54" s="17" t="s">
        <v>49</v>
      </c>
      <c r="T54" s="18">
        <v>0</v>
      </c>
      <c r="U54" s="13" t="s">
        <v>40</v>
      </c>
      <c r="V54" s="14">
        <f>AVERAGE(L53:L55, I53:I55)</f>
        <v>6.41</v>
      </c>
    </row>
    <row r="55" spans="1:32" x14ac:dyDescent="0.2">
      <c r="A55" s="4"/>
      <c r="B55" s="20" t="s">
        <v>41</v>
      </c>
      <c r="C55" s="21">
        <v>6.9</v>
      </c>
      <c r="D55" s="21" t="s">
        <v>57</v>
      </c>
      <c r="E55" s="22">
        <v>0</v>
      </c>
      <c r="F55" s="21"/>
      <c r="G55" s="21"/>
      <c r="H55" s="22"/>
      <c r="I55" s="21">
        <v>4.6399999999999997</v>
      </c>
      <c r="J55" s="21" t="s">
        <v>89</v>
      </c>
      <c r="K55" s="22">
        <v>0</v>
      </c>
      <c r="L55" s="21">
        <v>3.11</v>
      </c>
      <c r="M55" s="21" t="s">
        <v>58</v>
      </c>
      <c r="N55" s="22">
        <v>0</v>
      </c>
      <c r="O55" s="21">
        <v>1.81</v>
      </c>
      <c r="P55" s="21" t="s">
        <v>45</v>
      </c>
      <c r="Q55" s="22">
        <v>0</v>
      </c>
      <c r="R55" s="21">
        <v>2.46</v>
      </c>
      <c r="S55" s="21" t="s">
        <v>46</v>
      </c>
      <c r="T55" s="22">
        <v>0</v>
      </c>
      <c r="U55" s="13" t="s">
        <v>42</v>
      </c>
      <c r="V55" s="14">
        <f>AVERAGE(R53:R55, O53:O55)</f>
        <v>2.4483333333333333</v>
      </c>
    </row>
    <row r="56" spans="1:32" x14ac:dyDescent="0.2">
      <c r="A56" s="37"/>
      <c r="B56" s="8"/>
      <c r="E56" s="38"/>
      <c r="F56" s="5"/>
      <c r="G56" s="5"/>
      <c r="H56" s="7"/>
      <c r="K56" s="38"/>
      <c r="N56" s="38"/>
      <c r="Q56" s="38"/>
      <c r="T56" s="38"/>
      <c r="V56" s="14"/>
    </row>
    <row r="57" spans="1:32" x14ac:dyDescent="0.2">
      <c r="A57" s="4" t="s">
        <v>30</v>
      </c>
      <c r="B57" s="5"/>
      <c r="C57" s="5"/>
      <c r="D57" s="6" t="s">
        <v>18</v>
      </c>
      <c r="E57" s="7"/>
      <c r="F57" s="5"/>
      <c r="G57" s="5"/>
      <c r="H57" s="7"/>
      <c r="I57" s="5"/>
      <c r="J57" s="5"/>
      <c r="K57" s="7"/>
      <c r="L57" s="5"/>
      <c r="M57" s="5"/>
      <c r="N57" s="7"/>
      <c r="O57" s="5"/>
      <c r="P57" s="5"/>
      <c r="Q57" s="7"/>
      <c r="R57" s="5"/>
      <c r="S57" s="5"/>
      <c r="T57" s="7"/>
      <c r="U57" s="8"/>
      <c r="V57" s="9"/>
      <c r="W57" s="8"/>
      <c r="X57" s="8"/>
      <c r="Y57" s="8"/>
      <c r="Z57" s="8"/>
      <c r="AA57" s="8"/>
      <c r="AB57" s="8"/>
      <c r="AC57" s="8"/>
      <c r="AD57" s="8"/>
      <c r="AE57" s="8"/>
      <c r="AF57" s="8"/>
    </row>
    <row r="58" spans="1:32" x14ac:dyDescent="0.2">
      <c r="A58" s="10"/>
      <c r="B58" s="11"/>
      <c r="C58" s="34" t="s">
        <v>31</v>
      </c>
      <c r="D58" s="34" t="s">
        <v>32</v>
      </c>
      <c r="E58" s="34" t="s">
        <v>33</v>
      </c>
      <c r="F58" s="34" t="s">
        <v>31</v>
      </c>
      <c r="G58" s="29" t="s">
        <v>32</v>
      </c>
      <c r="H58" s="29" t="s">
        <v>33</v>
      </c>
      <c r="I58" s="34" t="s">
        <v>31</v>
      </c>
      <c r="J58" s="34" t="s">
        <v>34</v>
      </c>
      <c r="K58" s="34" t="s">
        <v>33</v>
      </c>
      <c r="L58" s="34" t="s">
        <v>31</v>
      </c>
      <c r="M58" s="34" t="s">
        <v>34</v>
      </c>
      <c r="N58" s="34" t="s">
        <v>33</v>
      </c>
      <c r="O58" s="34" t="s">
        <v>31</v>
      </c>
      <c r="P58" s="34" t="s">
        <v>35</v>
      </c>
      <c r="Q58" s="34" t="s">
        <v>33</v>
      </c>
      <c r="R58" s="34" t="s">
        <v>31</v>
      </c>
      <c r="S58" s="34" t="s">
        <v>35</v>
      </c>
      <c r="T58" s="34" t="s">
        <v>33</v>
      </c>
      <c r="U58" s="13" t="s">
        <v>36</v>
      </c>
      <c r="V58" s="14">
        <f>SUM(E59:E61,H59:H61,K59:K61,N59:N61,Q59:Q61,T59:T61)</f>
        <v>6</v>
      </c>
      <c r="W58" s="15"/>
      <c r="X58" s="15"/>
      <c r="Y58" s="15"/>
      <c r="Z58" s="15"/>
      <c r="AA58" s="15"/>
      <c r="AB58" s="15"/>
      <c r="AC58" s="15"/>
      <c r="AD58" s="15"/>
      <c r="AE58" s="15"/>
      <c r="AF58" s="15"/>
    </row>
    <row r="59" spans="1:32" x14ac:dyDescent="0.2">
      <c r="A59" s="4"/>
      <c r="B59" s="16" t="s">
        <v>37</v>
      </c>
      <c r="C59" s="35">
        <v>25.24</v>
      </c>
      <c r="D59" s="35" t="s">
        <v>50</v>
      </c>
      <c r="E59" s="36">
        <v>0</v>
      </c>
      <c r="F59" s="35"/>
      <c r="G59" s="35"/>
      <c r="H59" s="36"/>
      <c r="I59" s="35">
        <v>6.45</v>
      </c>
      <c r="J59" s="35" t="s">
        <v>45</v>
      </c>
      <c r="K59" s="36">
        <v>0</v>
      </c>
      <c r="L59" s="35">
        <v>0</v>
      </c>
      <c r="M59" s="35">
        <v>0</v>
      </c>
      <c r="N59" s="36">
        <v>2</v>
      </c>
      <c r="O59" s="35">
        <v>12.21</v>
      </c>
      <c r="P59" s="35" t="s">
        <v>59</v>
      </c>
      <c r="Q59" s="36">
        <v>0</v>
      </c>
      <c r="R59" s="35">
        <v>3.24</v>
      </c>
      <c r="S59" s="35" t="s">
        <v>60</v>
      </c>
      <c r="T59" s="36">
        <v>0</v>
      </c>
      <c r="U59" s="13" t="s">
        <v>38</v>
      </c>
      <c r="V59" s="14">
        <f>AVERAGE(C59:C61,F59:F61)</f>
        <v>13.593333333333332</v>
      </c>
    </row>
    <row r="60" spans="1:32" x14ac:dyDescent="0.2">
      <c r="A60" s="4"/>
      <c r="B60" s="19" t="s">
        <v>39</v>
      </c>
      <c r="C60" s="17">
        <v>10.28</v>
      </c>
      <c r="D60" s="17" t="s">
        <v>90</v>
      </c>
      <c r="E60" s="18">
        <v>1</v>
      </c>
      <c r="F60" s="17"/>
      <c r="G60" s="17"/>
      <c r="H60" s="18"/>
      <c r="I60" s="17">
        <v>6.09</v>
      </c>
      <c r="J60" s="17" t="s">
        <v>94</v>
      </c>
      <c r="K60" s="18">
        <v>0</v>
      </c>
      <c r="L60" s="17">
        <v>4.4000000000000004</v>
      </c>
      <c r="M60" s="17" t="s">
        <v>44</v>
      </c>
      <c r="N60" s="18">
        <v>0</v>
      </c>
      <c r="O60" s="17">
        <v>3.81</v>
      </c>
      <c r="P60" s="17" t="s">
        <v>61</v>
      </c>
      <c r="Q60" s="18">
        <v>0</v>
      </c>
      <c r="R60" s="17">
        <v>3.17</v>
      </c>
      <c r="S60" s="17" t="s">
        <v>62</v>
      </c>
      <c r="T60" s="18">
        <v>0</v>
      </c>
      <c r="U60" s="13" t="s">
        <v>40</v>
      </c>
      <c r="V60" s="14">
        <f>AVERAGE(L59:L61, I59:I61)</f>
        <v>4.09</v>
      </c>
    </row>
    <row r="61" spans="1:32" x14ac:dyDescent="0.2">
      <c r="A61" s="4"/>
      <c r="B61" s="20" t="s">
        <v>41</v>
      </c>
      <c r="C61" s="21">
        <v>5.26</v>
      </c>
      <c r="D61" s="21" t="s">
        <v>63</v>
      </c>
      <c r="E61" s="22">
        <v>0</v>
      </c>
      <c r="F61" s="21"/>
      <c r="G61" s="21"/>
      <c r="H61" s="22"/>
      <c r="I61" s="21">
        <v>5.54</v>
      </c>
      <c r="J61" s="21" t="s">
        <v>91</v>
      </c>
      <c r="K61" s="22">
        <v>0</v>
      </c>
      <c r="L61" s="21">
        <v>2.06</v>
      </c>
      <c r="M61" s="21" t="s">
        <v>61</v>
      </c>
      <c r="N61" s="22">
        <v>1</v>
      </c>
      <c r="O61" s="21">
        <v>3.25</v>
      </c>
      <c r="P61" s="21" t="s">
        <v>48</v>
      </c>
      <c r="Q61" s="22">
        <v>1</v>
      </c>
      <c r="R61" s="21">
        <v>8.19</v>
      </c>
      <c r="S61" s="21" t="s">
        <v>64</v>
      </c>
      <c r="T61" s="22">
        <v>1</v>
      </c>
      <c r="U61" s="13" t="s">
        <v>42</v>
      </c>
      <c r="V61" s="14">
        <f>AVERAGE(R59:R61, O59:O61)</f>
        <v>5.6450000000000005</v>
      </c>
    </row>
    <row r="62" spans="1:32" x14ac:dyDescent="0.2">
      <c r="A62" s="37"/>
      <c r="B62" s="8"/>
      <c r="E62" s="38"/>
      <c r="K62" s="38"/>
      <c r="N62" s="38"/>
      <c r="Q62" s="38"/>
      <c r="T62" s="38"/>
      <c r="V62" s="14"/>
    </row>
    <row r="63" spans="1:32" x14ac:dyDescent="0.2">
      <c r="A63" s="37"/>
      <c r="B63" s="5"/>
      <c r="C63" s="5"/>
      <c r="D63" s="6" t="s">
        <v>19</v>
      </c>
      <c r="E63" s="7"/>
      <c r="I63" s="5"/>
      <c r="J63" s="5"/>
      <c r="K63" s="7"/>
      <c r="L63" s="5"/>
      <c r="M63" s="5"/>
      <c r="N63" s="7"/>
      <c r="O63" s="5"/>
      <c r="P63" s="5"/>
      <c r="Q63" s="7"/>
      <c r="R63" s="5"/>
      <c r="S63" s="5"/>
      <c r="T63" s="7"/>
      <c r="U63" s="8"/>
      <c r="V63" s="9"/>
    </row>
    <row r="64" spans="1:32" x14ac:dyDescent="0.2">
      <c r="A64" s="37"/>
      <c r="B64" s="11"/>
      <c r="C64" s="34" t="s">
        <v>31</v>
      </c>
      <c r="D64" s="34" t="s">
        <v>32</v>
      </c>
      <c r="E64" s="34" t="s">
        <v>33</v>
      </c>
      <c r="F64" s="34" t="s">
        <v>31</v>
      </c>
      <c r="G64" s="29" t="s">
        <v>32</v>
      </c>
      <c r="H64" s="29" t="s">
        <v>33</v>
      </c>
      <c r="I64" s="34" t="s">
        <v>31</v>
      </c>
      <c r="J64" s="34" t="s">
        <v>34</v>
      </c>
      <c r="K64" s="34" t="s">
        <v>33</v>
      </c>
      <c r="L64" s="34" t="s">
        <v>31</v>
      </c>
      <c r="M64" s="34" t="s">
        <v>34</v>
      </c>
      <c r="N64" s="34" t="s">
        <v>33</v>
      </c>
      <c r="O64" s="34" t="s">
        <v>31</v>
      </c>
      <c r="P64" s="34" t="s">
        <v>35</v>
      </c>
      <c r="Q64" s="34" t="s">
        <v>33</v>
      </c>
      <c r="R64" s="34" t="s">
        <v>31</v>
      </c>
      <c r="S64" s="34" t="s">
        <v>35</v>
      </c>
      <c r="T64" s="34" t="s">
        <v>33</v>
      </c>
      <c r="U64" s="13" t="s">
        <v>36</v>
      </c>
      <c r="V64" s="14">
        <f>SUM(E65:E67,H65:H67,K65:K67,N65:N67,Q65:Q67,T65:T67)</f>
        <v>3</v>
      </c>
    </row>
    <row r="65" spans="1:22" x14ac:dyDescent="0.2">
      <c r="A65" s="37"/>
      <c r="B65" s="16" t="s">
        <v>37</v>
      </c>
      <c r="C65" s="35">
        <v>7.74</v>
      </c>
      <c r="D65" s="35" t="s">
        <v>95</v>
      </c>
      <c r="E65" s="36">
        <v>0</v>
      </c>
      <c r="F65" s="35"/>
      <c r="G65" s="35"/>
      <c r="H65" s="36"/>
      <c r="I65" s="35">
        <v>4.9800000000000004</v>
      </c>
      <c r="J65" s="35" t="s">
        <v>92</v>
      </c>
      <c r="K65" s="36">
        <v>0</v>
      </c>
      <c r="L65" s="35">
        <v>5.12</v>
      </c>
      <c r="M65" s="35" t="s">
        <v>65</v>
      </c>
      <c r="N65" s="36">
        <v>0</v>
      </c>
      <c r="O65" s="35">
        <v>4.2</v>
      </c>
      <c r="P65" s="35" t="s">
        <v>66</v>
      </c>
      <c r="Q65" s="36">
        <v>0</v>
      </c>
      <c r="R65" s="35">
        <v>2.76</v>
      </c>
      <c r="S65" s="35" t="s">
        <v>45</v>
      </c>
      <c r="T65" s="36">
        <v>0</v>
      </c>
      <c r="U65" s="13" t="s">
        <v>38</v>
      </c>
      <c r="V65" s="14">
        <f>AVERAGE(C65:C67,F65:F67)</f>
        <v>9.0633333333333344</v>
      </c>
    </row>
    <row r="66" spans="1:22" x14ac:dyDescent="0.2">
      <c r="A66" s="37"/>
      <c r="B66" s="19" t="s">
        <v>39</v>
      </c>
      <c r="C66" s="17">
        <v>12.24</v>
      </c>
      <c r="D66" s="17" t="s">
        <v>67</v>
      </c>
      <c r="E66" s="18">
        <v>1</v>
      </c>
      <c r="F66" s="17"/>
      <c r="G66" s="17"/>
      <c r="H66" s="18"/>
      <c r="I66" s="17">
        <v>14.48</v>
      </c>
      <c r="J66" s="17" t="s">
        <v>44</v>
      </c>
      <c r="K66" s="18">
        <v>2</v>
      </c>
      <c r="L66" s="17">
        <v>8.67</v>
      </c>
      <c r="M66" s="17" t="s">
        <v>65</v>
      </c>
      <c r="N66" s="18">
        <v>0</v>
      </c>
      <c r="O66" s="17">
        <v>3.65</v>
      </c>
      <c r="P66" s="17" t="s">
        <v>45</v>
      </c>
      <c r="Q66" s="18">
        <v>0</v>
      </c>
      <c r="R66" s="17">
        <v>4.71</v>
      </c>
      <c r="S66" s="17" t="s">
        <v>66</v>
      </c>
      <c r="T66" s="18">
        <v>0</v>
      </c>
      <c r="U66" s="13" t="s">
        <v>40</v>
      </c>
      <c r="V66" s="14">
        <f>AVERAGE(L65:L67, I65:I67)</f>
        <v>7.3583333333333334</v>
      </c>
    </row>
    <row r="67" spans="1:22" x14ac:dyDescent="0.2">
      <c r="A67" s="37"/>
      <c r="B67" s="20" t="s">
        <v>41</v>
      </c>
      <c r="C67" s="21">
        <v>7.21</v>
      </c>
      <c r="D67" s="21" t="s">
        <v>90</v>
      </c>
      <c r="E67" s="22">
        <v>0</v>
      </c>
      <c r="F67" s="21"/>
      <c r="G67" s="21"/>
      <c r="H67" s="22"/>
      <c r="I67" s="21">
        <v>5.38</v>
      </c>
      <c r="J67" s="21" t="s">
        <v>96</v>
      </c>
      <c r="K67" s="22">
        <v>0</v>
      </c>
      <c r="L67" s="21">
        <v>5.52</v>
      </c>
      <c r="M67" s="21" t="s">
        <v>97</v>
      </c>
      <c r="N67" s="22">
        <v>0</v>
      </c>
      <c r="O67" s="21">
        <v>3.94</v>
      </c>
      <c r="P67" s="21" t="s">
        <v>68</v>
      </c>
      <c r="Q67" s="22">
        <v>0</v>
      </c>
      <c r="R67" s="21">
        <v>4.51</v>
      </c>
      <c r="S67" s="21" t="s">
        <v>69</v>
      </c>
      <c r="T67" s="22">
        <v>0</v>
      </c>
      <c r="U67" s="13" t="s">
        <v>42</v>
      </c>
      <c r="V67" s="14">
        <f>AVERAGE(R65:R67, O65:O67)</f>
        <v>3.9616666666666664</v>
      </c>
    </row>
    <row r="68" spans="1:22" x14ac:dyDescent="0.2">
      <c r="A68" s="37"/>
    </row>
    <row r="69" spans="1:22" x14ac:dyDescent="0.2">
      <c r="A69" s="37"/>
      <c r="B69" s="5"/>
      <c r="C69" s="5"/>
      <c r="D69" s="6" t="s">
        <v>20</v>
      </c>
      <c r="E69" s="7"/>
      <c r="F69" s="5"/>
      <c r="G69" s="5"/>
      <c r="H69" s="7"/>
      <c r="I69" s="5"/>
      <c r="J69" s="5"/>
      <c r="K69" s="7"/>
      <c r="L69" s="5"/>
      <c r="M69" s="5"/>
      <c r="N69" s="7"/>
      <c r="O69" s="5"/>
      <c r="P69" s="5"/>
      <c r="Q69" s="7"/>
      <c r="U69" s="8"/>
      <c r="V69" s="9"/>
    </row>
    <row r="70" spans="1:22" x14ac:dyDescent="0.2">
      <c r="A70" s="37"/>
      <c r="B70" s="11"/>
      <c r="C70" s="12" t="s">
        <v>31</v>
      </c>
      <c r="D70" s="12" t="s">
        <v>32</v>
      </c>
      <c r="E70" s="12" t="s">
        <v>33</v>
      </c>
      <c r="F70" s="12" t="s">
        <v>31</v>
      </c>
      <c r="G70" s="12" t="s">
        <v>32</v>
      </c>
      <c r="H70" s="12" t="s">
        <v>33</v>
      </c>
      <c r="I70" s="12" t="s">
        <v>31</v>
      </c>
      <c r="J70" s="12" t="s">
        <v>34</v>
      </c>
      <c r="K70" s="12" t="s">
        <v>33</v>
      </c>
      <c r="L70" s="12" t="s">
        <v>31</v>
      </c>
      <c r="M70" s="12" t="s">
        <v>34</v>
      </c>
      <c r="N70" s="12" t="s">
        <v>33</v>
      </c>
      <c r="O70" s="12" t="s">
        <v>31</v>
      </c>
      <c r="P70" s="12" t="s">
        <v>35</v>
      </c>
      <c r="Q70" s="12" t="s">
        <v>33</v>
      </c>
      <c r="R70" s="12" t="s">
        <v>31</v>
      </c>
      <c r="S70" s="12" t="s">
        <v>35</v>
      </c>
      <c r="T70" s="12" t="s">
        <v>33</v>
      </c>
      <c r="U70" s="13" t="s">
        <v>36</v>
      </c>
      <c r="V70" s="14">
        <f>SUM(E71:E73,H71:H73,K71:K73,N71:N73,Q71:Q73,T71:T73)</f>
        <v>13</v>
      </c>
    </row>
    <row r="71" spans="1:22" x14ac:dyDescent="0.2">
      <c r="A71" s="37"/>
      <c r="B71" s="16" t="s">
        <v>37</v>
      </c>
      <c r="C71" s="17">
        <v>16.53</v>
      </c>
      <c r="D71" s="17" t="s">
        <v>90</v>
      </c>
      <c r="E71" s="18">
        <v>1</v>
      </c>
      <c r="F71" s="17">
        <v>12.93</v>
      </c>
      <c r="G71" s="17" t="s">
        <v>50</v>
      </c>
      <c r="H71" s="18">
        <v>0</v>
      </c>
      <c r="I71" s="17">
        <v>5.13</v>
      </c>
      <c r="J71" s="17" t="s">
        <v>54</v>
      </c>
      <c r="K71" s="18">
        <v>1</v>
      </c>
      <c r="L71" s="17">
        <v>6.18</v>
      </c>
      <c r="M71" s="17" t="s">
        <v>70</v>
      </c>
      <c r="N71" s="18">
        <v>0</v>
      </c>
      <c r="O71" s="17">
        <v>8.6199999999999992</v>
      </c>
      <c r="P71" s="17" t="s">
        <v>68</v>
      </c>
      <c r="Q71" s="18">
        <v>2</v>
      </c>
      <c r="R71" s="17">
        <v>3.24</v>
      </c>
      <c r="S71" s="17" t="s">
        <v>48</v>
      </c>
      <c r="T71" s="18">
        <v>0</v>
      </c>
      <c r="U71" s="13" t="s">
        <v>38</v>
      </c>
      <c r="V71" s="14">
        <f>AVERAGE(C71:C73,F71:F73)</f>
        <v>14.37</v>
      </c>
    </row>
    <row r="72" spans="1:22" x14ac:dyDescent="0.2">
      <c r="A72" s="37"/>
      <c r="B72" s="19" t="s">
        <v>39</v>
      </c>
      <c r="C72" s="17">
        <v>18.3</v>
      </c>
      <c r="D72" s="17" t="s">
        <v>95</v>
      </c>
      <c r="E72" s="18">
        <v>0</v>
      </c>
      <c r="F72" s="17">
        <v>18.53</v>
      </c>
      <c r="G72" s="17" t="s">
        <v>43</v>
      </c>
      <c r="H72" s="18">
        <v>3</v>
      </c>
      <c r="I72" s="17">
        <v>5.35</v>
      </c>
      <c r="J72" s="17" t="s">
        <v>98</v>
      </c>
      <c r="K72" s="18">
        <v>0</v>
      </c>
      <c r="L72" s="17">
        <v>15.63</v>
      </c>
      <c r="M72" s="17" t="s">
        <v>55</v>
      </c>
      <c r="N72" s="18">
        <v>2</v>
      </c>
      <c r="O72" s="17">
        <v>4.1399999999999997</v>
      </c>
      <c r="P72" s="17" t="s">
        <v>66</v>
      </c>
      <c r="Q72" s="18">
        <v>0</v>
      </c>
      <c r="R72" s="17">
        <v>3.09</v>
      </c>
      <c r="S72" s="17" t="s">
        <v>71</v>
      </c>
      <c r="T72" s="18">
        <v>0</v>
      </c>
      <c r="U72" s="13" t="s">
        <v>40</v>
      </c>
      <c r="V72" s="14">
        <f>AVERAGE(L71:L73, I71:I73)</f>
        <v>8.3783333333333339</v>
      </c>
    </row>
    <row r="73" spans="1:22" x14ac:dyDescent="0.2">
      <c r="A73" s="37"/>
      <c r="B73" s="20" t="s">
        <v>41</v>
      </c>
      <c r="C73" s="21">
        <v>5.79</v>
      </c>
      <c r="D73" s="21" t="s">
        <v>99</v>
      </c>
      <c r="E73" s="22">
        <v>0</v>
      </c>
      <c r="F73" s="21">
        <v>14.14</v>
      </c>
      <c r="G73" s="21" t="s">
        <v>50</v>
      </c>
      <c r="H73" s="22">
        <v>2</v>
      </c>
      <c r="I73" s="21">
        <v>8.86</v>
      </c>
      <c r="J73" s="21" t="s">
        <v>54</v>
      </c>
      <c r="K73" s="22">
        <v>1</v>
      </c>
      <c r="L73" s="21">
        <v>9.1199999999999992</v>
      </c>
      <c r="M73" s="21" t="s">
        <v>98</v>
      </c>
      <c r="N73" s="22">
        <v>0</v>
      </c>
      <c r="O73" s="21">
        <v>5.17</v>
      </c>
      <c r="P73" s="21" t="s">
        <v>68</v>
      </c>
      <c r="Q73" s="22">
        <v>1</v>
      </c>
      <c r="R73" s="21">
        <v>5.67</v>
      </c>
      <c r="S73" s="21" t="s">
        <v>48</v>
      </c>
      <c r="T73" s="22">
        <v>0</v>
      </c>
      <c r="U73" s="13" t="s">
        <v>42</v>
      </c>
      <c r="V73" s="14">
        <f>AVERAGE(R71:R73, O71:O73)</f>
        <v>4.9883333333333333</v>
      </c>
    </row>
    <row r="74" spans="1:22" x14ac:dyDescent="0.2">
      <c r="A74" s="37"/>
      <c r="B74" s="8"/>
      <c r="E74" s="38"/>
      <c r="H74" s="38"/>
      <c r="K74" s="38"/>
      <c r="N74" s="38"/>
      <c r="Q74" s="38"/>
      <c r="V74" s="14"/>
    </row>
    <row r="75" spans="1:22" x14ac:dyDescent="0.2">
      <c r="A75" s="37"/>
      <c r="B75" s="5"/>
      <c r="C75" s="5"/>
      <c r="D75" s="6" t="s">
        <v>22</v>
      </c>
      <c r="E75" s="7"/>
      <c r="F75" s="5"/>
      <c r="G75" s="5"/>
      <c r="H75" s="7"/>
      <c r="I75" s="5"/>
      <c r="J75" s="5"/>
      <c r="K75" s="7"/>
      <c r="L75" s="5"/>
      <c r="M75" s="5"/>
      <c r="N75" s="7"/>
      <c r="O75" s="5"/>
      <c r="P75" s="5"/>
      <c r="Q75" s="7"/>
      <c r="U75" s="8"/>
      <c r="V75" s="9"/>
    </row>
    <row r="76" spans="1:22" x14ac:dyDescent="0.2">
      <c r="A76" s="37"/>
      <c r="B76" s="11"/>
      <c r="C76" s="12" t="s">
        <v>31</v>
      </c>
      <c r="D76" s="12" t="s">
        <v>32</v>
      </c>
      <c r="E76" s="12" t="s">
        <v>33</v>
      </c>
      <c r="F76" s="12" t="s">
        <v>31</v>
      </c>
      <c r="G76" s="12" t="s">
        <v>32</v>
      </c>
      <c r="H76" s="12" t="s">
        <v>33</v>
      </c>
      <c r="I76" s="12" t="s">
        <v>31</v>
      </c>
      <c r="J76" s="12" t="s">
        <v>34</v>
      </c>
      <c r="K76" s="12" t="s">
        <v>33</v>
      </c>
      <c r="L76" s="12" t="s">
        <v>31</v>
      </c>
      <c r="M76" s="12" t="s">
        <v>34</v>
      </c>
      <c r="N76" s="12" t="s">
        <v>33</v>
      </c>
      <c r="O76" s="12" t="s">
        <v>31</v>
      </c>
      <c r="P76" s="12" t="s">
        <v>35</v>
      </c>
      <c r="Q76" s="12" t="s">
        <v>33</v>
      </c>
      <c r="R76" s="12" t="s">
        <v>31</v>
      </c>
      <c r="S76" s="12" t="s">
        <v>35</v>
      </c>
      <c r="T76" s="12" t="s">
        <v>33</v>
      </c>
      <c r="U76" s="13" t="s">
        <v>36</v>
      </c>
      <c r="V76" s="14">
        <f>SUM(E77:E79,H77:H79,K77:K79,N77:N79,Q77:Q79,T77:T79)</f>
        <v>3</v>
      </c>
    </row>
    <row r="77" spans="1:22" x14ac:dyDescent="0.2">
      <c r="A77" s="37"/>
      <c r="B77" s="16" t="s">
        <v>37</v>
      </c>
      <c r="C77" s="17">
        <v>6.93</v>
      </c>
      <c r="D77" s="17" t="s">
        <v>72</v>
      </c>
      <c r="E77" s="18">
        <v>0</v>
      </c>
      <c r="F77" s="17">
        <v>11.15</v>
      </c>
      <c r="G77" s="17" t="s">
        <v>52</v>
      </c>
      <c r="H77" s="18">
        <v>0</v>
      </c>
      <c r="I77" s="17">
        <v>6.3</v>
      </c>
      <c r="J77" s="17" t="s">
        <v>89</v>
      </c>
      <c r="K77" s="18">
        <v>0</v>
      </c>
      <c r="L77" s="17">
        <v>3.73</v>
      </c>
      <c r="M77" s="17" t="s">
        <v>56</v>
      </c>
      <c r="N77" s="18">
        <v>0</v>
      </c>
      <c r="O77" s="17">
        <v>4.68</v>
      </c>
      <c r="P77" s="17" t="s">
        <v>68</v>
      </c>
      <c r="Q77" s="18">
        <v>1</v>
      </c>
      <c r="R77" s="17">
        <v>2.98</v>
      </c>
      <c r="S77" s="17" t="s">
        <v>45</v>
      </c>
      <c r="T77" s="18">
        <v>0</v>
      </c>
      <c r="U77" s="13" t="s">
        <v>38</v>
      </c>
      <c r="V77" s="14">
        <f>AVERAGE(C77:C79,F77:F79)</f>
        <v>6.4849999999999994</v>
      </c>
    </row>
    <row r="78" spans="1:22" x14ac:dyDescent="0.2">
      <c r="A78" s="37"/>
      <c r="B78" s="19" t="s">
        <v>39</v>
      </c>
      <c r="C78" s="17">
        <v>3.04</v>
      </c>
      <c r="D78" s="17" t="s">
        <v>43</v>
      </c>
      <c r="E78" s="18">
        <v>0</v>
      </c>
      <c r="F78" s="17">
        <v>9.09</v>
      </c>
      <c r="G78" s="17" t="s">
        <v>90</v>
      </c>
      <c r="H78" s="18">
        <v>1</v>
      </c>
      <c r="I78" s="17">
        <v>3.55</v>
      </c>
      <c r="J78" s="17" t="s">
        <v>54</v>
      </c>
      <c r="K78" s="18">
        <v>0</v>
      </c>
      <c r="L78" s="17">
        <v>4.1399999999999997</v>
      </c>
      <c r="M78" s="17" t="s">
        <v>100</v>
      </c>
      <c r="N78" s="18">
        <v>0</v>
      </c>
      <c r="O78" s="17">
        <v>3.6</v>
      </c>
      <c r="P78" s="17" t="s">
        <v>68</v>
      </c>
      <c r="Q78" s="18">
        <v>0</v>
      </c>
      <c r="R78" s="17">
        <v>1.78</v>
      </c>
      <c r="S78" s="17" t="s">
        <v>69</v>
      </c>
      <c r="T78" s="18">
        <v>0</v>
      </c>
      <c r="U78" s="13" t="s">
        <v>40</v>
      </c>
      <c r="V78" s="14">
        <f>AVERAGE(L77:L79, I77:I79)</f>
        <v>4.7866666666666662</v>
      </c>
    </row>
    <row r="79" spans="1:22" x14ac:dyDescent="0.2">
      <c r="A79" s="37"/>
      <c r="B79" s="20" t="s">
        <v>41</v>
      </c>
      <c r="C79" s="21">
        <v>3.98</v>
      </c>
      <c r="D79" s="21" t="s">
        <v>73</v>
      </c>
      <c r="E79" s="22">
        <v>0</v>
      </c>
      <c r="F79" s="21">
        <v>4.72</v>
      </c>
      <c r="G79" s="21" t="s">
        <v>101</v>
      </c>
      <c r="H79" s="22">
        <v>0</v>
      </c>
      <c r="I79" s="21">
        <v>6.01</v>
      </c>
      <c r="J79" s="21" t="s">
        <v>58</v>
      </c>
      <c r="K79" s="22">
        <v>1</v>
      </c>
      <c r="L79" s="21">
        <v>4.99</v>
      </c>
      <c r="M79" s="21" t="s">
        <v>102</v>
      </c>
      <c r="N79" s="22">
        <v>0</v>
      </c>
      <c r="O79" s="21">
        <v>2.0299999999999998</v>
      </c>
      <c r="P79" s="21" t="s">
        <v>74</v>
      </c>
      <c r="Q79" s="22">
        <v>0</v>
      </c>
      <c r="R79" s="21">
        <v>3.54</v>
      </c>
      <c r="S79" s="21" t="s">
        <v>66</v>
      </c>
      <c r="T79" s="22">
        <v>0</v>
      </c>
      <c r="U79" s="13" t="s">
        <v>42</v>
      </c>
      <c r="V79" s="14">
        <f>AVERAGE(R77:R79, O77:O79)</f>
        <v>3.101666666666667</v>
      </c>
    </row>
    <row r="80" spans="1:22" x14ac:dyDescent="0.2">
      <c r="A80" s="37"/>
      <c r="B80" s="8"/>
      <c r="E80" s="38"/>
      <c r="H80" s="38"/>
      <c r="K80" s="38"/>
      <c r="N80" s="38"/>
      <c r="Q80" s="38"/>
      <c r="V80" s="14"/>
    </row>
    <row r="81" spans="1:22" x14ac:dyDescent="0.2">
      <c r="A81" s="37"/>
      <c r="B81" s="5"/>
      <c r="C81" s="5"/>
      <c r="D81" s="6" t="s">
        <v>23</v>
      </c>
      <c r="E81" s="7"/>
      <c r="F81" s="5"/>
      <c r="G81" s="5"/>
      <c r="H81" s="7"/>
      <c r="I81" s="5"/>
      <c r="J81" s="5"/>
      <c r="K81" s="7"/>
      <c r="L81" s="5"/>
      <c r="M81" s="5"/>
      <c r="N81" s="7"/>
      <c r="O81" s="5"/>
      <c r="P81" s="5"/>
      <c r="Q81" s="7"/>
      <c r="U81" s="8"/>
      <c r="V81" s="9"/>
    </row>
    <row r="82" spans="1:22" x14ac:dyDescent="0.2">
      <c r="A82" s="37"/>
      <c r="B82" s="11"/>
      <c r="C82" s="12" t="s">
        <v>31</v>
      </c>
      <c r="D82" s="12" t="s">
        <v>32</v>
      </c>
      <c r="E82" s="12" t="s">
        <v>33</v>
      </c>
      <c r="F82" s="12" t="s">
        <v>31</v>
      </c>
      <c r="G82" s="12" t="s">
        <v>32</v>
      </c>
      <c r="H82" s="12" t="s">
        <v>33</v>
      </c>
      <c r="I82" s="12" t="s">
        <v>31</v>
      </c>
      <c r="J82" s="12" t="s">
        <v>34</v>
      </c>
      <c r="K82" s="12" t="s">
        <v>33</v>
      </c>
      <c r="L82" s="12" t="s">
        <v>31</v>
      </c>
      <c r="M82" s="12" t="s">
        <v>34</v>
      </c>
      <c r="N82" s="12" t="s">
        <v>33</v>
      </c>
      <c r="O82" s="12" t="s">
        <v>31</v>
      </c>
      <c r="P82" s="12" t="s">
        <v>35</v>
      </c>
      <c r="Q82" s="12" t="s">
        <v>33</v>
      </c>
      <c r="R82" s="12" t="s">
        <v>31</v>
      </c>
      <c r="S82" s="12" t="s">
        <v>35</v>
      </c>
      <c r="T82" s="12" t="s">
        <v>33</v>
      </c>
      <c r="U82" s="13" t="s">
        <v>36</v>
      </c>
      <c r="V82" s="14">
        <f>SUM(E83:E85,H83:H85,K83:K85,N83:N85,Q83:Q85,T83:T85)</f>
        <v>4</v>
      </c>
    </row>
    <row r="83" spans="1:22" x14ac:dyDescent="0.2">
      <c r="A83" s="37"/>
      <c r="B83" s="16" t="s">
        <v>37</v>
      </c>
      <c r="C83" s="17">
        <v>23.44</v>
      </c>
      <c r="D83" s="17" t="s">
        <v>75</v>
      </c>
      <c r="E83" s="18">
        <v>1</v>
      </c>
      <c r="F83" s="17">
        <v>8.4</v>
      </c>
      <c r="G83" s="17" t="s">
        <v>90</v>
      </c>
      <c r="H83" s="18">
        <v>0</v>
      </c>
      <c r="I83" s="17">
        <v>3.4</v>
      </c>
      <c r="J83" s="17" t="s">
        <v>97</v>
      </c>
      <c r="K83" s="18">
        <v>0</v>
      </c>
      <c r="L83" s="17">
        <v>3.32</v>
      </c>
      <c r="M83" s="17" t="s">
        <v>56</v>
      </c>
      <c r="N83" s="18">
        <v>0</v>
      </c>
      <c r="O83" s="17">
        <v>3.29</v>
      </c>
      <c r="P83" s="17" t="s">
        <v>74</v>
      </c>
      <c r="Q83" s="18">
        <v>0</v>
      </c>
      <c r="R83" s="17">
        <v>1.78</v>
      </c>
      <c r="S83" s="17" t="s">
        <v>45</v>
      </c>
      <c r="T83" s="18">
        <v>0</v>
      </c>
      <c r="U83" s="13" t="s">
        <v>38</v>
      </c>
      <c r="V83" s="14">
        <f>AVERAGE(C83:C85,F83:F85)</f>
        <v>8.8133333333333326</v>
      </c>
    </row>
    <row r="84" spans="1:22" x14ac:dyDescent="0.2">
      <c r="A84" s="37"/>
      <c r="B84" s="19" t="s">
        <v>39</v>
      </c>
      <c r="C84" s="17">
        <v>8.0500000000000007</v>
      </c>
      <c r="D84" s="17" t="s">
        <v>72</v>
      </c>
      <c r="E84" s="18">
        <v>0</v>
      </c>
      <c r="F84" s="17">
        <v>3.79</v>
      </c>
      <c r="G84" s="17" t="s">
        <v>101</v>
      </c>
      <c r="H84" s="18">
        <v>0</v>
      </c>
      <c r="I84" s="17">
        <v>3.85</v>
      </c>
      <c r="J84" s="17" t="s">
        <v>89</v>
      </c>
      <c r="K84" s="18">
        <v>0</v>
      </c>
      <c r="L84" s="17">
        <v>4.7</v>
      </c>
      <c r="M84" s="17" t="s">
        <v>103</v>
      </c>
      <c r="N84" s="18">
        <v>1</v>
      </c>
      <c r="O84" s="17">
        <v>3.03</v>
      </c>
      <c r="P84" s="17" t="s">
        <v>66</v>
      </c>
      <c r="Q84" s="18">
        <v>0</v>
      </c>
      <c r="R84" s="17">
        <v>6.34</v>
      </c>
      <c r="S84" s="17" t="s">
        <v>69</v>
      </c>
      <c r="T84" s="18">
        <v>2</v>
      </c>
      <c r="U84" s="13" t="s">
        <v>40</v>
      </c>
      <c r="V84" s="14">
        <f>AVERAGE(L83:L85, I83:I85)</f>
        <v>3.9833333333333329</v>
      </c>
    </row>
    <row r="85" spans="1:22" x14ac:dyDescent="0.2">
      <c r="A85" s="37"/>
      <c r="B85" s="20" t="s">
        <v>41</v>
      </c>
      <c r="C85" s="21">
        <v>3.62</v>
      </c>
      <c r="D85" s="21" t="s">
        <v>104</v>
      </c>
      <c r="E85" s="22">
        <v>0</v>
      </c>
      <c r="F85" s="21">
        <v>5.58</v>
      </c>
      <c r="G85" s="21" t="s">
        <v>67</v>
      </c>
      <c r="H85" s="22">
        <v>0</v>
      </c>
      <c r="I85" s="21">
        <v>5.75</v>
      </c>
      <c r="J85" s="21" t="s">
        <v>96</v>
      </c>
      <c r="K85" s="22">
        <v>0</v>
      </c>
      <c r="L85" s="21">
        <v>2.88</v>
      </c>
      <c r="M85" s="21" t="s">
        <v>102</v>
      </c>
      <c r="N85" s="22">
        <v>0</v>
      </c>
      <c r="O85" s="21">
        <v>3.37</v>
      </c>
      <c r="P85" s="21" t="s">
        <v>68</v>
      </c>
      <c r="Q85" s="22">
        <v>0</v>
      </c>
      <c r="R85" s="21">
        <v>2.57</v>
      </c>
      <c r="S85" s="21" t="s">
        <v>76</v>
      </c>
      <c r="T85" s="22">
        <v>0</v>
      </c>
      <c r="U85" s="13" t="s">
        <v>42</v>
      </c>
      <c r="V85" s="14">
        <f>AVERAGE(R83:R85, O83:O85)</f>
        <v>3.3966666666666669</v>
      </c>
    </row>
    <row r="86" spans="1:22" x14ac:dyDescent="0.2">
      <c r="A86" s="37"/>
      <c r="B86" s="8"/>
      <c r="E86" s="38"/>
      <c r="H86" s="38"/>
      <c r="K86" s="38"/>
      <c r="N86" s="38"/>
      <c r="Q86" s="38"/>
      <c r="V86" s="14"/>
    </row>
    <row r="87" spans="1:22" x14ac:dyDescent="0.2">
      <c r="A87" s="37"/>
      <c r="B87" s="5"/>
      <c r="C87" s="5"/>
      <c r="D87" s="6" t="s">
        <v>24</v>
      </c>
      <c r="E87" s="7"/>
      <c r="F87" s="5"/>
      <c r="G87" s="5"/>
      <c r="H87" s="7"/>
      <c r="I87" s="5"/>
      <c r="J87" s="5"/>
      <c r="K87" s="7"/>
      <c r="L87" s="5"/>
      <c r="M87" s="5"/>
      <c r="N87" s="7"/>
      <c r="O87" s="5"/>
      <c r="P87" s="5"/>
      <c r="Q87" s="7"/>
      <c r="U87" s="8"/>
      <c r="V87" s="9"/>
    </row>
    <row r="88" spans="1:22" x14ac:dyDescent="0.2">
      <c r="A88" s="37"/>
      <c r="B88" s="11"/>
      <c r="C88" s="12" t="s">
        <v>31</v>
      </c>
      <c r="D88" s="12" t="s">
        <v>32</v>
      </c>
      <c r="E88" s="12" t="s">
        <v>33</v>
      </c>
      <c r="F88" s="12" t="s">
        <v>31</v>
      </c>
      <c r="G88" s="12" t="s">
        <v>32</v>
      </c>
      <c r="H88" s="12" t="s">
        <v>33</v>
      </c>
      <c r="I88" s="12" t="s">
        <v>31</v>
      </c>
      <c r="J88" s="12" t="s">
        <v>34</v>
      </c>
      <c r="K88" s="12" t="s">
        <v>33</v>
      </c>
      <c r="L88" s="12" t="s">
        <v>31</v>
      </c>
      <c r="M88" s="12" t="s">
        <v>34</v>
      </c>
      <c r="N88" s="12" t="s">
        <v>33</v>
      </c>
      <c r="O88" s="12" t="s">
        <v>31</v>
      </c>
      <c r="P88" s="12" t="s">
        <v>35</v>
      </c>
      <c r="Q88" s="12" t="s">
        <v>33</v>
      </c>
      <c r="R88" s="12" t="s">
        <v>31</v>
      </c>
      <c r="S88" s="12" t="s">
        <v>35</v>
      </c>
      <c r="T88" s="12" t="s">
        <v>33</v>
      </c>
      <c r="U88" s="13" t="s">
        <v>36</v>
      </c>
      <c r="V88" s="14">
        <f>SUM(E89:E91,H89:H91,K89:K91,N89:N91,Q89:Q91,T89:T91)</f>
        <v>5</v>
      </c>
    </row>
    <row r="89" spans="1:22" x14ac:dyDescent="0.2">
      <c r="A89" s="37"/>
      <c r="B89" s="16" t="s">
        <v>37</v>
      </c>
      <c r="C89" s="17">
        <v>11.7</v>
      </c>
      <c r="D89" s="17" t="s">
        <v>67</v>
      </c>
      <c r="E89" s="18">
        <v>1</v>
      </c>
      <c r="F89" s="17">
        <v>5.2</v>
      </c>
      <c r="G89" s="17" t="s">
        <v>90</v>
      </c>
      <c r="H89" s="18">
        <v>0</v>
      </c>
      <c r="I89" s="17">
        <v>6.79</v>
      </c>
      <c r="J89" s="17" t="s">
        <v>105</v>
      </c>
      <c r="K89" s="18">
        <v>0</v>
      </c>
      <c r="L89" s="17">
        <v>3.79</v>
      </c>
      <c r="M89" s="17" t="s">
        <v>58</v>
      </c>
      <c r="N89" s="18">
        <v>0</v>
      </c>
      <c r="O89" s="17">
        <v>2.86</v>
      </c>
      <c r="P89" s="17" t="s">
        <v>68</v>
      </c>
      <c r="Q89" s="18">
        <v>1</v>
      </c>
      <c r="R89" s="17">
        <v>6.02</v>
      </c>
      <c r="S89" s="17" t="s">
        <v>69</v>
      </c>
      <c r="T89" s="18">
        <v>2</v>
      </c>
      <c r="U89" s="13" t="s">
        <v>38</v>
      </c>
      <c r="V89" s="14">
        <f>AVERAGE(C89:C91,F89:F91)</f>
        <v>6.7633333333333328</v>
      </c>
    </row>
    <row r="90" spans="1:22" x14ac:dyDescent="0.2">
      <c r="A90" s="37"/>
      <c r="B90" s="19" t="s">
        <v>39</v>
      </c>
      <c r="C90" s="17">
        <v>4.43</v>
      </c>
      <c r="D90" s="17" t="s">
        <v>106</v>
      </c>
      <c r="E90" s="18">
        <v>0</v>
      </c>
      <c r="F90" s="17">
        <v>5.33</v>
      </c>
      <c r="G90" s="17" t="s">
        <v>67</v>
      </c>
      <c r="H90" s="18">
        <v>0</v>
      </c>
      <c r="I90" s="17">
        <v>3.01</v>
      </c>
      <c r="J90" s="17" t="s">
        <v>103</v>
      </c>
      <c r="K90" s="18">
        <v>0</v>
      </c>
      <c r="L90" s="17">
        <v>4.8499999999999996</v>
      </c>
      <c r="M90" s="17" t="s">
        <v>107</v>
      </c>
      <c r="N90" s="18">
        <v>0</v>
      </c>
      <c r="O90" s="17">
        <v>8.02</v>
      </c>
      <c r="P90" s="17" t="s">
        <v>77</v>
      </c>
      <c r="Q90" s="18">
        <v>1</v>
      </c>
      <c r="R90" s="17">
        <v>2.92</v>
      </c>
      <c r="S90" s="17" t="s">
        <v>66</v>
      </c>
      <c r="T90" s="18">
        <v>0</v>
      </c>
      <c r="U90" s="13" t="s">
        <v>40</v>
      </c>
      <c r="V90" s="14">
        <f>AVERAGE(L89:L91, I89:I91)</f>
        <v>5.333333333333333</v>
      </c>
    </row>
    <row r="91" spans="1:22" x14ac:dyDescent="0.2">
      <c r="A91" s="37"/>
      <c r="B91" s="20" t="s">
        <v>41</v>
      </c>
      <c r="C91" s="21">
        <v>3.9</v>
      </c>
      <c r="D91" s="21" t="s">
        <v>95</v>
      </c>
      <c r="E91" s="22">
        <v>0</v>
      </c>
      <c r="F91" s="21">
        <v>10.02</v>
      </c>
      <c r="G91" s="21" t="s">
        <v>72</v>
      </c>
      <c r="H91" s="22">
        <v>0</v>
      </c>
      <c r="I91" s="21">
        <v>7.95</v>
      </c>
      <c r="J91" s="21" t="s">
        <v>51</v>
      </c>
      <c r="K91" s="22">
        <v>0</v>
      </c>
      <c r="L91" s="21">
        <v>5.61</v>
      </c>
      <c r="M91" s="21" t="s">
        <v>92</v>
      </c>
      <c r="N91" s="22">
        <v>0</v>
      </c>
      <c r="O91" s="21">
        <v>2.23</v>
      </c>
      <c r="P91" s="21" t="s">
        <v>45</v>
      </c>
      <c r="Q91" s="22">
        <v>0</v>
      </c>
      <c r="R91" s="21">
        <v>3.02</v>
      </c>
      <c r="S91" s="21" t="s">
        <v>68</v>
      </c>
      <c r="T91" s="22">
        <v>0</v>
      </c>
      <c r="U91" s="13" t="s">
        <v>42</v>
      </c>
      <c r="V91" s="14">
        <f>AVERAGE(R89:R91, O89:O91)</f>
        <v>4.1783333333333328</v>
      </c>
    </row>
    <row r="92" spans="1:22" x14ac:dyDescent="0.2">
      <c r="A92" s="37"/>
      <c r="B92" s="8"/>
      <c r="E92" s="38"/>
      <c r="H92" s="38"/>
      <c r="K92" s="38"/>
      <c r="N92" s="38"/>
      <c r="Q92" s="38"/>
      <c r="S92" s="14"/>
    </row>
    <row r="93" spans="1:22" x14ac:dyDescent="0.2">
      <c r="A93" s="37"/>
      <c r="B93" s="5"/>
      <c r="C93" s="5"/>
      <c r="D93" s="6" t="s">
        <v>25</v>
      </c>
      <c r="E93" s="7"/>
      <c r="F93" s="5"/>
      <c r="G93" s="5"/>
      <c r="H93" s="7"/>
      <c r="I93" s="5"/>
      <c r="J93" s="5"/>
      <c r="K93" s="7"/>
      <c r="L93" s="5"/>
      <c r="M93" s="5"/>
      <c r="N93" s="7"/>
      <c r="O93" s="5"/>
      <c r="P93" s="5"/>
      <c r="Q93" s="7"/>
      <c r="R93" s="8"/>
      <c r="S93" s="9"/>
      <c r="T93" s="8"/>
      <c r="U93" s="8"/>
      <c r="V93" s="8"/>
    </row>
    <row r="94" spans="1:22" x14ac:dyDescent="0.2">
      <c r="A94" s="37"/>
      <c r="B94" s="11"/>
      <c r="C94" s="12" t="s">
        <v>31</v>
      </c>
      <c r="D94" s="12" t="s">
        <v>32</v>
      </c>
      <c r="E94" s="12" t="s">
        <v>33</v>
      </c>
      <c r="F94" s="12" t="s">
        <v>31</v>
      </c>
      <c r="G94" s="12" t="s">
        <v>32</v>
      </c>
      <c r="H94" s="12" t="s">
        <v>33</v>
      </c>
      <c r="I94" s="12" t="s">
        <v>31</v>
      </c>
      <c r="J94" s="12" t="s">
        <v>34</v>
      </c>
      <c r="K94" s="12" t="s">
        <v>33</v>
      </c>
      <c r="L94" s="12" t="s">
        <v>31</v>
      </c>
      <c r="M94" s="12" t="s">
        <v>34</v>
      </c>
      <c r="N94" s="12" t="s">
        <v>33</v>
      </c>
      <c r="O94" s="12" t="s">
        <v>31</v>
      </c>
      <c r="P94" s="12" t="s">
        <v>35</v>
      </c>
      <c r="Q94" s="12" t="s">
        <v>33</v>
      </c>
      <c r="R94" s="12" t="s">
        <v>31</v>
      </c>
      <c r="S94" s="12" t="s">
        <v>35</v>
      </c>
      <c r="T94" s="12" t="s">
        <v>33</v>
      </c>
      <c r="U94" s="13" t="s">
        <v>36</v>
      </c>
      <c r="V94" s="14">
        <f>SUM(E95:E97,H95:H97,K95:K97,N95:N97,Q95:Q97,T95:T97)</f>
        <v>6</v>
      </c>
    </row>
    <row r="95" spans="1:22" x14ac:dyDescent="0.2">
      <c r="A95" s="37"/>
      <c r="B95" s="16" t="s">
        <v>37</v>
      </c>
      <c r="C95" s="17">
        <v>5.37</v>
      </c>
      <c r="D95" s="17" t="s">
        <v>90</v>
      </c>
      <c r="E95" s="18">
        <v>0</v>
      </c>
      <c r="F95" s="17">
        <v>4.05</v>
      </c>
      <c r="G95" s="17" t="s">
        <v>75</v>
      </c>
      <c r="H95" s="18">
        <v>0</v>
      </c>
      <c r="I95" s="17">
        <v>5.43</v>
      </c>
      <c r="J95" s="17" t="s">
        <v>78</v>
      </c>
      <c r="K95" s="18">
        <v>0</v>
      </c>
      <c r="L95" s="17">
        <v>3.21</v>
      </c>
      <c r="M95" s="17" t="s">
        <v>108</v>
      </c>
      <c r="N95" s="18">
        <v>0</v>
      </c>
      <c r="O95" s="17">
        <v>13.4</v>
      </c>
      <c r="P95" s="17" t="s">
        <v>45</v>
      </c>
      <c r="Q95" s="18">
        <v>1</v>
      </c>
      <c r="R95" s="17">
        <v>2.69</v>
      </c>
      <c r="S95" s="17" t="s">
        <v>71</v>
      </c>
      <c r="T95" s="18">
        <v>0</v>
      </c>
      <c r="U95" s="13" t="s">
        <v>38</v>
      </c>
      <c r="V95" s="14">
        <f>AVERAGE(C95:C97,F95:F97)</f>
        <v>5.3816666666666668</v>
      </c>
    </row>
    <row r="96" spans="1:22" x14ac:dyDescent="0.2">
      <c r="A96" s="37"/>
      <c r="B96" s="19" t="s">
        <v>39</v>
      </c>
      <c r="C96" s="17">
        <v>4.46</v>
      </c>
      <c r="D96" s="17" t="s">
        <v>72</v>
      </c>
      <c r="E96" s="18">
        <v>0</v>
      </c>
      <c r="F96" s="17">
        <v>6.31</v>
      </c>
      <c r="G96" s="17" t="s">
        <v>104</v>
      </c>
      <c r="H96" s="18">
        <v>0</v>
      </c>
      <c r="I96" s="17">
        <v>3.6</v>
      </c>
      <c r="J96" s="17" t="s">
        <v>92</v>
      </c>
      <c r="K96" s="18">
        <v>0</v>
      </c>
      <c r="L96" s="17">
        <v>8.1300000000000008</v>
      </c>
      <c r="M96" s="17" t="s">
        <v>47</v>
      </c>
      <c r="N96" s="18">
        <v>1</v>
      </c>
      <c r="O96" s="17">
        <v>6.08</v>
      </c>
      <c r="P96" s="17" t="s">
        <v>45</v>
      </c>
      <c r="Q96" s="18">
        <v>1</v>
      </c>
      <c r="R96" s="17">
        <v>5.17</v>
      </c>
      <c r="S96" s="17" t="s">
        <v>66</v>
      </c>
      <c r="T96" s="18">
        <v>0</v>
      </c>
      <c r="U96" s="13" t="s">
        <v>40</v>
      </c>
      <c r="V96" s="14">
        <f>AVERAGE(L95:L97, I95:I97)</f>
        <v>7.0133333333333328</v>
      </c>
    </row>
    <row r="97" spans="1:22" x14ac:dyDescent="0.2">
      <c r="A97" s="37"/>
      <c r="B97" s="20" t="s">
        <v>41</v>
      </c>
      <c r="C97" s="21">
        <v>6.01</v>
      </c>
      <c r="D97" s="21" t="s">
        <v>106</v>
      </c>
      <c r="E97" s="22">
        <v>0</v>
      </c>
      <c r="F97" s="21">
        <v>6.09</v>
      </c>
      <c r="G97" s="21" t="s">
        <v>75</v>
      </c>
      <c r="H97" s="22">
        <v>0</v>
      </c>
      <c r="I97" s="21">
        <v>16.579999999999998</v>
      </c>
      <c r="J97" s="21" t="s">
        <v>109</v>
      </c>
      <c r="K97" s="22">
        <v>1</v>
      </c>
      <c r="L97" s="21">
        <v>5.13</v>
      </c>
      <c r="M97" s="21" t="s">
        <v>79</v>
      </c>
      <c r="N97" s="22">
        <v>0</v>
      </c>
      <c r="O97" s="21">
        <v>5.24</v>
      </c>
      <c r="P97" s="21" t="s">
        <v>68</v>
      </c>
      <c r="Q97" s="22">
        <v>1</v>
      </c>
      <c r="R97" s="21">
        <v>8.1300000000000008</v>
      </c>
      <c r="S97" s="21" t="s">
        <v>110</v>
      </c>
      <c r="T97" s="22">
        <v>1</v>
      </c>
      <c r="U97" s="13" t="s">
        <v>42</v>
      </c>
      <c r="V97" s="14">
        <f>AVERAGE(R95:R97, O95:O97)</f>
        <v>6.7850000000000001</v>
      </c>
    </row>
    <row r="98" spans="1:22" x14ac:dyDescent="0.2">
      <c r="A98" s="37"/>
      <c r="B98" s="8"/>
      <c r="E98" s="38"/>
      <c r="H98" s="38"/>
      <c r="K98" s="38"/>
      <c r="N98" s="38"/>
      <c r="Q98" s="38"/>
      <c r="S98" s="14"/>
    </row>
    <row r="99" spans="1:22" x14ac:dyDescent="0.2">
      <c r="A99" s="37"/>
      <c r="B99" s="5"/>
      <c r="C99" s="5"/>
      <c r="D99" s="6" t="s">
        <v>26</v>
      </c>
      <c r="E99" s="7"/>
      <c r="F99" s="5"/>
      <c r="G99" s="5"/>
      <c r="H99" s="7"/>
      <c r="I99" s="5"/>
      <c r="J99" s="5"/>
      <c r="K99" s="7"/>
      <c r="L99" s="5"/>
      <c r="M99" s="5"/>
      <c r="N99" s="7"/>
      <c r="O99" s="5"/>
      <c r="P99" s="5"/>
      <c r="Q99" s="7"/>
      <c r="R99" s="8"/>
      <c r="S99" s="9"/>
      <c r="T99" s="8"/>
      <c r="U99" s="8"/>
      <c r="V99" s="8"/>
    </row>
    <row r="100" spans="1:22" x14ac:dyDescent="0.2">
      <c r="A100" s="37"/>
      <c r="B100" s="11"/>
      <c r="C100" s="12" t="s">
        <v>31</v>
      </c>
      <c r="D100" s="12" t="s">
        <v>32</v>
      </c>
      <c r="E100" s="12" t="s">
        <v>33</v>
      </c>
      <c r="F100" s="12" t="s">
        <v>31</v>
      </c>
      <c r="G100" s="12" t="s">
        <v>32</v>
      </c>
      <c r="H100" s="12" t="s">
        <v>33</v>
      </c>
      <c r="I100" s="12" t="s">
        <v>31</v>
      </c>
      <c r="J100" s="12" t="s">
        <v>34</v>
      </c>
      <c r="K100" s="12" t="s">
        <v>33</v>
      </c>
      <c r="L100" s="12" t="s">
        <v>31</v>
      </c>
      <c r="M100" s="12" t="s">
        <v>34</v>
      </c>
      <c r="N100" s="12" t="s">
        <v>33</v>
      </c>
      <c r="O100" s="12" t="s">
        <v>31</v>
      </c>
      <c r="P100" s="12" t="s">
        <v>35</v>
      </c>
      <c r="Q100" s="12" t="s">
        <v>33</v>
      </c>
      <c r="R100" s="12" t="s">
        <v>31</v>
      </c>
      <c r="S100" s="12" t="s">
        <v>35</v>
      </c>
      <c r="T100" s="12" t="s">
        <v>33</v>
      </c>
      <c r="U100" s="13" t="s">
        <v>36</v>
      </c>
      <c r="V100" s="14">
        <f>SUM(E101:E103,H101:H103,K101:K103,N101:N103,Q101:Q103,T101:T103)</f>
        <v>10</v>
      </c>
    </row>
    <row r="101" spans="1:22" x14ac:dyDescent="0.2">
      <c r="A101" s="37"/>
      <c r="B101" s="16" t="s">
        <v>37</v>
      </c>
      <c r="C101" s="17">
        <v>12.75</v>
      </c>
      <c r="D101" s="17" t="s">
        <v>80</v>
      </c>
      <c r="E101" s="18">
        <v>1</v>
      </c>
      <c r="F101" s="17">
        <v>7.37</v>
      </c>
      <c r="G101" s="17" t="s">
        <v>95</v>
      </c>
      <c r="H101" s="18">
        <v>0</v>
      </c>
      <c r="I101" s="17">
        <v>5.54</v>
      </c>
      <c r="J101" s="17" t="s">
        <v>111</v>
      </c>
      <c r="K101" s="18">
        <v>0</v>
      </c>
      <c r="L101" s="17">
        <v>4.74</v>
      </c>
      <c r="M101" s="17" t="s">
        <v>55</v>
      </c>
      <c r="N101" s="18">
        <v>0</v>
      </c>
      <c r="O101" s="17">
        <v>7.23</v>
      </c>
      <c r="P101" s="17" t="s">
        <v>81</v>
      </c>
      <c r="Q101" s="18">
        <v>1</v>
      </c>
      <c r="R101" s="17">
        <v>1.96</v>
      </c>
      <c r="S101" s="17" t="s">
        <v>45</v>
      </c>
      <c r="T101" s="18">
        <v>0</v>
      </c>
      <c r="U101" s="13" t="s">
        <v>38</v>
      </c>
      <c r="V101" s="14">
        <f>AVERAGE(C101:C103,F101:F103)</f>
        <v>7.0149999999999997</v>
      </c>
    </row>
    <row r="102" spans="1:22" x14ac:dyDescent="0.2">
      <c r="A102" s="37"/>
      <c r="B102" s="19" t="s">
        <v>39</v>
      </c>
      <c r="C102" s="17">
        <v>3.28</v>
      </c>
      <c r="D102" s="17" t="s">
        <v>101</v>
      </c>
      <c r="E102" s="18">
        <v>0</v>
      </c>
      <c r="F102" s="17">
        <v>10.46</v>
      </c>
      <c r="G102" s="17" t="s">
        <v>72</v>
      </c>
      <c r="H102" s="18">
        <v>1</v>
      </c>
      <c r="I102" s="17">
        <v>3.8</v>
      </c>
      <c r="J102" s="17" t="s">
        <v>54</v>
      </c>
      <c r="K102" s="18">
        <v>0</v>
      </c>
      <c r="L102" s="17">
        <v>6.43</v>
      </c>
      <c r="M102" s="17" t="s">
        <v>100</v>
      </c>
      <c r="N102" s="18">
        <v>1</v>
      </c>
      <c r="O102" s="17">
        <v>9.5</v>
      </c>
      <c r="P102" s="17" t="s">
        <v>66</v>
      </c>
      <c r="Q102" s="18">
        <v>2</v>
      </c>
      <c r="R102" s="17">
        <v>13.58</v>
      </c>
      <c r="S102" s="17" t="s">
        <v>79</v>
      </c>
      <c r="T102" s="18">
        <v>2</v>
      </c>
      <c r="U102" s="13" t="s">
        <v>40</v>
      </c>
      <c r="V102" s="14">
        <f>AVERAGE(L101:L103, I101:I103)</f>
        <v>5.5450000000000008</v>
      </c>
    </row>
    <row r="103" spans="1:22" x14ac:dyDescent="0.2">
      <c r="A103" s="37"/>
      <c r="B103" s="20" t="s">
        <v>41</v>
      </c>
      <c r="C103" s="21">
        <v>4.47</v>
      </c>
      <c r="D103" s="21" t="s">
        <v>72</v>
      </c>
      <c r="E103" s="22">
        <v>0</v>
      </c>
      <c r="F103" s="21">
        <v>3.76</v>
      </c>
      <c r="G103" s="21" t="s">
        <v>95</v>
      </c>
      <c r="H103" s="22">
        <v>0</v>
      </c>
      <c r="I103" s="21">
        <v>9.08</v>
      </c>
      <c r="J103" s="21" t="s">
        <v>51</v>
      </c>
      <c r="K103" s="22">
        <v>1</v>
      </c>
      <c r="L103" s="21">
        <v>3.68</v>
      </c>
      <c r="M103" s="21" t="s">
        <v>112</v>
      </c>
      <c r="N103" s="22">
        <v>0</v>
      </c>
      <c r="O103" s="21">
        <v>9.25</v>
      </c>
      <c r="P103" s="21" t="s">
        <v>45</v>
      </c>
      <c r="Q103" s="22">
        <v>0</v>
      </c>
      <c r="R103" s="21">
        <v>7.32</v>
      </c>
      <c r="S103" s="21" t="s">
        <v>66</v>
      </c>
      <c r="T103" s="22">
        <v>1</v>
      </c>
      <c r="U103" s="13" t="s">
        <v>42</v>
      </c>
      <c r="V103" s="14">
        <f>AVERAGE(R101:R103, O101:O103)</f>
        <v>8.14</v>
      </c>
    </row>
    <row r="104" spans="1:22" x14ac:dyDescent="0.2">
      <c r="A104" s="37"/>
      <c r="B104" s="8"/>
      <c r="E104" s="38"/>
      <c r="H104" s="38"/>
      <c r="K104" s="38"/>
      <c r="N104" s="38"/>
      <c r="Q104" s="38"/>
      <c r="S104" s="14"/>
    </row>
    <row r="105" spans="1:22" x14ac:dyDescent="0.2">
      <c r="A105" s="37"/>
      <c r="B105" s="5"/>
      <c r="C105" s="5"/>
      <c r="D105" s="6" t="s">
        <v>27</v>
      </c>
      <c r="E105" s="7"/>
      <c r="F105" s="5"/>
      <c r="G105" s="5"/>
      <c r="H105" s="7"/>
      <c r="I105" s="5"/>
      <c r="J105" s="5"/>
      <c r="K105" s="7"/>
      <c r="L105" s="5"/>
      <c r="M105" s="5"/>
      <c r="N105" s="7"/>
      <c r="O105" s="5"/>
      <c r="P105" s="5"/>
      <c r="Q105" s="7"/>
      <c r="R105" s="8"/>
      <c r="S105" s="9"/>
      <c r="T105" s="8"/>
      <c r="U105" s="8"/>
      <c r="V105" s="8"/>
    </row>
    <row r="106" spans="1:22" x14ac:dyDescent="0.2">
      <c r="A106" s="37"/>
      <c r="B106" s="11"/>
      <c r="C106" s="12" t="s">
        <v>31</v>
      </c>
      <c r="D106" s="12" t="s">
        <v>32</v>
      </c>
      <c r="E106" s="12" t="s">
        <v>33</v>
      </c>
      <c r="F106" s="12" t="s">
        <v>31</v>
      </c>
      <c r="G106" s="12" t="s">
        <v>32</v>
      </c>
      <c r="H106" s="12" t="s">
        <v>33</v>
      </c>
      <c r="I106" s="12" t="s">
        <v>31</v>
      </c>
      <c r="J106" s="12" t="s">
        <v>34</v>
      </c>
      <c r="K106" s="12" t="s">
        <v>33</v>
      </c>
      <c r="L106" s="12" t="s">
        <v>31</v>
      </c>
      <c r="M106" s="12" t="s">
        <v>34</v>
      </c>
      <c r="N106" s="12" t="s">
        <v>33</v>
      </c>
      <c r="O106" s="12" t="s">
        <v>31</v>
      </c>
      <c r="P106" s="12" t="s">
        <v>35</v>
      </c>
      <c r="Q106" s="12" t="s">
        <v>33</v>
      </c>
      <c r="R106" s="12" t="s">
        <v>31</v>
      </c>
      <c r="S106" s="12" t="s">
        <v>35</v>
      </c>
      <c r="T106" s="12" t="s">
        <v>33</v>
      </c>
      <c r="U106" s="13" t="s">
        <v>36</v>
      </c>
      <c r="V106" s="14">
        <f>SUM(E107:E109,H107:H109,K107:K109,N107:N109,Q107:Q109,T107:T109)</f>
        <v>6</v>
      </c>
    </row>
    <row r="107" spans="1:22" x14ac:dyDescent="0.2">
      <c r="A107" s="37"/>
      <c r="B107" s="16" t="s">
        <v>37</v>
      </c>
      <c r="C107" s="17">
        <v>13.94</v>
      </c>
      <c r="D107" s="17" t="s">
        <v>90</v>
      </c>
      <c r="E107" s="18">
        <v>0</v>
      </c>
      <c r="F107" s="17">
        <v>10.67</v>
      </c>
      <c r="G107" s="17" t="s">
        <v>72</v>
      </c>
      <c r="H107" s="18">
        <v>1</v>
      </c>
      <c r="I107" s="17">
        <v>19.57</v>
      </c>
      <c r="J107" s="17" t="s">
        <v>82</v>
      </c>
      <c r="K107" s="18">
        <v>1</v>
      </c>
      <c r="L107" s="17">
        <v>2.64</v>
      </c>
      <c r="M107" s="17" t="s">
        <v>108</v>
      </c>
      <c r="N107" s="18">
        <v>0</v>
      </c>
      <c r="O107" s="17">
        <v>5.77</v>
      </c>
      <c r="P107" s="17" t="s">
        <v>68</v>
      </c>
      <c r="Q107" s="18">
        <v>0</v>
      </c>
      <c r="R107" s="17">
        <v>4.1399999999999997</v>
      </c>
      <c r="S107" s="17" t="s">
        <v>45</v>
      </c>
      <c r="T107" s="18">
        <v>0</v>
      </c>
      <c r="U107" s="13" t="s">
        <v>38</v>
      </c>
      <c r="V107" s="14">
        <f>AVERAGE(C107:C109,F107:F109)</f>
        <v>8.23</v>
      </c>
    </row>
    <row r="108" spans="1:22" x14ac:dyDescent="0.2">
      <c r="A108" s="37"/>
      <c r="B108" s="19" t="s">
        <v>39</v>
      </c>
      <c r="C108" s="17">
        <v>6.78</v>
      </c>
      <c r="D108" s="17" t="s">
        <v>83</v>
      </c>
      <c r="E108" s="18">
        <v>0</v>
      </c>
      <c r="F108" s="17">
        <v>5.36</v>
      </c>
      <c r="G108" s="17" t="s">
        <v>106</v>
      </c>
      <c r="H108" s="18">
        <v>0</v>
      </c>
      <c r="I108" s="17">
        <v>10.98</v>
      </c>
      <c r="J108" s="17" t="s">
        <v>105</v>
      </c>
      <c r="K108" s="18">
        <v>1</v>
      </c>
      <c r="L108" s="17">
        <v>6.6</v>
      </c>
      <c r="M108" s="17" t="s">
        <v>54</v>
      </c>
      <c r="N108" s="18">
        <v>0</v>
      </c>
      <c r="O108" s="17">
        <v>11.16</v>
      </c>
      <c r="P108" s="17" t="s">
        <v>81</v>
      </c>
      <c r="Q108" s="18">
        <v>1</v>
      </c>
      <c r="R108" s="17">
        <v>3.31</v>
      </c>
      <c r="S108" s="17" t="s">
        <v>49</v>
      </c>
      <c r="T108" s="18">
        <v>0</v>
      </c>
      <c r="U108" s="13" t="s">
        <v>40</v>
      </c>
      <c r="V108" s="14">
        <f>AVERAGE(L107:L109, I107:I109)</f>
        <v>8.2683333333333326</v>
      </c>
    </row>
    <row r="109" spans="1:22" x14ac:dyDescent="0.2">
      <c r="A109" s="37"/>
      <c r="B109" s="20" t="s">
        <v>41</v>
      </c>
      <c r="C109" s="21">
        <v>3.96</v>
      </c>
      <c r="D109" s="21" t="s">
        <v>104</v>
      </c>
      <c r="E109" s="22">
        <v>0</v>
      </c>
      <c r="F109" s="21">
        <v>8.67</v>
      </c>
      <c r="G109" s="21" t="s">
        <v>52</v>
      </c>
      <c r="H109" s="22">
        <v>1</v>
      </c>
      <c r="I109" s="21">
        <v>7.04</v>
      </c>
      <c r="J109" s="21" t="s">
        <v>100</v>
      </c>
      <c r="K109" s="22">
        <v>0</v>
      </c>
      <c r="L109" s="21">
        <v>2.78</v>
      </c>
      <c r="M109" s="21" t="s">
        <v>108</v>
      </c>
      <c r="N109" s="22">
        <v>0</v>
      </c>
      <c r="O109" s="21">
        <v>2.73</v>
      </c>
      <c r="P109" s="21" t="s">
        <v>68</v>
      </c>
      <c r="Q109" s="22">
        <v>0</v>
      </c>
      <c r="R109" s="21">
        <v>4.78</v>
      </c>
      <c r="S109" s="21" t="s">
        <v>45</v>
      </c>
      <c r="T109" s="22">
        <v>1</v>
      </c>
      <c r="U109" s="13" t="s">
        <v>42</v>
      </c>
      <c r="V109" s="14">
        <f>AVERAGE(R107:R109, O107:O109)</f>
        <v>5.3150000000000004</v>
      </c>
    </row>
    <row r="110" spans="1:22" x14ac:dyDescent="0.2">
      <c r="A110" s="37"/>
      <c r="B110" s="8"/>
      <c r="E110" s="38"/>
      <c r="H110" s="38"/>
      <c r="K110" s="38"/>
      <c r="N110" s="38"/>
      <c r="Q110" s="38"/>
      <c r="S110" s="14"/>
    </row>
    <row r="111" spans="1:22" x14ac:dyDescent="0.2">
      <c r="A111" s="37"/>
      <c r="B111" s="55"/>
      <c r="C111" s="55"/>
      <c r="D111" s="56" t="s">
        <v>84</v>
      </c>
      <c r="E111" s="57"/>
      <c r="F111" s="55"/>
      <c r="G111" s="55"/>
      <c r="H111" s="57"/>
      <c r="I111" s="55"/>
      <c r="J111" s="55"/>
      <c r="K111" s="57"/>
      <c r="L111" s="55"/>
      <c r="M111" s="55"/>
      <c r="N111" s="57"/>
      <c r="O111" s="55"/>
      <c r="P111" s="55"/>
      <c r="Q111" s="57"/>
      <c r="R111" s="58"/>
      <c r="S111" s="59"/>
      <c r="T111" s="58"/>
      <c r="U111" s="58"/>
      <c r="V111" s="58"/>
    </row>
    <row r="112" spans="1:22" x14ac:dyDescent="0.2">
      <c r="A112" s="37"/>
      <c r="B112" s="60"/>
      <c r="C112" s="61" t="s">
        <v>31</v>
      </c>
      <c r="D112" s="61" t="s">
        <v>32</v>
      </c>
      <c r="E112" s="61" t="s">
        <v>33</v>
      </c>
      <c r="F112" s="61" t="s">
        <v>31</v>
      </c>
      <c r="G112" s="61" t="s">
        <v>32</v>
      </c>
      <c r="H112" s="61" t="s">
        <v>33</v>
      </c>
      <c r="I112" s="61" t="s">
        <v>31</v>
      </c>
      <c r="J112" s="61" t="s">
        <v>34</v>
      </c>
      <c r="K112" s="61" t="s">
        <v>33</v>
      </c>
      <c r="L112" s="61" t="s">
        <v>31</v>
      </c>
      <c r="M112" s="61" t="s">
        <v>34</v>
      </c>
      <c r="N112" s="61" t="s">
        <v>33</v>
      </c>
      <c r="O112" s="61" t="s">
        <v>31</v>
      </c>
      <c r="P112" s="61" t="s">
        <v>35</v>
      </c>
      <c r="Q112" s="61" t="s">
        <v>33</v>
      </c>
      <c r="R112" s="61" t="s">
        <v>31</v>
      </c>
      <c r="S112" s="61" t="s">
        <v>35</v>
      </c>
      <c r="T112" s="61" t="s">
        <v>33</v>
      </c>
      <c r="U112" s="62" t="s">
        <v>36</v>
      </c>
      <c r="V112" s="63" t="s">
        <v>113</v>
      </c>
    </row>
    <row r="113" spans="1:22" x14ac:dyDescent="0.2">
      <c r="A113" s="37"/>
      <c r="B113" s="64" t="s">
        <v>37</v>
      </c>
      <c r="C113" s="65">
        <v>24</v>
      </c>
      <c r="D113" s="65"/>
      <c r="E113" s="66">
        <v>1</v>
      </c>
      <c r="F113" s="65">
        <v>40.9</v>
      </c>
      <c r="G113" s="65"/>
      <c r="H113" s="66" t="s">
        <v>114</v>
      </c>
      <c r="I113" s="65">
        <v>23.14</v>
      </c>
      <c r="J113" s="65"/>
      <c r="K113" s="66" t="s">
        <v>114</v>
      </c>
      <c r="L113" s="65">
        <v>10.46</v>
      </c>
      <c r="M113" s="65"/>
      <c r="N113" s="66" t="s">
        <v>114</v>
      </c>
      <c r="O113" s="65">
        <v>2.4300000000000002</v>
      </c>
      <c r="P113" s="65"/>
      <c r="Q113" s="66" t="s">
        <v>114</v>
      </c>
      <c r="R113" s="65">
        <v>2.78</v>
      </c>
      <c r="S113" s="65"/>
      <c r="T113" s="66">
        <v>1</v>
      </c>
      <c r="U113" s="62" t="s">
        <v>38</v>
      </c>
      <c r="V113" s="63" t="s">
        <v>115</v>
      </c>
    </row>
    <row r="114" spans="1:22" x14ac:dyDescent="0.2">
      <c r="A114" s="37"/>
      <c r="B114" s="67" t="s">
        <v>39</v>
      </c>
      <c r="C114" s="65">
        <v>5.66</v>
      </c>
      <c r="D114" s="65"/>
      <c r="E114" s="66" t="s">
        <v>114</v>
      </c>
      <c r="F114" s="65">
        <v>8.16</v>
      </c>
      <c r="G114" s="65"/>
      <c r="H114" s="66" t="s">
        <v>114</v>
      </c>
      <c r="I114" s="65">
        <v>4.43</v>
      </c>
      <c r="J114" s="65"/>
      <c r="K114" s="66" t="s">
        <v>114</v>
      </c>
      <c r="L114" s="65">
        <v>8.09</v>
      </c>
      <c r="M114" s="65"/>
      <c r="N114" s="66" t="s">
        <v>114</v>
      </c>
      <c r="O114" s="65">
        <v>2.5099999999999998</v>
      </c>
      <c r="P114" s="65"/>
      <c r="Q114" s="66" t="s">
        <v>114</v>
      </c>
      <c r="R114" s="65">
        <v>1.47</v>
      </c>
      <c r="S114" s="65"/>
      <c r="T114" s="66" t="s">
        <v>114</v>
      </c>
      <c r="U114" s="62" t="s">
        <v>40</v>
      </c>
      <c r="V114" s="63" t="s">
        <v>116</v>
      </c>
    </row>
    <row r="115" spans="1:22" x14ac:dyDescent="0.2">
      <c r="A115" s="37"/>
      <c r="B115" s="68" t="s">
        <v>41</v>
      </c>
      <c r="C115" s="69">
        <v>7.49</v>
      </c>
      <c r="D115" s="69"/>
      <c r="E115" s="70">
        <v>1</v>
      </c>
      <c r="F115" s="69">
        <v>6.24</v>
      </c>
      <c r="G115" s="69"/>
      <c r="H115" s="70">
        <v>1</v>
      </c>
      <c r="I115" s="69">
        <v>4.4800000000000004</v>
      </c>
      <c r="J115" s="69"/>
      <c r="K115" s="70" t="s">
        <v>114</v>
      </c>
      <c r="L115" s="69">
        <v>7.07</v>
      </c>
      <c r="M115" s="69"/>
      <c r="N115" s="70">
        <v>1</v>
      </c>
      <c r="O115" s="69">
        <v>4.12</v>
      </c>
      <c r="P115" s="69"/>
      <c r="Q115" s="70" t="s">
        <v>114</v>
      </c>
      <c r="R115" s="69">
        <v>2.68</v>
      </c>
      <c r="S115" s="69"/>
      <c r="T115" s="70" t="s">
        <v>114</v>
      </c>
      <c r="U115" s="62" t="s">
        <v>42</v>
      </c>
      <c r="V115" s="63" t="s">
        <v>117</v>
      </c>
    </row>
    <row r="116" spans="1:22" x14ac:dyDescent="0.2">
      <c r="A116" s="37"/>
      <c r="B116" s="58"/>
      <c r="C116" s="54"/>
      <c r="D116" s="54"/>
      <c r="E116" s="71"/>
      <c r="F116" s="54"/>
      <c r="G116" s="54"/>
      <c r="H116" s="71"/>
      <c r="I116" s="54"/>
      <c r="J116" s="54"/>
      <c r="K116" s="71"/>
      <c r="L116" s="54"/>
      <c r="M116" s="54"/>
      <c r="N116" s="71"/>
      <c r="O116" s="54"/>
      <c r="P116" s="54"/>
      <c r="Q116" s="71"/>
      <c r="R116" s="54"/>
      <c r="S116" s="63"/>
      <c r="T116" s="54"/>
      <c r="U116" s="54"/>
      <c r="V116" s="54"/>
    </row>
    <row r="117" spans="1:22" x14ac:dyDescent="0.2">
      <c r="A117" s="37"/>
      <c r="B117" s="55"/>
      <c r="C117" s="55"/>
      <c r="D117" s="56" t="s">
        <v>85</v>
      </c>
      <c r="E117" s="57"/>
      <c r="F117" s="55"/>
      <c r="G117" s="55"/>
      <c r="H117" s="57"/>
      <c r="I117" s="55"/>
      <c r="J117" s="55"/>
      <c r="K117" s="57"/>
      <c r="L117" s="55"/>
      <c r="M117" s="55"/>
      <c r="N117" s="57"/>
      <c r="O117" s="55"/>
      <c r="P117" s="55"/>
      <c r="Q117" s="57"/>
      <c r="R117" s="58"/>
      <c r="S117" s="59"/>
      <c r="T117" s="58"/>
      <c r="U117" s="58"/>
      <c r="V117" s="58"/>
    </row>
    <row r="118" spans="1:22" x14ac:dyDescent="0.2">
      <c r="A118" s="37"/>
      <c r="B118" s="60"/>
      <c r="C118" s="61" t="s">
        <v>31</v>
      </c>
      <c r="D118" s="61" t="s">
        <v>32</v>
      </c>
      <c r="E118" s="61" t="s">
        <v>33</v>
      </c>
      <c r="F118" s="61" t="s">
        <v>31</v>
      </c>
      <c r="G118" s="61" t="s">
        <v>32</v>
      </c>
      <c r="H118" s="61" t="s">
        <v>33</v>
      </c>
      <c r="I118" s="61" t="s">
        <v>31</v>
      </c>
      <c r="J118" s="61" t="s">
        <v>34</v>
      </c>
      <c r="K118" s="61" t="s">
        <v>33</v>
      </c>
      <c r="L118" s="61" t="s">
        <v>31</v>
      </c>
      <c r="M118" s="61" t="s">
        <v>34</v>
      </c>
      <c r="N118" s="61" t="s">
        <v>33</v>
      </c>
      <c r="O118" s="61" t="s">
        <v>31</v>
      </c>
      <c r="P118" s="61" t="s">
        <v>35</v>
      </c>
      <c r="Q118" s="61" t="s">
        <v>33</v>
      </c>
      <c r="R118" s="61" t="s">
        <v>31</v>
      </c>
      <c r="S118" s="61" t="s">
        <v>35</v>
      </c>
      <c r="T118" s="61" t="s">
        <v>33</v>
      </c>
      <c r="U118" s="62" t="s">
        <v>36</v>
      </c>
      <c r="V118" s="63" t="s">
        <v>118</v>
      </c>
    </row>
    <row r="119" spans="1:22" x14ac:dyDescent="0.2">
      <c r="A119" s="37"/>
      <c r="B119" s="64" t="s">
        <v>37</v>
      </c>
      <c r="C119" s="65">
        <v>7.59</v>
      </c>
      <c r="D119" s="65"/>
      <c r="E119" s="66" t="s">
        <v>114</v>
      </c>
      <c r="F119" s="65">
        <v>10.7</v>
      </c>
      <c r="G119" s="65"/>
      <c r="H119" s="66" t="s">
        <v>114</v>
      </c>
      <c r="I119" s="65">
        <v>6.79</v>
      </c>
      <c r="J119" s="65"/>
      <c r="K119" s="66">
        <v>1</v>
      </c>
      <c r="L119" s="65">
        <v>4.25</v>
      </c>
      <c r="M119" s="65"/>
      <c r="N119" s="66" t="s">
        <v>114</v>
      </c>
      <c r="O119" s="65">
        <v>3.65</v>
      </c>
      <c r="P119" s="65"/>
      <c r="Q119" s="66" t="s">
        <v>114</v>
      </c>
      <c r="R119" s="65">
        <v>8.9700000000000006</v>
      </c>
      <c r="S119" s="65"/>
      <c r="T119" s="66">
        <v>1</v>
      </c>
      <c r="U119" s="62" t="s">
        <v>38</v>
      </c>
      <c r="V119" s="63" t="s">
        <v>119</v>
      </c>
    </row>
    <row r="120" spans="1:22" x14ac:dyDescent="0.2">
      <c r="A120" s="37"/>
      <c r="B120" s="67" t="s">
        <v>39</v>
      </c>
      <c r="C120" s="65">
        <v>5.25</v>
      </c>
      <c r="D120" s="65"/>
      <c r="E120" s="66">
        <v>1</v>
      </c>
      <c r="F120" s="65">
        <v>5.49</v>
      </c>
      <c r="G120" s="65"/>
      <c r="H120" s="66" t="s">
        <v>114</v>
      </c>
      <c r="I120" s="65">
        <v>7.55</v>
      </c>
      <c r="J120" s="65"/>
      <c r="K120" s="66">
        <v>1</v>
      </c>
      <c r="L120" s="65">
        <v>9.07</v>
      </c>
      <c r="M120" s="65"/>
      <c r="N120" s="66">
        <v>2</v>
      </c>
      <c r="O120" s="65">
        <v>5.66</v>
      </c>
      <c r="P120" s="65"/>
      <c r="Q120" s="66" t="s">
        <v>114</v>
      </c>
      <c r="R120" s="65">
        <v>6.94</v>
      </c>
      <c r="S120" s="65"/>
      <c r="T120" s="66">
        <v>2</v>
      </c>
      <c r="U120" s="62" t="s">
        <v>40</v>
      </c>
      <c r="V120" s="63" t="s">
        <v>120</v>
      </c>
    </row>
    <row r="121" spans="1:22" x14ac:dyDescent="0.2">
      <c r="A121" s="37"/>
      <c r="B121" s="68" t="s">
        <v>41</v>
      </c>
      <c r="C121" s="69">
        <v>9.26</v>
      </c>
      <c r="D121" s="69"/>
      <c r="E121" s="70" t="s">
        <v>114</v>
      </c>
      <c r="F121" s="69">
        <v>5.2</v>
      </c>
      <c r="G121" s="69"/>
      <c r="H121" s="70">
        <v>1</v>
      </c>
      <c r="I121" s="69">
        <v>4.99</v>
      </c>
      <c r="J121" s="69"/>
      <c r="K121" s="70" t="s">
        <v>114</v>
      </c>
      <c r="L121" s="69">
        <v>4.7300000000000004</v>
      </c>
      <c r="M121" s="69"/>
      <c r="N121" s="70" t="s">
        <v>114</v>
      </c>
      <c r="O121" s="69">
        <v>5.56</v>
      </c>
      <c r="P121" s="69"/>
      <c r="Q121" s="70">
        <v>1</v>
      </c>
      <c r="R121" s="69">
        <v>11.79</v>
      </c>
      <c r="S121" s="69"/>
      <c r="T121" s="70">
        <v>2</v>
      </c>
      <c r="U121" s="62" t="s">
        <v>42</v>
      </c>
      <c r="V121" s="63" t="s">
        <v>121</v>
      </c>
    </row>
    <row r="122" spans="1:22" x14ac:dyDescent="0.2">
      <c r="A122" s="37"/>
      <c r="B122" s="58"/>
      <c r="C122" s="54"/>
      <c r="D122" s="54"/>
      <c r="E122" s="71"/>
      <c r="F122" s="54"/>
      <c r="G122" s="54"/>
      <c r="H122" s="71"/>
      <c r="I122" s="54"/>
      <c r="J122" s="54"/>
      <c r="K122" s="71"/>
      <c r="L122" s="54"/>
      <c r="M122" s="54"/>
      <c r="N122" s="71"/>
      <c r="O122" s="54"/>
      <c r="P122" s="54"/>
      <c r="Q122" s="71"/>
      <c r="R122" s="54"/>
      <c r="S122" s="63"/>
      <c r="T122" s="54"/>
      <c r="U122" s="54"/>
      <c r="V122" s="54"/>
    </row>
    <row r="123" spans="1:22" x14ac:dyDescent="0.2">
      <c r="A123" s="37"/>
      <c r="B123" s="55"/>
      <c r="C123" s="55"/>
      <c r="D123" s="56" t="s">
        <v>86</v>
      </c>
      <c r="E123" s="57"/>
      <c r="F123" s="55"/>
      <c r="G123" s="55"/>
      <c r="H123" s="57"/>
      <c r="I123" s="55"/>
      <c r="J123" s="55"/>
      <c r="K123" s="57"/>
      <c r="L123" s="55"/>
      <c r="M123" s="55"/>
      <c r="N123" s="57"/>
      <c r="O123" s="55"/>
      <c r="P123" s="55"/>
      <c r="Q123" s="57"/>
      <c r="R123" s="58"/>
      <c r="S123" s="59"/>
      <c r="T123" s="58"/>
      <c r="U123" s="58"/>
      <c r="V123" s="58"/>
    </row>
    <row r="124" spans="1:22" x14ac:dyDescent="0.2">
      <c r="A124" s="37"/>
      <c r="B124" s="60"/>
      <c r="C124" s="61" t="s">
        <v>31</v>
      </c>
      <c r="D124" s="61" t="s">
        <v>32</v>
      </c>
      <c r="E124" s="61" t="s">
        <v>33</v>
      </c>
      <c r="F124" s="61" t="s">
        <v>31</v>
      </c>
      <c r="G124" s="61" t="s">
        <v>32</v>
      </c>
      <c r="H124" s="61" t="s">
        <v>33</v>
      </c>
      <c r="I124" s="61" t="s">
        <v>31</v>
      </c>
      <c r="J124" s="61" t="s">
        <v>34</v>
      </c>
      <c r="K124" s="61" t="s">
        <v>33</v>
      </c>
      <c r="L124" s="61" t="s">
        <v>31</v>
      </c>
      <c r="M124" s="61" t="s">
        <v>34</v>
      </c>
      <c r="N124" s="61" t="s">
        <v>33</v>
      </c>
      <c r="O124" s="61" t="s">
        <v>31</v>
      </c>
      <c r="P124" s="61" t="s">
        <v>35</v>
      </c>
      <c r="Q124" s="61" t="s">
        <v>33</v>
      </c>
      <c r="R124" s="61" t="s">
        <v>31</v>
      </c>
      <c r="S124" s="61" t="s">
        <v>35</v>
      </c>
      <c r="T124" s="61" t="s">
        <v>33</v>
      </c>
      <c r="U124" s="62" t="s">
        <v>36</v>
      </c>
      <c r="V124" s="63" t="s">
        <v>113</v>
      </c>
    </row>
    <row r="125" spans="1:22" x14ac:dyDescent="0.2">
      <c r="A125" s="37"/>
      <c r="B125" s="64" t="s">
        <v>37</v>
      </c>
      <c r="C125" s="65">
        <v>6.61</v>
      </c>
      <c r="D125" s="65"/>
      <c r="E125" s="66" t="s">
        <v>114</v>
      </c>
      <c r="F125" s="65">
        <v>5.87</v>
      </c>
      <c r="G125" s="65"/>
      <c r="H125" s="66" t="s">
        <v>114</v>
      </c>
      <c r="I125" s="65">
        <v>7.51</v>
      </c>
      <c r="J125" s="65"/>
      <c r="K125" s="66">
        <v>1</v>
      </c>
      <c r="L125" s="65">
        <v>17.72</v>
      </c>
      <c r="M125" s="65"/>
      <c r="N125" s="66">
        <v>2</v>
      </c>
      <c r="O125" s="65">
        <v>3.57</v>
      </c>
      <c r="P125" s="65"/>
      <c r="Q125" s="66" t="s">
        <v>114</v>
      </c>
      <c r="R125" s="65">
        <v>4.37</v>
      </c>
      <c r="S125" s="65"/>
      <c r="T125" s="66" t="s">
        <v>114</v>
      </c>
      <c r="U125" s="62" t="s">
        <v>38</v>
      </c>
      <c r="V125" s="63" t="s">
        <v>122</v>
      </c>
    </row>
    <row r="126" spans="1:22" x14ac:dyDescent="0.2">
      <c r="A126" s="37"/>
      <c r="B126" s="67" t="s">
        <v>39</v>
      </c>
      <c r="C126" s="65">
        <v>7.06</v>
      </c>
      <c r="D126" s="65"/>
      <c r="E126" s="66">
        <v>1</v>
      </c>
      <c r="F126" s="65">
        <v>6.85</v>
      </c>
      <c r="G126" s="65"/>
      <c r="H126" s="66" t="s">
        <v>114</v>
      </c>
      <c r="I126" s="65">
        <v>9.42</v>
      </c>
      <c r="J126" s="65"/>
      <c r="K126" s="66" t="s">
        <v>114</v>
      </c>
      <c r="L126" s="65">
        <v>11.99</v>
      </c>
      <c r="M126" s="65"/>
      <c r="N126" s="66">
        <v>1</v>
      </c>
      <c r="O126" s="65">
        <v>1.83</v>
      </c>
      <c r="P126" s="65"/>
      <c r="Q126" s="66" t="s">
        <v>114</v>
      </c>
      <c r="R126" s="65">
        <v>2.61</v>
      </c>
      <c r="S126" s="65"/>
      <c r="T126" s="66" t="s">
        <v>114</v>
      </c>
      <c r="U126" s="62" t="s">
        <v>40</v>
      </c>
      <c r="V126" s="63" t="s">
        <v>123</v>
      </c>
    </row>
    <row r="127" spans="1:22" x14ac:dyDescent="0.2">
      <c r="A127" s="37"/>
      <c r="B127" s="68" t="s">
        <v>41</v>
      </c>
      <c r="C127" s="69">
        <v>4.66</v>
      </c>
      <c r="D127" s="69"/>
      <c r="E127" s="70" t="s">
        <v>114</v>
      </c>
      <c r="F127" s="69">
        <v>15.53</v>
      </c>
      <c r="G127" s="69"/>
      <c r="H127" s="70" t="s">
        <v>114</v>
      </c>
      <c r="I127" s="69">
        <v>4.51</v>
      </c>
      <c r="J127" s="69"/>
      <c r="K127" s="70" t="s">
        <v>114</v>
      </c>
      <c r="L127" s="69">
        <v>4.9000000000000004</v>
      </c>
      <c r="M127" s="69"/>
      <c r="N127" s="70" t="s">
        <v>114</v>
      </c>
      <c r="O127" s="69">
        <v>2.0299999999999998</v>
      </c>
      <c r="P127" s="69"/>
      <c r="Q127" s="70" t="s">
        <v>114</v>
      </c>
      <c r="R127" s="69">
        <v>2.73</v>
      </c>
      <c r="S127" s="69"/>
      <c r="T127" s="70" t="s">
        <v>114</v>
      </c>
      <c r="U127" s="62" t="s">
        <v>42</v>
      </c>
      <c r="V127" s="63" t="s">
        <v>124</v>
      </c>
    </row>
    <row r="128" spans="1:22" x14ac:dyDescent="0.2">
      <c r="A128" s="37"/>
      <c r="B128" s="58"/>
      <c r="C128" s="54"/>
      <c r="D128" s="54"/>
      <c r="E128" s="71"/>
      <c r="F128" s="54"/>
      <c r="G128" s="54"/>
      <c r="H128" s="71"/>
      <c r="I128" s="54"/>
      <c r="J128" s="54"/>
      <c r="K128" s="71"/>
      <c r="L128" s="54"/>
      <c r="M128" s="54"/>
      <c r="N128" s="71"/>
      <c r="O128" s="54"/>
      <c r="P128" s="54"/>
      <c r="Q128" s="71"/>
      <c r="R128" s="54"/>
      <c r="S128" s="63"/>
      <c r="T128" s="54"/>
      <c r="U128" s="54"/>
      <c r="V128" s="54"/>
    </row>
    <row r="129" spans="1:22" x14ac:dyDescent="0.2">
      <c r="A129" s="37"/>
      <c r="B129" s="55"/>
      <c r="C129" s="55"/>
      <c r="D129" s="56" t="s">
        <v>87</v>
      </c>
      <c r="E129" s="57"/>
      <c r="F129" s="55"/>
      <c r="G129" s="55"/>
      <c r="H129" s="57"/>
      <c r="I129" s="55"/>
      <c r="J129" s="55"/>
      <c r="K129" s="57"/>
      <c r="L129" s="55"/>
      <c r="M129" s="55"/>
      <c r="N129" s="57"/>
      <c r="O129" s="55"/>
      <c r="P129" s="55"/>
      <c r="Q129" s="57"/>
      <c r="R129" s="58"/>
      <c r="S129" s="59"/>
      <c r="T129" s="58"/>
      <c r="U129" s="58"/>
      <c r="V129" s="58"/>
    </row>
    <row r="130" spans="1:22" x14ac:dyDescent="0.2">
      <c r="A130" s="37"/>
      <c r="B130" s="60"/>
      <c r="C130" s="61" t="s">
        <v>31</v>
      </c>
      <c r="D130" s="61" t="s">
        <v>32</v>
      </c>
      <c r="E130" s="61" t="s">
        <v>33</v>
      </c>
      <c r="F130" s="61" t="s">
        <v>31</v>
      </c>
      <c r="G130" s="61" t="s">
        <v>32</v>
      </c>
      <c r="H130" s="61" t="s">
        <v>33</v>
      </c>
      <c r="I130" s="61" t="s">
        <v>31</v>
      </c>
      <c r="J130" s="61" t="s">
        <v>34</v>
      </c>
      <c r="K130" s="61" t="s">
        <v>33</v>
      </c>
      <c r="L130" s="61" t="s">
        <v>31</v>
      </c>
      <c r="M130" s="61" t="s">
        <v>34</v>
      </c>
      <c r="N130" s="61" t="s">
        <v>33</v>
      </c>
      <c r="O130" s="61" t="s">
        <v>31</v>
      </c>
      <c r="P130" s="61" t="s">
        <v>35</v>
      </c>
      <c r="Q130" s="61" t="s">
        <v>33</v>
      </c>
      <c r="R130" s="61" t="s">
        <v>31</v>
      </c>
      <c r="S130" s="61" t="s">
        <v>35</v>
      </c>
      <c r="T130" s="61" t="s">
        <v>33</v>
      </c>
      <c r="U130" s="62" t="s">
        <v>36</v>
      </c>
      <c r="V130" s="63" t="s">
        <v>125</v>
      </c>
    </row>
    <row r="131" spans="1:22" x14ac:dyDescent="0.2">
      <c r="A131" s="37"/>
      <c r="B131" s="64" t="s">
        <v>37</v>
      </c>
      <c r="C131" s="65">
        <v>17.93</v>
      </c>
      <c r="D131" s="65"/>
      <c r="E131" s="66">
        <v>1</v>
      </c>
      <c r="F131" s="65">
        <v>5.99</v>
      </c>
      <c r="G131" s="65"/>
      <c r="H131" s="66" t="s">
        <v>114</v>
      </c>
      <c r="I131" s="65">
        <v>4.3899999999999997</v>
      </c>
      <c r="J131" s="65"/>
      <c r="K131" s="66" t="s">
        <v>114</v>
      </c>
      <c r="L131" s="65">
        <v>8.74</v>
      </c>
      <c r="M131" s="65"/>
      <c r="N131" s="66" t="s">
        <v>114</v>
      </c>
      <c r="O131" s="65">
        <v>3.55</v>
      </c>
      <c r="P131" s="65"/>
      <c r="Q131" s="66" t="s">
        <v>114</v>
      </c>
      <c r="R131" s="65">
        <v>5.29</v>
      </c>
      <c r="S131" s="65"/>
      <c r="T131" s="66" t="s">
        <v>114</v>
      </c>
      <c r="U131" s="62" t="s">
        <v>38</v>
      </c>
      <c r="V131" s="63" t="s">
        <v>126</v>
      </c>
    </row>
    <row r="132" spans="1:22" x14ac:dyDescent="0.2">
      <c r="A132" s="37"/>
      <c r="B132" s="67" t="s">
        <v>39</v>
      </c>
      <c r="C132" s="65">
        <v>5.78</v>
      </c>
      <c r="D132" s="65"/>
      <c r="E132" s="66" t="s">
        <v>114</v>
      </c>
      <c r="F132" s="65">
        <v>12.95</v>
      </c>
      <c r="G132" s="65"/>
      <c r="H132" s="66">
        <v>1</v>
      </c>
      <c r="I132" s="65">
        <v>3.43</v>
      </c>
      <c r="J132" s="65"/>
      <c r="K132" s="66" t="s">
        <v>114</v>
      </c>
      <c r="L132" s="65">
        <v>5.98</v>
      </c>
      <c r="M132" s="65"/>
      <c r="N132" s="66">
        <v>1</v>
      </c>
      <c r="O132" s="65">
        <v>1.65</v>
      </c>
      <c r="P132" s="65"/>
      <c r="Q132" s="66" t="s">
        <v>114</v>
      </c>
      <c r="R132" s="65">
        <v>3.82</v>
      </c>
      <c r="S132" s="65"/>
      <c r="T132" s="66" t="s">
        <v>114</v>
      </c>
      <c r="U132" s="62" t="s">
        <v>40</v>
      </c>
      <c r="V132" s="63" t="s">
        <v>127</v>
      </c>
    </row>
    <row r="133" spans="1:22" x14ac:dyDescent="0.2">
      <c r="A133" s="37"/>
      <c r="B133" s="68" t="s">
        <v>41</v>
      </c>
      <c r="C133" s="69">
        <v>5.47</v>
      </c>
      <c r="D133" s="69"/>
      <c r="E133" s="70" t="s">
        <v>114</v>
      </c>
      <c r="F133" s="69">
        <v>8.35</v>
      </c>
      <c r="G133" s="69"/>
      <c r="H133" s="70" t="s">
        <v>114</v>
      </c>
      <c r="I133" s="69">
        <v>4.9400000000000004</v>
      </c>
      <c r="J133" s="69"/>
      <c r="K133" s="70" t="s">
        <v>114</v>
      </c>
      <c r="L133" s="69">
        <v>4.9000000000000004</v>
      </c>
      <c r="M133" s="69"/>
      <c r="N133" s="70" t="s">
        <v>114</v>
      </c>
      <c r="O133" s="69">
        <v>2.5099999999999998</v>
      </c>
      <c r="P133" s="69"/>
      <c r="Q133" s="70" t="s">
        <v>114</v>
      </c>
      <c r="R133" s="69">
        <v>1.91</v>
      </c>
      <c r="S133" s="69"/>
      <c r="T133" s="70" t="s">
        <v>114</v>
      </c>
      <c r="U133" s="62" t="s">
        <v>42</v>
      </c>
      <c r="V133" s="63" t="s">
        <v>128</v>
      </c>
    </row>
    <row r="134" spans="1:22" x14ac:dyDescent="0.2">
      <c r="A134" s="37"/>
      <c r="B134" s="58"/>
      <c r="C134" s="54"/>
      <c r="D134" s="54"/>
      <c r="E134" s="71"/>
      <c r="F134" s="54"/>
      <c r="G134" s="54"/>
      <c r="H134" s="71"/>
      <c r="I134" s="54"/>
      <c r="J134" s="54"/>
      <c r="K134" s="71"/>
      <c r="L134" s="54"/>
      <c r="M134" s="54"/>
      <c r="N134" s="71"/>
      <c r="O134" s="54"/>
      <c r="P134" s="54"/>
      <c r="Q134" s="71"/>
      <c r="R134" s="54"/>
      <c r="S134" s="63"/>
      <c r="T134" s="54"/>
      <c r="U134" s="54"/>
      <c r="V134" s="54"/>
    </row>
    <row r="135" spans="1:22" x14ac:dyDescent="0.2">
      <c r="A135" s="37"/>
      <c r="B135" s="55"/>
      <c r="C135" s="55"/>
      <c r="D135" s="56" t="s">
        <v>88</v>
      </c>
      <c r="E135" s="57"/>
      <c r="F135" s="55"/>
      <c r="G135" s="55"/>
      <c r="H135" s="57"/>
      <c r="I135" s="55"/>
      <c r="J135" s="55"/>
      <c r="K135" s="57"/>
      <c r="L135" s="55"/>
      <c r="M135" s="55"/>
      <c r="N135" s="57"/>
      <c r="O135" s="55"/>
      <c r="P135" s="55"/>
      <c r="Q135" s="57"/>
      <c r="R135" s="58"/>
      <c r="S135" s="59"/>
      <c r="T135" s="58"/>
      <c r="U135" s="58"/>
      <c r="V135" s="58"/>
    </row>
    <row r="136" spans="1:22" x14ac:dyDescent="0.2">
      <c r="A136" s="37"/>
      <c r="B136" s="60"/>
      <c r="C136" s="61" t="s">
        <v>31</v>
      </c>
      <c r="D136" s="61" t="s">
        <v>32</v>
      </c>
      <c r="E136" s="61" t="s">
        <v>33</v>
      </c>
      <c r="F136" s="61" t="s">
        <v>31</v>
      </c>
      <c r="G136" s="61" t="s">
        <v>32</v>
      </c>
      <c r="H136" s="61" t="s">
        <v>33</v>
      </c>
      <c r="I136" s="61" t="s">
        <v>31</v>
      </c>
      <c r="J136" s="61" t="s">
        <v>34</v>
      </c>
      <c r="K136" s="61" t="s">
        <v>33</v>
      </c>
      <c r="L136" s="61" t="s">
        <v>31</v>
      </c>
      <c r="M136" s="61" t="s">
        <v>34</v>
      </c>
      <c r="N136" s="61" t="s">
        <v>33</v>
      </c>
      <c r="O136" s="61" t="s">
        <v>31</v>
      </c>
      <c r="P136" s="61" t="s">
        <v>35</v>
      </c>
      <c r="Q136" s="61" t="s">
        <v>33</v>
      </c>
      <c r="R136" s="61" t="s">
        <v>31</v>
      </c>
      <c r="S136" s="61" t="s">
        <v>35</v>
      </c>
      <c r="T136" s="61" t="s">
        <v>33</v>
      </c>
      <c r="U136" s="62" t="s">
        <v>36</v>
      </c>
      <c r="V136" s="63" t="s">
        <v>129</v>
      </c>
    </row>
    <row r="137" spans="1:22" x14ac:dyDescent="0.2">
      <c r="A137" s="37"/>
      <c r="B137" s="64" t="s">
        <v>37</v>
      </c>
      <c r="C137" s="65">
        <v>11.59</v>
      </c>
      <c r="D137" s="65"/>
      <c r="E137" s="66">
        <v>1</v>
      </c>
      <c r="F137" s="65">
        <v>24.36</v>
      </c>
      <c r="G137" s="65"/>
      <c r="H137" s="66">
        <v>1</v>
      </c>
      <c r="I137" s="65">
        <v>6.11</v>
      </c>
      <c r="J137" s="65"/>
      <c r="K137" s="66" t="s">
        <v>114</v>
      </c>
      <c r="L137" s="65">
        <v>5.59</v>
      </c>
      <c r="M137" s="65"/>
      <c r="N137" s="66" t="s">
        <v>114</v>
      </c>
      <c r="O137" s="65">
        <v>4.72</v>
      </c>
      <c r="P137" s="65"/>
      <c r="Q137" s="66" t="s">
        <v>114</v>
      </c>
      <c r="R137" s="65">
        <v>6.3</v>
      </c>
      <c r="S137" s="65"/>
      <c r="T137" s="66">
        <v>1</v>
      </c>
      <c r="U137" s="62" t="s">
        <v>38</v>
      </c>
      <c r="V137" s="63" t="s">
        <v>130</v>
      </c>
    </row>
    <row r="138" spans="1:22" x14ac:dyDescent="0.2">
      <c r="A138" s="37"/>
      <c r="B138" s="67" t="s">
        <v>39</v>
      </c>
      <c r="C138" s="65">
        <v>5.9</v>
      </c>
      <c r="D138" s="65"/>
      <c r="E138" s="66" t="s">
        <v>114</v>
      </c>
      <c r="F138" s="65">
        <v>10.5</v>
      </c>
      <c r="G138" s="65"/>
      <c r="H138" s="66">
        <v>1</v>
      </c>
      <c r="I138" s="65">
        <v>4.13</v>
      </c>
      <c r="J138" s="65"/>
      <c r="K138" s="66" t="s">
        <v>114</v>
      </c>
      <c r="L138" s="65">
        <v>5.27</v>
      </c>
      <c r="M138" s="65"/>
      <c r="N138" s="66" t="s">
        <v>114</v>
      </c>
      <c r="O138" s="65">
        <v>3.43</v>
      </c>
      <c r="P138" s="65"/>
      <c r="Q138" s="66" t="s">
        <v>114</v>
      </c>
      <c r="R138" s="65">
        <v>4</v>
      </c>
      <c r="S138" s="65"/>
      <c r="T138" s="66" t="s">
        <v>114</v>
      </c>
      <c r="U138" s="62" t="s">
        <v>40</v>
      </c>
      <c r="V138" s="63" t="s">
        <v>131</v>
      </c>
    </row>
    <row r="139" spans="1:22" x14ac:dyDescent="0.2">
      <c r="A139" s="37"/>
      <c r="B139" s="68" t="s">
        <v>41</v>
      </c>
      <c r="C139" s="69">
        <v>5.9</v>
      </c>
      <c r="D139" s="69"/>
      <c r="E139" s="70" t="s">
        <v>114</v>
      </c>
      <c r="F139" s="69">
        <v>17.309999999999999</v>
      </c>
      <c r="G139" s="69"/>
      <c r="H139" s="70">
        <v>3</v>
      </c>
      <c r="I139" s="69">
        <v>8.4</v>
      </c>
      <c r="J139" s="69"/>
      <c r="K139" s="70">
        <v>1</v>
      </c>
      <c r="L139" s="69">
        <v>4.26</v>
      </c>
      <c r="M139" s="69"/>
      <c r="N139" s="70" t="s">
        <v>114</v>
      </c>
      <c r="O139" s="69">
        <v>3.08</v>
      </c>
      <c r="P139" s="69"/>
      <c r="Q139" s="70" t="s">
        <v>114</v>
      </c>
      <c r="R139" s="69">
        <v>5.94</v>
      </c>
      <c r="S139" s="69"/>
      <c r="T139" s="70">
        <v>1</v>
      </c>
      <c r="U139" s="62" t="s">
        <v>42</v>
      </c>
      <c r="V139" s="63" t="s">
        <v>132</v>
      </c>
    </row>
    <row r="140" spans="1:22" x14ac:dyDescent="0.2">
      <c r="A140" s="37"/>
      <c r="B140" s="58"/>
      <c r="C140" s="54"/>
      <c r="D140" s="54"/>
      <c r="E140" s="71"/>
      <c r="F140" s="54"/>
      <c r="G140" s="54"/>
      <c r="H140" s="71"/>
      <c r="I140" s="54"/>
      <c r="J140" s="54"/>
      <c r="K140" s="71"/>
      <c r="L140" s="54"/>
      <c r="M140" s="54"/>
      <c r="N140" s="71"/>
      <c r="O140" s="54"/>
      <c r="P140" s="54"/>
      <c r="Q140" s="71"/>
      <c r="R140" s="54"/>
      <c r="S140" s="63"/>
      <c r="T140" s="54"/>
      <c r="U140" s="54"/>
      <c r="V140" s="54"/>
    </row>
    <row r="141" spans="1:22" x14ac:dyDescent="0.2">
      <c r="A141" s="37"/>
      <c r="B141" s="55"/>
      <c r="C141" s="55"/>
      <c r="D141" s="56" t="s">
        <v>133</v>
      </c>
      <c r="E141" s="57"/>
      <c r="F141" s="55"/>
      <c r="G141" s="55"/>
      <c r="H141" s="57"/>
      <c r="I141" s="55"/>
      <c r="J141" s="55"/>
      <c r="K141" s="57"/>
      <c r="L141" s="55"/>
      <c r="M141" s="55"/>
      <c r="N141" s="57"/>
      <c r="O141" s="55"/>
      <c r="P141" s="55"/>
      <c r="Q141" s="57"/>
      <c r="R141" s="58"/>
      <c r="S141" s="59"/>
      <c r="T141" s="58"/>
      <c r="U141" s="58"/>
      <c r="V141" s="58"/>
    </row>
    <row r="142" spans="1:22" x14ac:dyDescent="0.2">
      <c r="A142" s="37"/>
      <c r="B142" s="60"/>
      <c r="C142" s="61" t="s">
        <v>31</v>
      </c>
      <c r="D142" s="61" t="s">
        <v>32</v>
      </c>
      <c r="E142" s="61" t="s">
        <v>33</v>
      </c>
      <c r="F142" s="61" t="s">
        <v>31</v>
      </c>
      <c r="G142" s="61" t="s">
        <v>32</v>
      </c>
      <c r="H142" s="61" t="s">
        <v>33</v>
      </c>
      <c r="I142" s="61" t="s">
        <v>31</v>
      </c>
      <c r="J142" s="61" t="s">
        <v>34</v>
      </c>
      <c r="K142" s="61" t="s">
        <v>33</v>
      </c>
      <c r="L142" s="61" t="s">
        <v>31</v>
      </c>
      <c r="M142" s="61" t="s">
        <v>34</v>
      </c>
      <c r="N142" s="61" t="s">
        <v>33</v>
      </c>
      <c r="O142" s="61" t="s">
        <v>31</v>
      </c>
      <c r="P142" s="61" t="s">
        <v>35</v>
      </c>
      <c r="Q142" s="61" t="s">
        <v>33</v>
      </c>
      <c r="R142" s="61" t="s">
        <v>31</v>
      </c>
      <c r="S142" s="61" t="s">
        <v>35</v>
      </c>
      <c r="T142" s="61" t="s">
        <v>33</v>
      </c>
      <c r="U142" s="62" t="s">
        <v>36</v>
      </c>
      <c r="V142" s="63" t="s">
        <v>125</v>
      </c>
    </row>
    <row r="143" spans="1:22" x14ac:dyDescent="0.2">
      <c r="A143" s="37"/>
      <c r="B143" s="64" t="s">
        <v>37</v>
      </c>
      <c r="C143" s="65">
        <v>3.78</v>
      </c>
      <c r="D143" s="65"/>
      <c r="E143" s="66" t="s">
        <v>114</v>
      </c>
      <c r="F143" s="65">
        <v>8.58</v>
      </c>
      <c r="G143" s="65"/>
      <c r="H143" s="66" t="s">
        <v>114</v>
      </c>
      <c r="I143" s="65">
        <v>4.88</v>
      </c>
      <c r="J143" s="65"/>
      <c r="K143" s="66">
        <v>1</v>
      </c>
      <c r="L143" s="65">
        <v>2.2799999999999998</v>
      </c>
      <c r="M143" s="65"/>
      <c r="N143" s="66" t="s">
        <v>114</v>
      </c>
      <c r="O143" s="65">
        <v>1.88</v>
      </c>
      <c r="P143" s="65"/>
      <c r="Q143" s="66" t="s">
        <v>114</v>
      </c>
      <c r="R143" s="65">
        <v>2.67</v>
      </c>
      <c r="S143" s="65"/>
      <c r="T143" s="66" t="s">
        <v>114</v>
      </c>
      <c r="U143" s="62" t="s">
        <v>38</v>
      </c>
      <c r="V143" s="63" t="s">
        <v>134</v>
      </c>
    </row>
    <row r="144" spans="1:22" x14ac:dyDescent="0.2">
      <c r="A144" s="37"/>
      <c r="B144" s="67" t="s">
        <v>39</v>
      </c>
      <c r="C144" s="65">
        <v>2.67</v>
      </c>
      <c r="D144" s="65"/>
      <c r="E144" s="66" t="s">
        <v>114</v>
      </c>
      <c r="F144" s="65">
        <v>5.55</v>
      </c>
      <c r="G144" s="65"/>
      <c r="H144" s="66">
        <v>1</v>
      </c>
      <c r="I144" s="65">
        <v>2.54</v>
      </c>
      <c r="J144" s="65"/>
      <c r="K144" s="66" t="s">
        <v>114</v>
      </c>
      <c r="L144" s="65">
        <v>3.74</v>
      </c>
      <c r="M144" s="65"/>
      <c r="N144" s="66" t="s">
        <v>114</v>
      </c>
      <c r="O144" s="65">
        <v>1.97</v>
      </c>
      <c r="P144" s="65"/>
      <c r="Q144" s="66" t="s">
        <v>114</v>
      </c>
      <c r="R144" s="65">
        <v>2.31</v>
      </c>
      <c r="S144" s="65"/>
      <c r="T144" s="66" t="s">
        <v>114</v>
      </c>
      <c r="U144" s="62" t="s">
        <v>40</v>
      </c>
      <c r="V144" s="63" t="s">
        <v>135</v>
      </c>
    </row>
    <row r="145" spans="1:22" x14ac:dyDescent="0.2">
      <c r="A145" s="37"/>
      <c r="B145" s="68" t="s">
        <v>41</v>
      </c>
      <c r="C145" s="69">
        <v>3.08</v>
      </c>
      <c r="D145" s="69"/>
      <c r="E145" s="70" t="s">
        <v>114</v>
      </c>
      <c r="F145" s="69">
        <v>3.77</v>
      </c>
      <c r="G145" s="69"/>
      <c r="H145" s="70" t="s">
        <v>114</v>
      </c>
      <c r="I145" s="69">
        <v>2.75</v>
      </c>
      <c r="J145" s="69"/>
      <c r="K145" s="70" t="s">
        <v>114</v>
      </c>
      <c r="L145" s="69">
        <v>4.68</v>
      </c>
      <c r="M145" s="69"/>
      <c r="N145" s="70">
        <v>1</v>
      </c>
      <c r="O145" s="69">
        <v>1.71</v>
      </c>
      <c r="P145" s="69"/>
      <c r="Q145" s="70" t="s">
        <v>114</v>
      </c>
      <c r="R145" s="69">
        <v>2.27</v>
      </c>
      <c r="S145" s="69"/>
      <c r="T145" s="70" t="s">
        <v>114</v>
      </c>
      <c r="U145" s="62" t="s">
        <v>42</v>
      </c>
      <c r="V145" s="63" t="s">
        <v>136</v>
      </c>
    </row>
    <row r="146" spans="1:22" x14ac:dyDescent="0.2">
      <c r="A146" s="37"/>
      <c r="B146" s="55"/>
      <c r="C146" s="55"/>
      <c r="D146" s="55"/>
      <c r="E146" s="57"/>
      <c r="F146" s="55"/>
      <c r="G146" s="55"/>
      <c r="H146" s="57"/>
      <c r="I146" s="55"/>
      <c r="J146" s="55"/>
      <c r="K146" s="57"/>
      <c r="L146" s="55"/>
      <c r="M146" s="55"/>
      <c r="N146" s="57"/>
      <c r="O146" s="55"/>
      <c r="P146" s="55"/>
      <c r="Q146" s="57"/>
      <c r="R146" s="54"/>
      <c r="S146" s="54"/>
      <c r="T146" s="58"/>
      <c r="U146" s="58"/>
      <c r="V146" s="59"/>
    </row>
    <row r="147" spans="1:22" x14ac:dyDescent="0.2">
      <c r="A147" s="37"/>
      <c r="B147" s="55"/>
      <c r="C147" s="55"/>
      <c r="D147" s="56" t="s">
        <v>137</v>
      </c>
      <c r="E147" s="57"/>
      <c r="F147" s="55"/>
      <c r="G147" s="55"/>
      <c r="H147" s="57"/>
      <c r="I147" s="55"/>
      <c r="J147" s="55"/>
      <c r="K147" s="57"/>
      <c r="L147" s="55"/>
      <c r="M147" s="55"/>
      <c r="N147" s="57"/>
      <c r="O147" s="55"/>
      <c r="P147" s="55"/>
      <c r="Q147" s="57"/>
      <c r="R147" s="58"/>
      <c r="S147" s="59"/>
      <c r="T147" s="58"/>
      <c r="U147" s="58"/>
      <c r="V147" s="58"/>
    </row>
    <row r="148" spans="1:22" x14ac:dyDescent="0.2">
      <c r="A148" s="37"/>
      <c r="B148" s="60"/>
      <c r="C148" s="61" t="s">
        <v>31</v>
      </c>
      <c r="D148" s="61" t="s">
        <v>32</v>
      </c>
      <c r="E148" s="61" t="s">
        <v>33</v>
      </c>
      <c r="F148" s="61" t="s">
        <v>31</v>
      </c>
      <c r="G148" s="61" t="s">
        <v>32</v>
      </c>
      <c r="H148" s="61" t="s">
        <v>33</v>
      </c>
      <c r="I148" s="61" t="s">
        <v>31</v>
      </c>
      <c r="J148" s="61" t="s">
        <v>34</v>
      </c>
      <c r="K148" s="61" t="s">
        <v>33</v>
      </c>
      <c r="L148" s="61" t="s">
        <v>31</v>
      </c>
      <c r="M148" s="61" t="s">
        <v>34</v>
      </c>
      <c r="N148" s="61" t="s">
        <v>33</v>
      </c>
      <c r="O148" s="61" t="s">
        <v>31</v>
      </c>
      <c r="P148" s="61" t="s">
        <v>35</v>
      </c>
      <c r="Q148" s="61" t="s">
        <v>33</v>
      </c>
      <c r="R148" s="61" t="s">
        <v>31</v>
      </c>
      <c r="S148" s="61" t="s">
        <v>35</v>
      </c>
      <c r="T148" s="61" t="s">
        <v>33</v>
      </c>
      <c r="U148" s="62" t="s">
        <v>36</v>
      </c>
      <c r="V148" s="63" t="s">
        <v>125</v>
      </c>
    </row>
    <row r="149" spans="1:22" x14ac:dyDescent="0.2">
      <c r="A149" s="37"/>
      <c r="B149" s="64" t="s">
        <v>37</v>
      </c>
      <c r="C149" s="65">
        <v>7.06</v>
      </c>
      <c r="D149" s="65"/>
      <c r="E149" s="66" t="s">
        <v>114</v>
      </c>
      <c r="F149" s="65">
        <v>13.61</v>
      </c>
      <c r="G149" s="65"/>
      <c r="H149" s="66" t="s">
        <v>114</v>
      </c>
      <c r="I149" s="65">
        <v>4.6100000000000003</v>
      </c>
      <c r="J149" s="65"/>
      <c r="K149" s="66">
        <v>1</v>
      </c>
      <c r="L149" s="65">
        <v>4.41</v>
      </c>
      <c r="M149" s="65"/>
      <c r="N149" s="66" t="s">
        <v>114</v>
      </c>
      <c r="O149" s="65">
        <v>2.5299999999999998</v>
      </c>
      <c r="P149" s="65"/>
      <c r="Q149" s="66" t="s">
        <v>114</v>
      </c>
      <c r="R149" s="65">
        <v>5.17</v>
      </c>
      <c r="S149" s="65"/>
      <c r="T149" s="66" t="s">
        <v>114</v>
      </c>
      <c r="U149" s="62" t="s">
        <v>38</v>
      </c>
      <c r="V149" s="63" t="s">
        <v>138</v>
      </c>
    </row>
    <row r="150" spans="1:22" x14ac:dyDescent="0.2">
      <c r="A150" s="37"/>
      <c r="B150" s="67" t="s">
        <v>39</v>
      </c>
      <c r="C150" s="65">
        <v>4.03</v>
      </c>
      <c r="D150" s="65"/>
      <c r="E150" s="66" t="s">
        <v>114</v>
      </c>
      <c r="F150" s="65">
        <v>6.32</v>
      </c>
      <c r="G150" s="65"/>
      <c r="H150" s="66">
        <v>1</v>
      </c>
      <c r="I150" s="65">
        <v>6.44</v>
      </c>
      <c r="J150" s="65"/>
      <c r="K150" s="66">
        <v>1</v>
      </c>
      <c r="L150" s="65">
        <v>5.69</v>
      </c>
      <c r="M150" s="65"/>
      <c r="N150" s="66" t="s">
        <v>114</v>
      </c>
      <c r="O150" s="65">
        <v>2.81</v>
      </c>
      <c r="P150" s="65"/>
      <c r="Q150" s="66" t="s">
        <v>114</v>
      </c>
      <c r="R150" s="65">
        <v>2.1800000000000002</v>
      </c>
      <c r="S150" s="65"/>
      <c r="T150" s="66" t="s">
        <v>114</v>
      </c>
      <c r="U150" s="62" t="s">
        <v>40</v>
      </c>
      <c r="V150" s="63" t="s">
        <v>139</v>
      </c>
    </row>
    <row r="151" spans="1:22" x14ac:dyDescent="0.2">
      <c r="A151" s="37"/>
      <c r="B151" s="68" t="s">
        <v>41</v>
      </c>
      <c r="C151" s="69">
        <v>12.36</v>
      </c>
      <c r="D151" s="69"/>
      <c r="E151" s="70" t="s">
        <v>114</v>
      </c>
      <c r="F151" s="69">
        <v>5.29</v>
      </c>
      <c r="G151" s="69"/>
      <c r="H151" s="70" t="s">
        <v>114</v>
      </c>
      <c r="I151" s="69">
        <v>5.74</v>
      </c>
      <c r="J151" s="69"/>
      <c r="K151" s="70" t="s">
        <v>114</v>
      </c>
      <c r="L151" s="69">
        <v>6.03</v>
      </c>
      <c r="M151" s="69"/>
      <c r="N151" s="70" t="s">
        <v>114</v>
      </c>
      <c r="O151" s="69">
        <v>2.59</v>
      </c>
      <c r="P151" s="69"/>
      <c r="Q151" s="70" t="s">
        <v>114</v>
      </c>
      <c r="R151" s="69">
        <v>2.5499999999999998</v>
      </c>
      <c r="S151" s="69"/>
      <c r="T151" s="70" t="s">
        <v>114</v>
      </c>
      <c r="U151" s="62" t="s">
        <v>42</v>
      </c>
      <c r="V151" s="63" t="s">
        <v>140</v>
      </c>
    </row>
    <row r="152" spans="1:22" x14ac:dyDescent="0.2">
      <c r="A152" s="37"/>
      <c r="B152" s="55"/>
      <c r="C152" s="55"/>
      <c r="D152" s="55"/>
      <c r="E152" s="57"/>
      <c r="F152" s="55"/>
      <c r="G152" s="55"/>
      <c r="H152" s="57"/>
      <c r="I152" s="55"/>
      <c r="J152" s="55"/>
      <c r="K152" s="57"/>
      <c r="L152" s="55"/>
      <c r="M152" s="55"/>
      <c r="N152" s="57"/>
      <c r="O152" s="55"/>
      <c r="P152" s="55"/>
      <c r="Q152" s="57"/>
      <c r="R152" s="54"/>
      <c r="S152" s="54"/>
      <c r="T152" s="58"/>
      <c r="U152" s="58"/>
      <c r="V152" s="59"/>
    </row>
    <row r="153" spans="1:22" x14ac:dyDescent="0.2">
      <c r="A153" s="37"/>
      <c r="B153" s="55"/>
      <c r="C153" s="55"/>
      <c r="D153" s="56" t="s">
        <v>141</v>
      </c>
      <c r="E153" s="57"/>
      <c r="F153" s="55"/>
      <c r="G153" s="55"/>
      <c r="H153" s="57"/>
      <c r="I153" s="55"/>
      <c r="J153" s="55"/>
      <c r="K153" s="57"/>
      <c r="L153" s="55"/>
      <c r="M153" s="55"/>
      <c r="N153" s="57"/>
      <c r="O153" s="55"/>
      <c r="P153" s="55"/>
      <c r="Q153" s="57"/>
      <c r="R153" s="58"/>
      <c r="S153" s="59"/>
      <c r="T153" s="58"/>
      <c r="U153" s="58"/>
      <c r="V153" s="58"/>
    </row>
    <row r="154" spans="1:22" x14ac:dyDescent="0.2">
      <c r="A154" s="37"/>
      <c r="B154" s="60"/>
      <c r="C154" s="61" t="s">
        <v>31</v>
      </c>
      <c r="D154" s="61" t="s">
        <v>32</v>
      </c>
      <c r="E154" s="61" t="s">
        <v>33</v>
      </c>
      <c r="F154" s="61" t="s">
        <v>31</v>
      </c>
      <c r="G154" s="61" t="s">
        <v>32</v>
      </c>
      <c r="H154" s="61" t="s">
        <v>33</v>
      </c>
      <c r="I154" s="61" t="s">
        <v>31</v>
      </c>
      <c r="J154" s="61" t="s">
        <v>34</v>
      </c>
      <c r="K154" s="61" t="s">
        <v>33</v>
      </c>
      <c r="L154" s="61" t="s">
        <v>31</v>
      </c>
      <c r="M154" s="61" t="s">
        <v>34</v>
      </c>
      <c r="N154" s="61" t="s">
        <v>33</v>
      </c>
      <c r="O154" s="61" t="s">
        <v>31</v>
      </c>
      <c r="P154" s="61" t="s">
        <v>35</v>
      </c>
      <c r="Q154" s="61" t="s">
        <v>33</v>
      </c>
      <c r="R154" s="61" t="s">
        <v>31</v>
      </c>
      <c r="S154" s="61" t="s">
        <v>35</v>
      </c>
      <c r="T154" s="61" t="s">
        <v>33</v>
      </c>
      <c r="U154" s="62" t="s">
        <v>36</v>
      </c>
      <c r="V154" s="63" t="s">
        <v>142</v>
      </c>
    </row>
    <row r="155" spans="1:22" x14ac:dyDescent="0.2">
      <c r="A155" s="37"/>
      <c r="B155" s="64" t="s">
        <v>37</v>
      </c>
      <c r="C155" s="65">
        <v>4.0199999999999996</v>
      </c>
      <c r="D155" s="65"/>
      <c r="E155" s="66" t="s">
        <v>114</v>
      </c>
      <c r="F155" s="65">
        <v>5.5</v>
      </c>
      <c r="G155" s="65"/>
      <c r="H155" s="66" t="s">
        <v>114</v>
      </c>
      <c r="I155" s="65">
        <v>3.85</v>
      </c>
      <c r="J155" s="65"/>
      <c r="K155" s="66" t="s">
        <v>114</v>
      </c>
      <c r="L155" s="65">
        <v>2.82</v>
      </c>
      <c r="M155" s="65"/>
      <c r="N155" s="66" t="s">
        <v>114</v>
      </c>
      <c r="O155" s="65">
        <v>1.74</v>
      </c>
      <c r="P155" s="65"/>
      <c r="Q155" s="66" t="s">
        <v>114</v>
      </c>
      <c r="R155" s="65">
        <v>2.91</v>
      </c>
      <c r="S155" s="65"/>
      <c r="T155" s="66" t="s">
        <v>114</v>
      </c>
      <c r="U155" s="62" t="s">
        <v>38</v>
      </c>
      <c r="V155" s="63" t="s">
        <v>143</v>
      </c>
    </row>
    <row r="156" spans="1:22" x14ac:dyDescent="0.2">
      <c r="A156" s="37"/>
      <c r="B156" s="67" t="s">
        <v>39</v>
      </c>
      <c r="C156" s="65">
        <v>3.3</v>
      </c>
      <c r="D156" s="65"/>
      <c r="E156" s="66" t="s">
        <v>114</v>
      </c>
      <c r="F156" s="65">
        <v>6.38</v>
      </c>
      <c r="G156" s="65"/>
      <c r="H156" s="66" t="s">
        <v>114</v>
      </c>
      <c r="I156" s="65">
        <v>3.04</v>
      </c>
      <c r="J156" s="65"/>
      <c r="K156" s="66" t="s">
        <v>114</v>
      </c>
      <c r="L156" s="65">
        <v>2.78</v>
      </c>
      <c r="M156" s="65"/>
      <c r="N156" s="66" t="s">
        <v>114</v>
      </c>
      <c r="O156" s="65">
        <v>2.48</v>
      </c>
      <c r="P156" s="65"/>
      <c r="Q156" s="66" t="s">
        <v>114</v>
      </c>
      <c r="R156" s="65">
        <v>1.69</v>
      </c>
      <c r="S156" s="65"/>
      <c r="T156" s="66" t="s">
        <v>114</v>
      </c>
      <c r="U156" s="62" t="s">
        <v>40</v>
      </c>
      <c r="V156" s="63" t="s">
        <v>144</v>
      </c>
    </row>
    <row r="157" spans="1:22" x14ac:dyDescent="0.2">
      <c r="A157" s="37"/>
      <c r="B157" s="68" t="s">
        <v>41</v>
      </c>
      <c r="C157" s="69">
        <v>3.75</v>
      </c>
      <c r="D157" s="69"/>
      <c r="E157" s="70" t="s">
        <v>114</v>
      </c>
      <c r="F157" s="69">
        <v>6.38</v>
      </c>
      <c r="G157" s="69"/>
      <c r="H157" s="70" t="s">
        <v>114</v>
      </c>
      <c r="I157" s="69">
        <v>3.04</v>
      </c>
      <c r="J157" s="69"/>
      <c r="K157" s="70" t="s">
        <v>114</v>
      </c>
      <c r="L157" s="69">
        <v>2.78</v>
      </c>
      <c r="M157" s="69"/>
      <c r="N157" s="70" t="s">
        <v>114</v>
      </c>
      <c r="O157" s="69">
        <v>2.48</v>
      </c>
      <c r="P157" s="69"/>
      <c r="Q157" s="70" t="s">
        <v>114</v>
      </c>
      <c r="R157" s="69">
        <v>1.69</v>
      </c>
      <c r="S157" s="69"/>
      <c r="T157" s="70" t="s">
        <v>114</v>
      </c>
      <c r="U157" s="62" t="s">
        <v>42</v>
      </c>
      <c r="V157" s="63" t="s">
        <v>145</v>
      </c>
    </row>
    <row r="158" spans="1:22" x14ac:dyDescent="0.2">
      <c r="A158" s="37"/>
      <c r="B158" s="55"/>
      <c r="C158" s="55"/>
      <c r="D158" s="55"/>
      <c r="E158" s="57"/>
      <c r="F158" s="55"/>
      <c r="G158" s="55"/>
      <c r="H158" s="57"/>
      <c r="I158" s="55"/>
      <c r="J158" s="55"/>
      <c r="K158" s="57"/>
      <c r="L158" s="55"/>
      <c r="M158" s="55"/>
      <c r="N158" s="57"/>
      <c r="O158" s="55"/>
      <c r="P158" s="55"/>
      <c r="Q158" s="57"/>
      <c r="R158" s="54"/>
      <c r="S158" s="54"/>
      <c r="T158" s="58"/>
      <c r="U158" s="58"/>
      <c r="V158" s="59"/>
    </row>
    <row r="159" spans="1:22" x14ac:dyDescent="0.2">
      <c r="A159" s="37"/>
      <c r="B159" s="55"/>
      <c r="C159" s="55"/>
      <c r="D159" s="56" t="s">
        <v>146</v>
      </c>
      <c r="E159" s="57"/>
      <c r="F159" s="55"/>
      <c r="G159" s="55"/>
      <c r="H159" s="57"/>
      <c r="I159" s="55"/>
      <c r="J159" s="55"/>
      <c r="K159" s="57"/>
      <c r="L159" s="55"/>
      <c r="M159" s="55"/>
      <c r="N159" s="57"/>
      <c r="O159" s="55"/>
      <c r="P159" s="55"/>
      <c r="Q159" s="57"/>
      <c r="R159" s="58"/>
      <c r="S159" s="59"/>
      <c r="T159" s="58"/>
      <c r="U159" s="58"/>
      <c r="V159" s="58"/>
    </row>
    <row r="160" spans="1:22" x14ac:dyDescent="0.2">
      <c r="A160" s="37"/>
      <c r="B160" s="60"/>
      <c r="C160" s="61" t="s">
        <v>31</v>
      </c>
      <c r="D160" s="61" t="s">
        <v>32</v>
      </c>
      <c r="E160" s="61" t="s">
        <v>33</v>
      </c>
      <c r="F160" s="61" t="s">
        <v>31</v>
      </c>
      <c r="G160" s="61" t="s">
        <v>32</v>
      </c>
      <c r="H160" s="61" t="s">
        <v>33</v>
      </c>
      <c r="I160" s="61" t="s">
        <v>31</v>
      </c>
      <c r="J160" s="61" t="s">
        <v>34</v>
      </c>
      <c r="K160" s="61" t="s">
        <v>33</v>
      </c>
      <c r="L160" s="61" t="s">
        <v>31</v>
      </c>
      <c r="M160" s="61" t="s">
        <v>34</v>
      </c>
      <c r="N160" s="61" t="s">
        <v>33</v>
      </c>
      <c r="O160" s="61" t="s">
        <v>31</v>
      </c>
      <c r="P160" s="61" t="s">
        <v>35</v>
      </c>
      <c r="Q160" s="61" t="s">
        <v>33</v>
      </c>
      <c r="R160" s="61" t="s">
        <v>31</v>
      </c>
      <c r="S160" s="61" t="s">
        <v>35</v>
      </c>
      <c r="T160" s="61" t="s">
        <v>33</v>
      </c>
      <c r="U160" s="62" t="s">
        <v>36</v>
      </c>
      <c r="V160" s="63" t="s">
        <v>125</v>
      </c>
    </row>
    <row r="161" spans="1:22" x14ac:dyDescent="0.2">
      <c r="A161" s="37"/>
      <c r="B161" s="64" t="s">
        <v>37</v>
      </c>
      <c r="C161" s="65">
        <v>5.21</v>
      </c>
      <c r="D161" s="65"/>
      <c r="E161" s="66" t="s">
        <v>114</v>
      </c>
      <c r="F161" s="65">
        <v>6.35</v>
      </c>
      <c r="G161" s="65"/>
      <c r="H161" s="66">
        <v>1</v>
      </c>
      <c r="I161" s="65">
        <v>3.32</v>
      </c>
      <c r="J161" s="65"/>
      <c r="K161" s="66" t="s">
        <v>114</v>
      </c>
      <c r="L161" s="65">
        <v>5.59</v>
      </c>
      <c r="M161" s="65"/>
      <c r="N161" s="66">
        <v>1</v>
      </c>
      <c r="O161" s="65">
        <v>2.96</v>
      </c>
      <c r="P161" s="65"/>
      <c r="Q161" s="66" t="s">
        <v>114</v>
      </c>
      <c r="R161" s="65">
        <v>2.4500000000000002</v>
      </c>
      <c r="S161" s="65"/>
      <c r="T161" s="66" t="s">
        <v>114</v>
      </c>
      <c r="U161" s="62" t="s">
        <v>38</v>
      </c>
      <c r="V161" s="63" t="s">
        <v>147</v>
      </c>
    </row>
    <row r="162" spans="1:22" x14ac:dyDescent="0.2">
      <c r="A162" s="37"/>
      <c r="B162" s="67" t="s">
        <v>39</v>
      </c>
      <c r="C162" s="65">
        <v>4.42</v>
      </c>
      <c r="D162" s="65"/>
      <c r="E162" s="66">
        <v>1</v>
      </c>
      <c r="F162" s="65">
        <v>5.36</v>
      </c>
      <c r="G162" s="65"/>
      <c r="H162" s="66" t="s">
        <v>114</v>
      </c>
      <c r="I162" s="65">
        <v>3.03</v>
      </c>
      <c r="J162" s="65"/>
      <c r="K162" s="66" t="s">
        <v>114</v>
      </c>
      <c r="L162" s="65">
        <v>2.6</v>
      </c>
      <c r="M162" s="65"/>
      <c r="N162" s="66" t="s">
        <v>114</v>
      </c>
      <c r="O162" s="65">
        <v>1.62</v>
      </c>
      <c r="P162" s="65"/>
      <c r="Q162" s="66" t="s">
        <v>114</v>
      </c>
      <c r="R162" s="65">
        <v>2.5</v>
      </c>
      <c r="S162" s="65"/>
      <c r="T162" s="66" t="s">
        <v>114</v>
      </c>
      <c r="U162" s="62" t="s">
        <v>40</v>
      </c>
      <c r="V162" s="63" t="s">
        <v>148</v>
      </c>
    </row>
    <row r="163" spans="1:22" x14ac:dyDescent="0.2">
      <c r="A163" s="37"/>
      <c r="B163" s="68" t="s">
        <v>41</v>
      </c>
      <c r="C163" s="69">
        <v>4.5999999999999996</v>
      </c>
      <c r="D163" s="69"/>
      <c r="E163" s="70" t="s">
        <v>114</v>
      </c>
      <c r="F163" s="69">
        <v>3.1</v>
      </c>
      <c r="G163" s="69"/>
      <c r="H163" s="70" t="s">
        <v>114</v>
      </c>
      <c r="I163" s="69">
        <v>5.0599999999999996</v>
      </c>
      <c r="J163" s="69"/>
      <c r="K163" s="70" t="s">
        <v>114</v>
      </c>
      <c r="L163" s="69">
        <v>2.42</v>
      </c>
      <c r="M163" s="69"/>
      <c r="N163" s="70" t="s">
        <v>114</v>
      </c>
      <c r="O163" s="69">
        <v>3</v>
      </c>
      <c r="P163" s="69"/>
      <c r="Q163" s="70" t="s">
        <v>114</v>
      </c>
      <c r="R163" s="69">
        <v>2.8</v>
      </c>
      <c r="S163" s="69"/>
      <c r="T163" s="70" t="s">
        <v>114</v>
      </c>
      <c r="U163" s="62" t="s">
        <v>42</v>
      </c>
      <c r="V163" s="63" t="s">
        <v>149</v>
      </c>
    </row>
    <row r="164" spans="1:22" x14ac:dyDescent="0.2">
      <c r="A164" s="37"/>
      <c r="B164" s="55"/>
      <c r="C164" s="55"/>
      <c r="D164" s="55"/>
      <c r="E164" s="57"/>
      <c r="F164" s="55"/>
      <c r="G164" s="55"/>
      <c r="H164" s="57"/>
      <c r="I164" s="55"/>
      <c r="J164" s="55"/>
      <c r="K164" s="57"/>
      <c r="L164" s="55"/>
      <c r="M164" s="55"/>
      <c r="N164" s="57"/>
      <c r="O164" s="55"/>
      <c r="P164" s="55"/>
      <c r="Q164" s="57"/>
      <c r="R164" s="54"/>
      <c r="S164" s="54"/>
      <c r="T164" s="58"/>
      <c r="U164" s="58"/>
      <c r="V164" s="59"/>
    </row>
    <row r="165" spans="1:22" x14ac:dyDescent="0.2">
      <c r="A165" s="37"/>
      <c r="B165" s="55"/>
      <c r="C165" s="55"/>
      <c r="D165" s="56" t="s">
        <v>150</v>
      </c>
      <c r="E165" s="57"/>
      <c r="F165" s="55"/>
      <c r="G165" s="55"/>
      <c r="H165" s="57"/>
      <c r="I165" s="55"/>
      <c r="J165" s="55"/>
      <c r="K165" s="57"/>
      <c r="L165" s="55"/>
      <c r="M165" s="55"/>
      <c r="N165" s="57"/>
      <c r="O165" s="55"/>
      <c r="P165" s="55"/>
      <c r="Q165" s="57"/>
      <c r="R165" s="58"/>
      <c r="S165" s="59"/>
      <c r="T165" s="58"/>
      <c r="U165" s="58"/>
      <c r="V165" s="58"/>
    </row>
    <row r="166" spans="1:22" x14ac:dyDescent="0.2">
      <c r="A166" s="37"/>
      <c r="B166" s="60"/>
      <c r="C166" s="61" t="s">
        <v>31</v>
      </c>
      <c r="D166" s="61" t="s">
        <v>32</v>
      </c>
      <c r="E166" s="61" t="s">
        <v>33</v>
      </c>
      <c r="F166" s="61" t="s">
        <v>31</v>
      </c>
      <c r="G166" s="61" t="s">
        <v>32</v>
      </c>
      <c r="H166" s="61" t="s">
        <v>33</v>
      </c>
      <c r="I166" s="61" t="s">
        <v>31</v>
      </c>
      <c r="J166" s="61" t="s">
        <v>34</v>
      </c>
      <c r="K166" s="61" t="s">
        <v>33</v>
      </c>
      <c r="L166" s="61" t="s">
        <v>31</v>
      </c>
      <c r="M166" s="61" t="s">
        <v>34</v>
      </c>
      <c r="N166" s="61" t="s">
        <v>33</v>
      </c>
      <c r="O166" s="61" t="s">
        <v>31</v>
      </c>
      <c r="P166" s="61" t="s">
        <v>35</v>
      </c>
      <c r="Q166" s="61" t="s">
        <v>33</v>
      </c>
      <c r="R166" s="61" t="s">
        <v>31</v>
      </c>
      <c r="S166" s="61" t="s">
        <v>35</v>
      </c>
      <c r="T166" s="61" t="s">
        <v>33</v>
      </c>
      <c r="U166" s="62" t="s">
        <v>36</v>
      </c>
      <c r="V166" s="63" t="s">
        <v>151</v>
      </c>
    </row>
    <row r="167" spans="1:22" x14ac:dyDescent="0.2">
      <c r="A167" s="37"/>
      <c r="B167" s="64" t="s">
        <v>37</v>
      </c>
      <c r="C167" s="65">
        <v>9.4</v>
      </c>
      <c r="D167" s="65"/>
      <c r="E167" s="66">
        <v>1</v>
      </c>
      <c r="F167" s="65">
        <v>5.23</v>
      </c>
      <c r="G167" s="65"/>
      <c r="H167" s="66" t="s">
        <v>114</v>
      </c>
      <c r="I167" s="65">
        <v>7.7</v>
      </c>
      <c r="J167" s="65"/>
      <c r="K167" s="66" t="s">
        <v>114</v>
      </c>
      <c r="L167" s="65">
        <v>4.83</v>
      </c>
      <c r="M167" s="65"/>
      <c r="N167" s="66" t="s">
        <v>114</v>
      </c>
      <c r="O167" s="65">
        <v>12.99</v>
      </c>
      <c r="P167" s="65"/>
      <c r="Q167" s="66">
        <v>2</v>
      </c>
      <c r="R167" s="65">
        <v>12.95</v>
      </c>
      <c r="S167" s="65"/>
      <c r="T167" s="66">
        <v>2</v>
      </c>
      <c r="U167" s="62" t="s">
        <v>38</v>
      </c>
      <c r="V167" s="63" t="s">
        <v>152</v>
      </c>
    </row>
    <row r="168" spans="1:22" x14ac:dyDescent="0.2">
      <c r="A168" s="37"/>
      <c r="B168" s="67" t="s">
        <v>39</v>
      </c>
      <c r="C168" s="65">
        <v>9.76</v>
      </c>
      <c r="D168" s="65"/>
      <c r="E168" s="66" t="s">
        <v>114</v>
      </c>
      <c r="F168" s="65">
        <v>14.16</v>
      </c>
      <c r="G168" s="65"/>
      <c r="H168" s="66">
        <v>1</v>
      </c>
      <c r="I168" s="65">
        <v>9.02</v>
      </c>
      <c r="J168" s="65"/>
      <c r="K168" s="66" t="s">
        <v>114</v>
      </c>
      <c r="L168" s="65">
        <v>5.5</v>
      </c>
      <c r="M168" s="65"/>
      <c r="N168" s="66" t="s">
        <v>114</v>
      </c>
      <c r="O168" s="65">
        <v>4.55</v>
      </c>
      <c r="P168" s="65"/>
      <c r="Q168" s="66" t="s">
        <v>114</v>
      </c>
      <c r="R168" s="65">
        <v>2.5499999999999998</v>
      </c>
      <c r="S168" s="65"/>
      <c r="T168" s="66" t="s">
        <v>114</v>
      </c>
      <c r="U168" s="62" t="s">
        <v>40</v>
      </c>
      <c r="V168" s="63" t="s">
        <v>153</v>
      </c>
    </row>
    <row r="169" spans="1:22" x14ac:dyDescent="0.2">
      <c r="A169" s="37"/>
      <c r="B169" s="68" t="s">
        <v>41</v>
      </c>
      <c r="C169" s="69">
        <v>3.16</v>
      </c>
      <c r="D169" s="69"/>
      <c r="E169" s="70" t="s">
        <v>114</v>
      </c>
      <c r="F169" s="69">
        <v>4.5999999999999996</v>
      </c>
      <c r="G169" s="69"/>
      <c r="H169" s="70" t="s">
        <v>114</v>
      </c>
      <c r="I169" s="69">
        <v>3.93</v>
      </c>
      <c r="J169" s="69"/>
      <c r="K169" s="70" t="s">
        <v>114</v>
      </c>
      <c r="L169" s="69">
        <v>2.52</v>
      </c>
      <c r="M169" s="69"/>
      <c r="N169" s="70" t="s">
        <v>114</v>
      </c>
      <c r="O169" s="69">
        <v>3.69</v>
      </c>
      <c r="P169" s="69"/>
      <c r="Q169" s="70" t="s">
        <v>114</v>
      </c>
      <c r="R169" s="69">
        <v>4.33</v>
      </c>
      <c r="S169" s="69"/>
      <c r="T169" s="70" t="s">
        <v>114</v>
      </c>
      <c r="U169" s="62" t="s">
        <v>42</v>
      </c>
      <c r="V169" s="63" t="s">
        <v>154</v>
      </c>
    </row>
    <row r="170" spans="1:22" x14ac:dyDescent="0.2">
      <c r="A170" s="37"/>
      <c r="B170" s="55"/>
      <c r="C170" s="55"/>
      <c r="D170" s="55"/>
      <c r="E170" s="57"/>
      <c r="F170" s="55"/>
      <c r="G170" s="55"/>
      <c r="H170" s="57"/>
      <c r="I170" s="55"/>
      <c r="J170" s="55"/>
      <c r="K170" s="57"/>
      <c r="L170" s="55"/>
      <c r="M170" s="55"/>
      <c r="N170" s="57"/>
      <c r="O170" s="55"/>
      <c r="P170" s="55"/>
      <c r="Q170" s="57"/>
      <c r="R170" s="54"/>
      <c r="S170" s="54"/>
      <c r="T170" s="58"/>
      <c r="U170" s="58"/>
      <c r="V170" s="59"/>
    </row>
    <row r="171" spans="1:22" x14ac:dyDescent="0.2">
      <c r="A171" s="37"/>
      <c r="B171" s="55"/>
      <c r="C171" s="55"/>
      <c r="D171" s="56" t="s">
        <v>155</v>
      </c>
      <c r="E171" s="57"/>
      <c r="F171" s="55"/>
      <c r="G171" s="55"/>
      <c r="H171" s="57"/>
      <c r="I171" s="55"/>
      <c r="J171" s="55"/>
      <c r="K171" s="57"/>
      <c r="L171" s="55"/>
      <c r="M171" s="55"/>
      <c r="N171" s="57"/>
      <c r="O171" s="55"/>
      <c r="P171" s="55"/>
      <c r="Q171" s="57"/>
      <c r="R171" s="58"/>
      <c r="S171" s="59"/>
      <c r="T171" s="58"/>
      <c r="U171" s="58"/>
      <c r="V171" s="58"/>
    </row>
    <row r="172" spans="1:22" x14ac:dyDescent="0.2">
      <c r="A172" s="37"/>
      <c r="B172" s="60"/>
      <c r="C172" s="61" t="s">
        <v>31</v>
      </c>
      <c r="D172" s="61" t="s">
        <v>32</v>
      </c>
      <c r="E172" s="61" t="s">
        <v>33</v>
      </c>
      <c r="F172" s="61" t="s">
        <v>31</v>
      </c>
      <c r="G172" s="61" t="s">
        <v>32</v>
      </c>
      <c r="H172" s="61" t="s">
        <v>33</v>
      </c>
      <c r="I172" s="61" t="s">
        <v>31</v>
      </c>
      <c r="J172" s="61" t="s">
        <v>34</v>
      </c>
      <c r="K172" s="61" t="s">
        <v>33</v>
      </c>
      <c r="L172" s="61" t="s">
        <v>31</v>
      </c>
      <c r="M172" s="61" t="s">
        <v>34</v>
      </c>
      <c r="N172" s="61" t="s">
        <v>33</v>
      </c>
      <c r="O172" s="61" t="s">
        <v>31</v>
      </c>
      <c r="P172" s="61" t="s">
        <v>35</v>
      </c>
      <c r="Q172" s="61" t="s">
        <v>33</v>
      </c>
      <c r="R172" s="61" t="s">
        <v>31</v>
      </c>
      <c r="S172" s="61" t="s">
        <v>35</v>
      </c>
      <c r="T172" s="61" t="s">
        <v>33</v>
      </c>
      <c r="U172" s="62" t="s">
        <v>36</v>
      </c>
      <c r="V172" s="63" t="s">
        <v>156</v>
      </c>
    </row>
    <row r="173" spans="1:22" x14ac:dyDescent="0.2">
      <c r="A173" s="37"/>
      <c r="B173" s="64" t="s">
        <v>37</v>
      </c>
      <c r="C173" s="65">
        <v>4.8600000000000003</v>
      </c>
      <c r="D173" s="65"/>
      <c r="E173" s="66" t="s">
        <v>114</v>
      </c>
      <c r="F173" s="65">
        <v>4.43</v>
      </c>
      <c r="G173" s="65"/>
      <c r="H173" s="66" t="s">
        <v>114</v>
      </c>
      <c r="I173" s="65">
        <v>3.83</v>
      </c>
      <c r="J173" s="65"/>
      <c r="K173" s="66" t="s">
        <v>114</v>
      </c>
      <c r="L173" s="65">
        <v>4.5999999999999996</v>
      </c>
      <c r="M173" s="65"/>
      <c r="N173" s="66">
        <v>1</v>
      </c>
      <c r="O173" s="65">
        <v>4.1500000000000004</v>
      </c>
      <c r="P173" s="65"/>
      <c r="Q173" s="66" t="s">
        <v>114</v>
      </c>
      <c r="R173" s="65">
        <v>2.6</v>
      </c>
      <c r="S173" s="65"/>
      <c r="T173" s="66" t="s">
        <v>114</v>
      </c>
      <c r="U173" s="62" t="s">
        <v>38</v>
      </c>
      <c r="V173" s="63" t="s">
        <v>157</v>
      </c>
    </row>
    <row r="174" spans="1:22" x14ac:dyDescent="0.2">
      <c r="A174" s="37"/>
      <c r="B174" s="67" t="s">
        <v>39</v>
      </c>
      <c r="C174" s="65">
        <v>5.0199999999999996</v>
      </c>
      <c r="D174" s="65"/>
      <c r="E174" s="66" t="s">
        <v>114</v>
      </c>
      <c r="F174" s="65">
        <v>4.2300000000000004</v>
      </c>
      <c r="G174" s="65"/>
      <c r="H174" s="66" t="s">
        <v>114</v>
      </c>
      <c r="I174" s="65">
        <v>3.86</v>
      </c>
      <c r="J174" s="65"/>
      <c r="K174" s="66">
        <v>1</v>
      </c>
      <c r="L174" s="65">
        <v>4.12</v>
      </c>
      <c r="M174" s="65"/>
      <c r="N174" s="66" t="s">
        <v>114</v>
      </c>
      <c r="O174" s="65">
        <v>4.8600000000000003</v>
      </c>
      <c r="P174" s="65"/>
      <c r="Q174" s="66" t="s">
        <v>114</v>
      </c>
      <c r="R174" s="65">
        <v>4.3</v>
      </c>
      <c r="S174" s="65"/>
      <c r="T174" s="66" t="s">
        <v>114</v>
      </c>
      <c r="U174" s="62" t="s">
        <v>40</v>
      </c>
      <c r="V174" s="63" t="s">
        <v>158</v>
      </c>
    </row>
    <row r="175" spans="1:22" x14ac:dyDescent="0.2">
      <c r="A175" s="37"/>
      <c r="B175" s="68" t="s">
        <v>41</v>
      </c>
      <c r="C175" s="69">
        <v>2.95</v>
      </c>
      <c r="D175" s="69"/>
      <c r="E175" s="70" t="s">
        <v>114</v>
      </c>
      <c r="F175" s="69">
        <v>4.1100000000000003</v>
      </c>
      <c r="G175" s="69"/>
      <c r="H175" s="70" t="s">
        <v>114</v>
      </c>
      <c r="I175" s="69">
        <v>3.2</v>
      </c>
      <c r="J175" s="69"/>
      <c r="K175" s="70" t="s">
        <v>114</v>
      </c>
      <c r="L175" s="69">
        <v>3.32</v>
      </c>
      <c r="M175" s="69"/>
      <c r="N175" s="70" t="s">
        <v>114</v>
      </c>
      <c r="O175" s="69">
        <v>3.82</v>
      </c>
      <c r="P175" s="69"/>
      <c r="Q175" s="70" t="s">
        <v>114</v>
      </c>
      <c r="R175" s="69">
        <v>3.32</v>
      </c>
      <c r="S175" s="69"/>
      <c r="T175" s="70" t="s">
        <v>114</v>
      </c>
      <c r="U175" s="62" t="s">
        <v>42</v>
      </c>
      <c r="V175" s="63" t="s">
        <v>159</v>
      </c>
    </row>
    <row r="176" spans="1:22" x14ac:dyDescent="0.2">
      <c r="A176" s="37"/>
      <c r="B176" s="55"/>
      <c r="C176" s="55"/>
      <c r="D176" s="55"/>
      <c r="E176" s="57"/>
      <c r="F176" s="55"/>
      <c r="G176" s="55"/>
      <c r="H176" s="57"/>
      <c r="I176" s="55"/>
      <c r="J176" s="55"/>
      <c r="K176" s="57"/>
      <c r="L176" s="55"/>
      <c r="M176" s="55"/>
      <c r="N176" s="57"/>
      <c r="O176" s="55"/>
      <c r="P176" s="55"/>
      <c r="Q176" s="57"/>
      <c r="R176" s="54"/>
      <c r="S176" s="54"/>
      <c r="T176" s="58"/>
      <c r="U176" s="58"/>
      <c r="V176" s="59"/>
    </row>
    <row r="177" spans="1:22" x14ac:dyDescent="0.2">
      <c r="A177" s="37"/>
      <c r="B177" s="55"/>
      <c r="C177" s="55"/>
      <c r="D177" s="56" t="s">
        <v>160</v>
      </c>
      <c r="E177" s="57"/>
      <c r="F177" s="55"/>
      <c r="G177" s="55"/>
      <c r="H177" s="57"/>
      <c r="I177" s="55"/>
      <c r="J177" s="55"/>
      <c r="K177" s="57"/>
      <c r="L177" s="55"/>
      <c r="M177" s="55"/>
      <c r="N177" s="57"/>
      <c r="O177" s="55"/>
      <c r="P177" s="55"/>
      <c r="Q177" s="57"/>
      <c r="R177" s="58"/>
      <c r="S177" s="59"/>
      <c r="T177" s="58"/>
      <c r="U177" s="58"/>
      <c r="V177" s="58"/>
    </row>
    <row r="178" spans="1:22" x14ac:dyDescent="0.2">
      <c r="A178" s="37"/>
      <c r="B178" s="60"/>
      <c r="C178" s="61" t="s">
        <v>31</v>
      </c>
      <c r="D178" s="61" t="s">
        <v>32</v>
      </c>
      <c r="E178" s="61" t="s">
        <v>33</v>
      </c>
      <c r="F178" s="61" t="s">
        <v>31</v>
      </c>
      <c r="G178" s="61" t="s">
        <v>32</v>
      </c>
      <c r="H178" s="61" t="s">
        <v>33</v>
      </c>
      <c r="I178" s="61" t="s">
        <v>31</v>
      </c>
      <c r="J178" s="61" t="s">
        <v>34</v>
      </c>
      <c r="K178" s="61" t="s">
        <v>33</v>
      </c>
      <c r="L178" s="61" t="s">
        <v>31</v>
      </c>
      <c r="M178" s="61" t="s">
        <v>34</v>
      </c>
      <c r="N178" s="61" t="s">
        <v>33</v>
      </c>
      <c r="O178" s="61" t="s">
        <v>31</v>
      </c>
      <c r="P178" s="61" t="s">
        <v>35</v>
      </c>
      <c r="Q178" s="61" t="s">
        <v>33</v>
      </c>
      <c r="R178" s="61" t="s">
        <v>31</v>
      </c>
      <c r="S178" s="61" t="s">
        <v>35</v>
      </c>
      <c r="T178" s="61" t="s">
        <v>33</v>
      </c>
      <c r="U178" s="62" t="s">
        <v>36</v>
      </c>
      <c r="V178" s="63" t="s">
        <v>161</v>
      </c>
    </row>
    <row r="179" spans="1:22" x14ac:dyDescent="0.2">
      <c r="A179" s="37"/>
      <c r="B179" s="64" t="s">
        <v>37</v>
      </c>
      <c r="C179" s="65">
        <v>3.16</v>
      </c>
      <c r="D179" s="65"/>
      <c r="E179" s="66" t="s">
        <v>114</v>
      </c>
      <c r="F179" s="65">
        <v>8.7899999999999991</v>
      </c>
      <c r="G179" s="65"/>
      <c r="H179" s="66" t="s">
        <v>114</v>
      </c>
      <c r="I179" s="65">
        <v>3.45</v>
      </c>
      <c r="J179" s="65"/>
      <c r="K179" s="66" t="s">
        <v>114</v>
      </c>
      <c r="L179" s="65">
        <v>3.4</v>
      </c>
      <c r="M179" s="65"/>
      <c r="N179" s="66" t="s">
        <v>114</v>
      </c>
      <c r="O179" s="65">
        <v>1.8</v>
      </c>
      <c r="P179" s="65"/>
      <c r="Q179" s="66" t="s">
        <v>114</v>
      </c>
      <c r="R179" s="65">
        <v>4.5999999999999996</v>
      </c>
      <c r="S179" s="65"/>
      <c r="T179" s="66" t="s">
        <v>114</v>
      </c>
      <c r="U179" s="62" t="s">
        <v>38</v>
      </c>
      <c r="V179" s="63" t="s">
        <v>162</v>
      </c>
    </row>
    <row r="180" spans="1:22" x14ac:dyDescent="0.2">
      <c r="A180" s="37"/>
      <c r="B180" s="67" t="s">
        <v>39</v>
      </c>
      <c r="C180" s="65">
        <v>4.83</v>
      </c>
      <c r="D180" s="65"/>
      <c r="E180" s="66" t="s">
        <v>114</v>
      </c>
      <c r="F180" s="65">
        <v>5.55</v>
      </c>
      <c r="G180" s="65"/>
      <c r="H180" s="66" t="s">
        <v>114</v>
      </c>
      <c r="I180" s="65">
        <v>2.59</v>
      </c>
      <c r="J180" s="65"/>
      <c r="K180" s="66" t="s">
        <v>114</v>
      </c>
      <c r="L180" s="65">
        <v>4.63</v>
      </c>
      <c r="M180" s="65"/>
      <c r="N180" s="66" t="s">
        <v>114</v>
      </c>
      <c r="O180" s="65">
        <v>1.92</v>
      </c>
      <c r="P180" s="65"/>
      <c r="Q180" s="66" t="s">
        <v>114</v>
      </c>
      <c r="R180" s="65">
        <v>3.32</v>
      </c>
      <c r="S180" s="65"/>
      <c r="T180" s="66">
        <v>1</v>
      </c>
      <c r="U180" s="62" t="s">
        <v>40</v>
      </c>
      <c r="V180" s="63" t="s">
        <v>163</v>
      </c>
    </row>
    <row r="181" spans="1:22" x14ac:dyDescent="0.2">
      <c r="A181" s="37"/>
      <c r="B181" s="68" t="s">
        <v>41</v>
      </c>
      <c r="C181" s="69">
        <v>5.21</v>
      </c>
      <c r="D181" s="69"/>
      <c r="E181" s="70" t="s">
        <v>114</v>
      </c>
      <c r="F181" s="69">
        <v>2.63</v>
      </c>
      <c r="G181" s="69"/>
      <c r="H181" s="70" t="s">
        <v>114</v>
      </c>
      <c r="I181" s="69">
        <v>5.7</v>
      </c>
      <c r="J181" s="69"/>
      <c r="K181" s="70" t="s">
        <v>114</v>
      </c>
      <c r="L181" s="69">
        <v>4.6900000000000004</v>
      </c>
      <c r="M181" s="69"/>
      <c r="N181" s="70" t="s">
        <v>114</v>
      </c>
      <c r="O181" s="69">
        <v>1.39</v>
      </c>
      <c r="P181" s="69"/>
      <c r="Q181" s="70" t="s">
        <v>114</v>
      </c>
      <c r="R181" s="69">
        <v>6.19</v>
      </c>
      <c r="S181" s="69"/>
      <c r="T181" s="70" t="s">
        <v>114</v>
      </c>
      <c r="U181" s="62" t="s">
        <v>42</v>
      </c>
      <c r="V181" s="63" t="s">
        <v>164</v>
      </c>
    </row>
    <row r="182" spans="1:22" x14ac:dyDescent="0.2">
      <c r="A182" s="37"/>
      <c r="B182" s="55"/>
      <c r="C182" s="55"/>
      <c r="D182" s="55"/>
      <c r="E182" s="57"/>
      <c r="F182" s="55"/>
      <c r="G182" s="55"/>
      <c r="H182" s="57"/>
      <c r="I182" s="55"/>
      <c r="J182" s="55"/>
      <c r="K182" s="57"/>
      <c r="L182" s="55"/>
      <c r="M182" s="55"/>
      <c r="N182" s="57"/>
      <c r="O182" s="55"/>
      <c r="P182" s="55"/>
      <c r="Q182" s="57"/>
      <c r="R182" s="54"/>
      <c r="S182" s="54"/>
      <c r="T182" s="58"/>
      <c r="U182" s="58"/>
      <c r="V182" s="59"/>
    </row>
    <row r="183" spans="1:22" x14ac:dyDescent="0.2">
      <c r="A183" s="37"/>
      <c r="B183" s="55"/>
      <c r="C183" s="55"/>
      <c r="D183" s="56" t="s">
        <v>165</v>
      </c>
      <c r="E183" s="57"/>
      <c r="F183" s="55"/>
      <c r="G183" s="55"/>
      <c r="H183" s="57"/>
      <c r="I183" s="55"/>
      <c r="J183" s="55"/>
      <c r="K183" s="57"/>
      <c r="L183" s="55"/>
      <c r="M183" s="55"/>
      <c r="N183" s="57"/>
      <c r="O183" s="55"/>
      <c r="P183" s="55"/>
      <c r="Q183" s="57"/>
      <c r="R183" s="58"/>
      <c r="S183" s="59"/>
      <c r="T183" s="58"/>
      <c r="U183" s="58"/>
      <c r="V183" s="58"/>
    </row>
    <row r="184" spans="1:22" x14ac:dyDescent="0.2">
      <c r="A184" s="37"/>
      <c r="B184" s="60"/>
      <c r="C184" s="61" t="s">
        <v>31</v>
      </c>
      <c r="D184" s="61" t="s">
        <v>32</v>
      </c>
      <c r="E184" s="61" t="s">
        <v>33</v>
      </c>
      <c r="F184" s="61" t="s">
        <v>31</v>
      </c>
      <c r="G184" s="61" t="s">
        <v>32</v>
      </c>
      <c r="H184" s="61" t="s">
        <v>33</v>
      </c>
      <c r="I184" s="61" t="s">
        <v>31</v>
      </c>
      <c r="J184" s="61" t="s">
        <v>34</v>
      </c>
      <c r="K184" s="61" t="s">
        <v>33</v>
      </c>
      <c r="L184" s="61" t="s">
        <v>31</v>
      </c>
      <c r="M184" s="61" t="s">
        <v>34</v>
      </c>
      <c r="N184" s="61" t="s">
        <v>33</v>
      </c>
      <c r="O184" s="61" t="s">
        <v>31</v>
      </c>
      <c r="P184" s="61" t="s">
        <v>35</v>
      </c>
      <c r="Q184" s="61" t="s">
        <v>33</v>
      </c>
      <c r="R184" s="61" t="s">
        <v>31</v>
      </c>
      <c r="S184" s="61" t="s">
        <v>35</v>
      </c>
      <c r="T184" s="61" t="s">
        <v>33</v>
      </c>
      <c r="U184" s="62" t="s">
        <v>36</v>
      </c>
      <c r="V184" s="63" t="s">
        <v>156</v>
      </c>
    </row>
    <row r="185" spans="1:22" x14ac:dyDescent="0.2">
      <c r="A185" s="37"/>
      <c r="B185" s="64" t="s">
        <v>37</v>
      </c>
      <c r="C185" s="65">
        <v>12.22</v>
      </c>
      <c r="D185" s="65"/>
      <c r="E185" s="66">
        <v>1</v>
      </c>
      <c r="F185" s="65">
        <v>9.86</v>
      </c>
      <c r="G185" s="65"/>
      <c r="H185" s="66" t="s">
        <v>114</v>
      </c>
      <c r="I185" s="65">
        <v>4.16</v>
      </c>
      <c r="J185" s="65"/>
      <c r="K185" s="66" t="s">
        <v>114</v>
      </c>
      <c r="L185" s="65">
        <v>6.26</v>
      </c>
      <c r="M185" s="65"/>
      <c r="N185" s="66" t="s">
        <v>114</v>
      </c>
      <c r="O185" s="65">
        <v>3.3</v>
      </c>
      <c r="P185" s="65"/>
      <c r="Q185" s="66" t="s">
        <v>114</v>
      </c>
      <c r="R185" s="65">
        <v>5.15</v>
      </c>
      <c r="S185" s="65"/>
      <c r="T185" s="66" t="s">
        <v>114</v>
      </c>
      <c r="U185" s="62" t="s">
        <v>38</v>
      </c>
      <c r="V185" s="63" t="s">
        <v>166</v>
      </c>
    </row>
    <row r="186" spans="1:22" x14ac:dyDescent="0.2">
      <c r="A186" s="37"/>
      <c r="B186" s="67" t="s">
        <v>39</v>
      </c>
      <c r="C186" s="65">
        <v>9.15</v>
      </c>
      <c r="D186" s="65"/>
      <c r="E186" s="66" t="s">
        <v>114</v>
      </c>
      <c r="F186" s="65">
        <v>18.22</v>
      </c>
      <c r="G186" s="65"/>
      <c r="H186" s="66" t="s">
        <v>114</v>
      </c>
      <c r="I186" s="65">
        <v>8.93</v>
      </c>
      <c r="J186" s="65"/>
      <c r="K186" s="66" t="s">
        <v>114</v>
      </c>
      <c r="L186" s="65">
        <v>3.39</v>
      </c>
      <c r="M186" s="65"/>
      <c r="N186" s="66" t="s">
        <v>114</v>
      </c>
      <c r="O186" s="65">
        <v>10.42</v>
      </c>
      <c r="P186" s="65"/>
      <c r="Q186" s="66">
        <v>1</v>
      </c>
      <c r="R186" s="65">
        <v>2.82</v>
      </c>
      <c r="S186" s="65"/>
      <c r="T186" s="66" t="s">
        <v>114</v>
      </c>
      <c r="U186" s="62" t="s">
        <v>40</v>
      </c>
      <c r="V186" s="63" t="s">
        <v>167</v>
      </c>
    </row>
    <row r="187" spans="1:22" x14ac:dyDescent="0.2">
      <c r="A187" s="37"/>
      <c r="B187" s="68" t="s">
        <v>41</v>
      </c>
      <c r="C187" s="69">
        <v>5.32</v>
      </c>
      <c r="D187" s="69"/>
      <c r="E187" s="70" t="s">
        <v>114</v>
      </c>
      <c r="F187" s="69">
        <v>15</v>
      </c>
      <c r="G187" s="69"/>
      <c r="H187" s="70" t="s">
        <v>114</v>
      </c>
      <c r="I187" s="69">
        <v>4.5999999999999996</v>
      </c>
      <c r="J187" s="69"/>
      <c r="K187" s="70" t="s">
        <v>114</v>
      </c>
      <c r="L187" s="69">
        <v>5.86</v>
      </c>
      <c r="M187" s="69"/>
      <c r="N187" s="70" t="s">
        <v>114</v>
      </c>
      <c r="O187" s="69">
        <v>2.46</v>
      </c>
      <c r="P187" s="69"/>
      <c r="Q187" s="70" t="s">
        <v>114</v>
      </c>
      <c r="R187" s="69">
        <v>2.7</v>
      </c>
      <c r="S187" s="69"/>
      <c r="T187" s="70" t="s">
        <v>114</v>
      </c>
      <c r="U187" s="62" t="s">
        <v>42</v>
      </c>
      <c r="V187" s="63" t="s">
        <v>168</v>
      </c>
    </row>
    <row r="188" spans="1:22" x14ac:dyDescent="0.2">
      <c r="A188" s="37"/>
      <c r="B188" s="8"/>
      <c r="E188" s="38"/>
      <c r="H188" s="38"/>
      <c r="K188" s="38"/>
      <c r="N188" s="38"/>
      <c r="Q188" s="38"/>
      <c r="S188" s="14"/>
    </row>
    <row r="189" spans="1:22" x14ac:dyDescent="0.2">
      <c r="A189" s="37"/>
      <c r="B189" s="8"/>
      <c r="E189" s="38"/>
      <c r="H189" s="38"/>
      <c r="K189" s="38"/>
      <c r="N189" s="38"/>
      <c r="Q189" s="38"/>
      <c r="S189" s="14"/>
    </row>
    <row r="190" spans="1:22" x14ac:dyDescent="0.2">
      <c r="A190" s="37"/>
      <c r="B190" s="8"/>
      <c r="E190" s="38"/>
      <c r="H190" s="38"/>
      <c r="K190" s="38"/>
      <c r="N190" s="38"/>
      <c r="Q190" s="38"/>
      <c r="S190" s="14"/>
    </row>
    <row r="191" spans="1:22" x14ac:dyDescent="0.2">
      <c r="A191" s="37"/>
      <c r="B191" s="8"/>
      <c r="E191" s="38"/>
      <c r="H191" s="38"/>
      <c r="K191" s="38"/>
      <c r="N191" s="38"/>
      <c r="Q191" s="38"/>
      <c r="S191" s="14"/>
    </row>
    <row r="192" spans="1:22" x14ac:dyDescent="0.2">
      <c r="A192" s="37"/>
      <c r="B192" s="8"/>
      <c r="E192" s="38"/>
      <c r="H192" s="38"/>
      <c r="K192" s="38"/>
      <c r="N192" s="38"/>
      <c r="Q192" s="38"/>
      <c r="S192" s="14"/>
    </row>
    <row r="193" spans="1:19" x14ac:dyDescent="0.2">
      <c r="A193" s="37"/>
      <c r="B193" s="8"/>
      <c r="E193" s="38"/>
      <c r="H193" s="38"/>
      <c r="K193" s="38"/>
      <c r="N193" s="38"/>
      <c r="Q193" s="38"/>
      <c r="S193" s="14"/>
    </row>
    <row r="194" spans="1:19" x14ac:dyDescent="0.2">
      <c r="A194" s="37"/>
      <c r="B194" s="8"/>
      <c r="E194" s="38"/>
      <c r="H194" s="38"/>
      <c r="K194" s="38"/>
      <c r="N194" s="38"/>
      <c r="Q194" s="38"/>
      <c r="S194" s="14"/>
    </row>
    <row r="195" spans="1:19" x14ac:dyDescent="0.2">
      <c r="A195" s="37"/>
      <c r="B195" s="8"/>
      <c r="E195" s="38"/>
      <c r="H195" s="38"/>
      <c r="K195" s="38"/>
      <c r="N195" s="38"/>
      <c r="Q195" s="38"/>
      <c r="S195" s="14"/>
    </row>
    <row r="196" spans="1:19" x14ac:dyDescent="0.2">
      <c r="A196" s="37"/>
      <c r="B196" s="8"/>
      <c r="E196" s="38"/>
      <c r="H196" s="38"/>
      <c r="K196" s="38"/>
      <c r="N196" s="38"/>
      <c r="Q196" s="38"/>
      <c r="S196" s="14"/>
    </row>
    <row r="197" spans="1:19" x14ac:dyDescent="0.2">
      <c r="A197" s="37"/>
      <c r="B197" s="8"/>
      <c r="E197" s="38"/>
      <c r="H197" s="38"/>
      <c r="K197" s="38"/>
      <c r="N197" s="38"/>
      <c r="Q197" s="38"/>
      <c r="S197" s="14"/>
    </row>
    <row r="198" spans="1:19" x14ac:dyDescent="0.2">
      <c r="A198" s="37"/>
      <c r="B198" s="8"/>
      <c r="E198" s="38"/>
      <c r="H198" s="38"/>
      <c r="K198" s="38"/>
      <c r="N198" s="38"/>
      <c r="Q198" s="38"/>
      <c r="S198" s="14"/>
    </row>
    <row r="199" spans="1:19" x14ac:dyDescent="0.2">
      <c r="A199" s="37"/>
      <c r="B199" s="8"/>
      <c r="E199" s="38"/>
      <c r="H199" s="38"/>
      <c r="K199" s="38"/>
      <c r="N199" s="38"/>
      <c r="Q199" s="38"/>
      <c r="S199" s="14"/>
    </row>
    <row r="200" spans="1:19" x14ac:dyDescent="0.2">
      <c r="A200" s="37"/>
      <c r="B200" s="8"/>
      <c r="E200" s="38"/>
      <c r="H200" s="38"/>
      <c r="K200" s="38"/>
      <c r="N200" s="38"/>
      <c r="Q200" s="38"/>
      <c r="S200" s="14"/>
    </row>
    <row r="201" spans="1:19" x14ac:dyDescent="0.2">
      <c r="A201" s="37"/>
      <c r="B201" s="8"/>
      <c r="E201" s="38"/>
      <c r="H201" s="38"/>
      <c r="K201" s="38"/>
      <c r="N201" s="38"/>
      <c r="Q201" s="38"/>
      <c r="S201" s="14"/>
    </row>
    <row r="202" spans="1:19" x14ac:dyDescent="0.2">
      <c r="A202" s="37"/>
      <c r="B202" s="8"/>
      <c r="E202" s="38"/>
      <c r="H202" s="38"/>
      <c r="K202" s="38"/>
      <c r="N202" s="38"/>
      <c r="Q202" s="38"/>
      <c r="S202" s="14"/>
    </row>
    <row r="203" spans="1:19" x14ac:dyDescent="0.2">
      <c r="A203" s="37"/>
      <c r="B203" s="8"/>
      <c r="E203" s="38"/>
      <c r="H203" s="38"/>
      <c r="K203" s="38"/>
      <c r="N203" s="38"/>
      <c r="Q203" s="38"/>
      <c r="S203" s="14"/>
    </row>
    <row r="204" spans="1:19" x14ac:dyDescent="0.2">
      <c r="A204" s="37"/>
      <c r="B204" s="8"/>
      <c r="E204" s="38"/>
      <c r="H204" s="38"/>
      <c r="K204" s="38"/>
      <c r="N204" s="38"/>
      <c r="Q204" s="38"/>
      <c r="S204" s="14"/>
    </row>
    <row r="205" spans="1:19" x14ac:dyDescent="0.2">
      <c r="A205" s="37"/>
      <c r="B205" s="8"/>
      <c r="E205" s="38"/>
      <c r="H205" s="38"/>
      <c r="K205" s="38"/>
      <c r="N205" s="38"/>
      <c r="Q205" s="38"/>
      <c r="S205" s="14"/>
    </row>
    <row r="206" spans="1:19" x14ac:dyDescent="0.2">
      <c r="A206" s="37"/>
      <c r="B206" s="8"/>
      <c r="E206" s="38"/>
      <c r="H206" s="38"/>
      <c r="K206" s="38"/>
      <c r="N206" s="38"/>
      <c r="Q206" s="38"/>
      <c r="S206" s="14"/>
    </row>
    <row r="207" spans="1:19" x14ac:dyDescent="0.2">
      <c r="A207" s="37"/>
      <c r="B207" s="8"/>
      <c r="E207" s="38"/>
      <c r="H207" s="38"/>
      <c r="K207" s="38"/>
      <c r="N207" s="38"/>
      <c r="Q207" s="38"/>
      <c r="S207" s="14"/>
    </row>
    <row r="208" spans="1:19" x14ac:dyDescent="0.2">
      <c r="A208" s="37"/>
      <c r="B208" s="8"/>
      <c r="E208" s="38"/>
      <c r="H208" s="38"/>
      <c r="K208" s="38"/>
      <c r="N208" s="38"/>
      <c r="Q208" s="38"/>
      <c r="S208" s="14"/>
    </row>
    <row r="209" spans="1:19" x14ac:dyDescent="0.2">
      <c r="A209" s="37"/>
      <c r="B209" s="8"/>
      <c r="E209" s="38"/>
      <c r="H209" s="38"/>
      <c r="K209" s="38"/>
      <c r="N209" s="38"/>
      <c r="Q209" s="38"/>
      <c r="S209" s="14"/>
    </row>
    <row r="210" spans="1:19" x14ac:dyDescent="0.2">
      <c r="A210" s="37"/>
      <c r="B210" s="8"/>
      <c r="E210" s="38"/>
      <c r="H210" s="38"/>
      <c r="K210" s="38"/>
      <c r="N210" s="38"/>
      <c r="Q210" s="38"/>
      <c r="S210" s="14"/>
    </row>
    <row r="211" spans="1:19" x14ac:dyDescent="0.2">
      <c r="A211" s="37"/>
      <c r="B211" s="8"/>
      <c r="E211" s="38"/>
      <c r="H211" s="38"/>
      <c r="K211" s="38"/>
      <c r="N211" s="38"/>
      <c r="Q211" s="38"/>
      <c r="S211" s="14"/>
    </row>
    <row r="212" spans="1:19" x14ac:dyDescent="0.2">
      <c r="A212" s="37"/>
      <c r="B212" s="8"/>
      <c r="E212" s="38"/>
      <c r="H212" s="38"/>
      <c r="K212" s="38"/>
      <c r="N212" s="38"/>
      <c r="Q212" s="38"/>
      <c r="S212" s="14"/>
    </row>
    <row r="213" spans="1:19" x14ac:dyDescent="0.2">
      <c r="A213" s="37"/>
      <c r="B213" s="8"/>
      <c r="E213" s="38"/>
      <c r="H213" s="38"/>
      <c r="K213" s="38"/>
      <c r="N213" s="38"/>
      <c r="Q213" s="38"/>
      <c r="S213" s="14"/>
    </row>
    <row r="214" spans="1:19" x14ac:dyDescent="0.2">
      <c r="A214" s="37"/>
      <c r="B214" s="8"/>
      <c r="E214" s="38"/>
      <c r="H214" s="38"/>
      <c r="K214" s="38"/>
      <c r="N214" s="38"/>
      <c r="Q214" s="38"/>
      <c r="S214" s="14"/>
    </row>
    <row r="215" spans="1:19" x14ac:dyDescent="0.2">
      <c r="A215" s="37"/>
      <c r="B215" s="8"/>
      <c r="E215" s="38"/>
      <c r="H215" s="38"/>
      <c r="K215" s="38"/>
      <c r="N215" s="38"/>
      <c r="Q215" s="38"/>
      <c r="S215" s="14"/>
    </row>
    <row r="216" spans="1:19" x14ac:dyDescent="0.2">
      <c r="A216" s="37"/>
      <c r="B216" s="8"/>
      <c r="E216" s="38"/>
      <c r="H216" s="38"/>
      <c r="K216" s="38"/>
      <c r="N216" s="38"/>
      <c r="Q216" s="38"/>
      <c r="S216" s="14"/>
    </row>
    <row r="217" spans="1:19" x14ac:dyDescent="0.2">
      <c r="A217" s="37"/>
      <c r="B217" s="8"/>
      <c r="E217" s="38"/>
      <c r="H217" s="38"/>
      <c r="K217" s="38"/>
      <c r="N217" s="38"/>
      <c r="Q217" s="38"/>
      <c r="S217" s="14"/>
    </row>
    <row r="218" spans="1:19" x14ac:dyDescent="0.2">
      <c r="A218" s="37"/>
      <c r="B218" s="8"/>
      <c r="E218" s="38"/>
      <c r="H218" s="38"/>
      <c r="K218" s="38"/>
      <c r="N218" s="38"/>
      <c r="Q218" s="38"/>
      <c r="S218" s="14"/>
    </row>
    <row r="219" spans="1:19" x14ac:dyDescent="0.2">
      <c r="A219" s="37"/>
      <c r="B219" s="8"/>
      <c r="E219" s="38"/>
      <c r="H219" s="38"/>
      <c r="K219" s="38"/>
      <c r="N219" s="38"/>
      <c r="Q219" s="38"/>
      <c r="S219" s="14"/>
    </row>
    <row r="220" spans="1:19" x14ac:dyDescent="0.2">
      <c r="A220" s="37"/>
      <c r="B220" s="8"/>
      <c r="E220" s="38"/>
      <c r="H220" s="38"/>
      <c r="K220" s="38"/>
      <c r="N220" s="38"/>
      <c r="Q220" s="38"/>
      <c r="S220" s="14"/>
    </row>
    <row r="221" spans="1:19" x14ac:dyDescent="0.2">
      <c r="A221" s="37"/>
      <c r="B221" s="8"/>
      <c r="E221" s="38"/>
      <c r="H221" s="38"/>
      <c r="K221" s="38"/>
      <c r="N221" s="38"/>
      <c r="Q221" s="38"/>
      <c r="S221" s="14"/>
    </row>
    <row r="222" spans="1:19" x14ac:dyDescent="0.2">
      <c r="A222" s="37"/>
      <c r="B222" s="8"/>
      <c r="E222" s="38"/>
      <c r="H222" s="38"/>
      <c r="K222" s="38"/>
      <c r="N222" s="38"/>
      <c r="Q222" s="38"/>
      <c r="S222" s="14"/>
    </row>
    <row r="223" spans="1:19" x14ac:dyDescent="0.2">
      <c r="A223" s="37"/>
      <c r="B223" s="8"/>
      <c r="E223" s="38"/>
      <c r="H223" s="38"/>
      <c r="K223" s="38"/>
      <c r="N223" s="38"/>
      <c r="Q223" s="38"/>
      <c r="S223" s="14"/>
    </row>
    <row r="224" spans="1:19" x14ac:dyDescent="0.2">
      <c r="A224" s="37"/>
      <c r="B224" s="8"/>
      <c r="E224" s="38"/>
      <c r="H224" s="38"/>
      <c r="K224" s="38"/>
      <c r="N224" s="38"/>
      <c r="Q224" s="38"/>
      <c r="S224" s="14"/>
    </row>
    <row r="225" spans="1:19" x14ac:dyDescent="0.2">
      <c r="A225" s="37"/>
      <c r="B225" s="8"/>
      <c r="E225" s="38"/>
      <c r="H225" s="38"/>
      <c r="K225" s="38"/>
      <c r="N225" s="38"/>
      <c r="Q225" s="38"/>
      <c r="S225" s="14"/>
    </row>
    <row r="226" spans="1:19" x14ac:dyDescent="0.2">
      <c r="A226" s="37"/>
      <c r="B226" s="8"/>
      <c r="E226" s="38"/>
      <c r="H226" s="38"/>
      <c r="K226" s="38"/>
      <c r="N226" s="38"/>
      <c r="Q226" s="38"/>
      <c r="S226" s="14"/>
    </row>
    <row r="227" spans="1:19" x14ac:dyDescent="0.2">
      <c r="A227" s="37"/>
      <c r="B227" s="8"/>
      <c r="E227" s="38"/>
      <c r="H227" s="38"/>
      <c r="K227" s="38"/>
      <c r="N227" s="38"/>
      <c r="Q227" s="38"/>
      <c r="S227" s="14"/>
    </row>
    <row r="228" spans="1:19" x14ac:dyDescent="0.2">
      <c r="A228" s="37"/>
      <c r="B228" s="8"/>
      <c r="E228" s="38"/>
      <c r="H228" s="38"/>
      <c r="K228" s="38"/>
      <c r="N228" s="38"/>
      <c r="Q228" s="38"/>
      <c r="S228" s="14"/>
    </row>
    <row r="229" spans="1:19" x14ac:dyDescent="0.2">
      <c r="A229" s="37"/>
      <c r="B229" s="8"/>
      <c r="E229" s="38"/>
      <c r="H229" s="38"/>
      <c r="K229" s="38"/>
      <c r="N229" s="38"/>
      <c r="Q229" s="38"/>
      <c r="S229" s="14"/>
    </row>
    <row r="230" spans="1:19" x14ac:dyDescent="0.2">
      <c r="A230" s="37"/>
      <c r="B230" s="8"/>
      <c r="E230" s="38"/>
      <c r="H230" s="38"/>
      <c r="K230" s="38"/>
      <c r="N230" s="38"/>
      <c r="Q230" s="38"/>
      <c r="S230" s="14"/>
    </row>
    <row r="231" spans="1:19" x14ac:dyDescent="0.2">
      <c r="A231" s="37"/>
      <c r="B231" s="8"/>
      <c r="E231" s="38"/>
      <c r="H231" s="38"/>
      <c r="K231" s="38"/>
      <c r="N231" s="38"/>
      <c r="Q231" s="38"/>
      <c r="S231" s="14"/>
    </row>
    <row r="232" spans="1:19" x14ac:dyDescent="0.2">
      <c r="A232" s="37"/>
      <c r="B232" s="8"/>
      <c r="E232" s="38"/>
      <c r="H232" s="38"/>
      <c r="K232" s="38"/>
      <c r="N232" s="38"/>
      <c r="Q232" s="38"/>
      <c r="S232" s="14"/>
    </row>
    <row r="233" spans="1:19" x14ac:dyDescent="0.2">
      <c r="A233" s="37"/>
      <c r="B233" s="8"/>
      <c r="E233" s="38"/>
      <c r="H233" s="38"/>
      <c r="K233" s="38"/>
      <c r="N233" s="38"/>
      <c r="Q233" s="38"/>
      <c r="S233" s="14"/>
    </row>
    <row r="234" spans="1:19" x14ac:dyDescent="0.2">
      <c r="A234" s="37"/>
      <c r="B234" s="8"/>
      <c r="E234" s="38"/>
      <c r="H234" s="38"/>
      <c r="K234" s="38"/>
      <c r="N234" s="38"/>
      <c r="Q234" s="38"/>
      <c r="S234" s="14"/>
    </row>
    <row r="235" spans="1:19" x14ac:dyDescent="0.2">
      <c r="A235" s="37"/>
      <c r="B235" s="8"/>
      <c r="E235" s="38"/>
      <c r="H235" s="38"/>
      <c r="K235" s="38"/>
      <c r="N235" s="38"/>
      <c r="Q235" s="38"/>
      <c r="S235" s="14"/>
    </row>
    <row r="236" spans="1:19" x14ac:dyDescent="0.2">
      <c r="A236" s="37"/>
      <c r="B236" s="8"/>
      <c r="E236" s="38"/>
      <c r="H236" s="38"/>
      <c r="K236" s="38"/>
      <c r="N236" s="38"/>
      <c r="Q236" s="38"/>
      <c r="S236" s="14"/>
    </row>
    <row r="237" spans="1:19" x14ac:dyDescent="0.2">
      <c r="A237" s="37"/>
      <c r="B237" s="8"/>
      <c r="E237" s="38"/>
      <c r="H237" s="38"/>
      <c r="K237" s="38"/>
      <c r="N237" s="38"/>
      <c r="Q237" s="38"/>
      <c r="S237" s="14"/>
    </row>
    <row r="238" spans="1:19" x14ac:dyDescent="0.2">
      <c r="A238" s="37"/>
      <c r="B238" s="8"/>
      <c r="E238" s="38"/>
      <c r="H238" s="38"/>
      <c r="K238" s="38"/>
      <c r="N238" s="38"/>
      <c r="Q238" s="38"/>
      <c r="S238" s="14"/>
    </row>
    <row r="239" spans="1:19" x14ac:dyDescent="0.2">
      <c r="A239" s="37"/>
      <c r="B239" s="8"/>
      <c r="E239" s="38"/>
      <c r="H239" s="38"/>
      <c r="K239" s="38"/>
      <c r="N239" s="38"/>
      <c r="Q239" s="38"/>
      <c r="S239" s="14"/>
    </row>
    <row r="240" spans="1:19" x14ac:dyDescent="0.2">
      <c r="A240" s="37"/>
      <c r="B240" s="8"/>
      <c r="E240" s="38"/>
      <c r="H240" s="38"/>
      <c r="K240" s="38"/>
      <c r="N240" s="38"/>
      <c r="Q240" s="38"/>
      <c r="S240" s="14"/>
    </row>
    <row r="241" spans="1:19" x14ac:dyDescent="0.2">
      <c r="A241" s="37"/>
      <c r="B241" s="8"/>
      <c r="E241" s="38"/>
      <c r="H241" s="38"/>
      <c r="K241" s="38"/>
      <c r="N241" s="38"/>
      <c r="Q241" s="38"/>
      <c r="S241" s="14"/>
    </row>
    <row r="242" spans="1:19" x14ac:dyDescent="0.2">
      <c r="A242" s="37"/>
      <c r="B242" s="8"/>
      <c r="E242" s="38"/>
      <c r="H242" s="38"/>
      <c r="K242" s="38"/>
      <c r="N242" s="38"/>
      <c r="Q242" s="38"/>
      <c r="S242" s="14"/>
    </row>
    <row r="243" spans="1:19" x14ac:dyDescent="0.2">
      <c r="A243" s="37"/>
      <c r="B243" s="8"/>
      <c r="E243" s="38"/>
      <c r="H243" s="38"/>
      <c r="K243" s="38"/>
      <c r="N243" s="38"/>
      <c r="Q243" s="38"/>
      <c r="S243" s="14"/>
    </row>
    <row r="244" spans="1:19" x14ac:dyDescent="0.2">
      <c r="A244" s="37"/>
      <c r="B244" s="8"/>
      <c r="E244" s="38"/>
      <c r="H244" s="38"/>
      <c r="K244" s="38"/>
      <c r="N244" s="38"/>
      <c r="Q244" s="38"/>
      <c r="S244" s="14"/>
    </row>
    <row r="245" spans="1:19" x14ac:dyDescent="0.2">
      <c r="A245" s="37"/>
      <c r="B245" s="8"/>
      <c r="E245" s="38"/>
      <c r="H245" s="38"/>
      <c r="K245" s="38"/>
      <c r="N245" s="38"/>
      <c r="Q245" s="38"/>
      <c r="S245" s="14"/>
    </row>
    <row r="246" spans="1:19" x14ac:dyDescent="0.2">
      <c r="A246" s="37"/>
      <c r="B246" s="8"/>
      <c r="E246" s="38"/>
      <c r="H246" s="38"/>
      <c r="K246" s="38"/>
      <c r="N246" s="38"/>
      <c r="Q246" s="38"/>
      <c r="S246" s="14"/>
    </row>
    <row r="247" spans="1:19" x14ac:dyDescent="0.2">
      <c r="A247" s="37"/>
      <c r="B247" s="8"/>
      <c r="E247" s="38"/>
      <c r="H247" s="38"/>
      <c r="K247" s="38"/>
      <c r="N247" s="38"/>
      <c r="Q247" s="38"/>
      <c r="S247" s="14"/>
    </row>
    <row r="248" spans="1:19" x14ac:dyDescent="0.2">
      <c r="A248" s="37"/>
      <c r="B248" s="8"/>
      <c r="E248" s="38"/>
      <c r="H248" s="38"/>
      <c r="K248" s="38"/>
      <c r="N248" s="38"/>
      <c r="Q248" s="38"/>
      <c r="S248" s="14"/>
    </row>
    <row r="249" spans="1:19" x14ac:dyDescent="0.2">
      <c r="A249" s="37"/>
      <c r="B249" s="8"/>
      <c r="E249" s="38"/>
      <c r="H249" s="38"/>
      <c r="K249" s="38"/>
      <c r="N249" s="38"/>
      <c r="Q249" s="38"/>
      <c r="S249" s="14"/>
    </row>
    <row r="250" spans="1:19" x14ac:dyDescent="0.2">
      <c r="A250" s="37"/>
      <c r="B250" s="8"/>
      <c r="E250" s="38"/>
      <c r="H250" s="38"/>
      <c r="K250" s="38"/>
      <c r="N250" s="38"/>
      <c r="Q250" s="38"/>
      <c r="S250" s="14"/>
    </row>
    <row r="251" spans="1:19" x14ac:dyDescent="0.2">
      <c r="A251" s="37"/>
      <c r="B251" s="8"/>
      <c r="E251" s="38"/>
      <c r="H251" s="38"/>
      <c r="K251" s="38"/>
      <c r="N251" s="38"/>
      <c r="Q251" s="38"/>
      <c r="S251" s="14"/>
    </row>
    <row r="252" spans="1:19" x14ac:dyDescent="0.2">
      <c r="A252" s="37"/>
      <c r="B252" s="8"/>
      <c r="E252" s="38"/>
      <c r="H252" s="38"/>
      <c r="K252" s="38"/>
      <c r="N252" s="38"/>
      <c r="Q252" s="38"/>
      <c r="S252" s="14"/>
    </row>
    <row r="253" spans="1:19" x14ac:dyDescent="0.2">
      <c r="A253" s="37"/>
      <c r="B253" s="8"/>
      <c r="E253" s="38"/>
      <c r="H253" s="38"/>
      <c r="K253" s="38"/>
      <c r="N253" s="38"/>
      <c r="Q253" s="38"/>
      <c r="S253" s="14"/>
    </row>
    <row r="254" spans="1:19" x14ac:dyDescent="0.2">
      <c r="A254" s="37"/>
      <c r="B254" s="8"/>
      <c r="E254" s="38"/>
      <c r="H254" s="38"/>
      <c r="K254" s="38"/>
      <c r="N254" s="38"/>
      <c r="Q254" s="38"/>
      <c r="S254" s="14"/>
    </row>
    <row r="255" spans="1:19" x14ac:dyDescent="0.2">
      <c r="A255" s="37"/>
      <c r="B255" s="8"/>
      <c r="E255" s="38"/>
      <c r="H255" s="38"/>
      <c r="K255" s="38"/>
      <c r="N255" s="38"/>
      <c r="Q255" s="38"/>
      <c r="S255" s="14"/>
    </row>
    <row r="256" spans="1:19" x14ac:dyDescent="0.2">
      <c r="A256" s="37"/>
      <c r="B256" s="8"/>
      <c r="E256" s="38"/>
      <c r="H256" s="38"/>
      <c r="K256" s="38"/>
      <c r="N256" s="38"/>
      <c r="Q256" s="38"/>
      <c r="S256" s="14"/>
    </row>
    <row r="257" spans="1:19" x14ac:dyDescent="0.2">
      <c r="A257" s="37"/>
      <c r="B257" s="8"/>
      <c r="E257" s="38"/>
      <c r="H257" s="38"/>
      <c r="K257" s="38"/>
      <c r="N257" s="38"/>
      <c r="Q257" s="38"/>
      <c r="S257" s="14"/>
    </row>
    <row r="258" spans="1:19" x14ac:dyDescent="0.2">
      <c r="A258" s="37"/>
      <c r="B258" s="8"/>
      <c r="E258" s="38"/>
      <c r="H258" s="38"/>
      <c r="K258" s="38"/>
      <c r="N258" s="38"/>
      <c r="Q258" s="38"/>
      <c r="S258" s="14"/>
    </row>
    <row r="259" spans="1:19" x14ac:dyDescent="0.2">
      <c r="A259" s="37"/>
      <c r="B259" s="8"/>
      <c r="E259" s="38"/>
      <c r="H259" s="38"/>
      <c r="K259" s="38"/>
      <c r="N259" s="38"/>
      <c r="Q259" s="38"/>
      <c r="S259" s="14"/>
    </row>
    <row r="260" spans="1:19" x14ac:dyDescent="0.2">
      <c r="A260" s="37"/>
      <c r="B260" s="8"/>
      <c r="E260" s="38"/>
      <c r="H260" s="38"/>
      <c r="K260" s="38"/>
      <c r="N260" s="38"/>
      <c r="Q260" s="38"/>
      <c r="S260" s="14"/>
    </row>
    <row r="261" spans="1:19" x14ac:dyDescent="0.2">
      <c r="A261" s="37"/>
      <c r="B261" s="8"/>
      <c r="E261" s="38"/>
      <c r="H261" s="38"/>
      <c r="K261" s="38"/>
      <c r="N261" s="38"/>
      <c r="Q261" s="38"/>
      <c r="S261" s="14"/>
    </row>
    <row r="262" spans="1:19" x14ac:dyDescent="0.2">
      <c r="A262" s="37"/>
      <c r="B262" s="8"/>
      <c r="E262" s="38"/>
      <c r="H262" s="38"/>
      <c r="K262" s="38"/>
      <c r="N262" s="38"/>
      <c r="Q262" s="38"/>
      <c r="S262" s="14"/>
    </row>
    <row r="263" spans="1:19" x14ac:dyDescent="0.2">
      <c r="A263" s="37"/>
      <c r="B263" s="8"/>
      <c r="E263" s="38"/>
      <c r="H263" s="38"/>
      <c r="K263" s="38"/>
      <c r="N263" s="38"/>
      <c r="Q263" s="38"/>
      <c r="S263" s="14"/>
    </row>
    <row r="264" spans="1:19" x14ac:dyDescent="0.2">
      <c r="A264" s="37"/>
      <c r="B264" s="8"/>
      <c r="E264" s="38"/>
      <c r="H264" s="38"/>
      <c r="K264" s="38"/>
      <c r="N264" s="38"/>
      <c r="Q264" s="38"/>
      <c r="S264" s="14"/>
    </row>
    <row r="265" spans="1:19" x14ac:dyDescent="0.2">
      <c r="A265" s="37"/>
      <c r="B265" s="8"/>
      <c r="E265" s="38"/>
      <c r="H265" s="38"/>
      <c r="K265" s="38"/>
      <c r="N265" s="38"/>
      <c r="Q265" s="38"/>
      <c r="S265" s="14"/>
    </row>
    <row r="266" spans="1:19" x14ac:dyDescent="0.2">
      <c r="A266" s="37"/>
      <c r="B266" s="8"/>
      <c r="E266" s="38"/>
      <c r="H266" s="38"/>
      <c r="K266" s="38"/>
      <c r="N266" s="38"/>
      <c r="Q266" s="38"/>
      <c r="S266" s="14"/>
    </row>
    <row r="267" spans="1:19" x14ac:dyDescent="0.2">
      <c r="A267" s="37"/>
      <c r="B267" s="8"/>
      <c r="E267" s="38"/>
      <c r="H267" s="38"/>
      <c r="K267" s="38"/>
      <c r="N267" s="38"/>
      <c r="Q267" s="38"/>
      <c r="S267" s="14"/>
    </row>
    <row r="268" spans="1:19" x14ac:dyDescent="0.2">
      <c r="A268" s="37"/>
      <c r="B268" s="8"/>
      <c r="E268" s="38"/>
      <c r="H268" s="38"/>
      <c r="K268" s="38"/>
      <c r="N268" s="38"/>
      <c r="Q268" s="38"/>
      <c r="S268" s="14"/>
    </row>
    <row r="269" spans="1:19" x14ac:dyDescent="0.2">
      <c r="A269" s="37"/>
      <c r="B269" s="8"/>
      <c r="E269" s="38"/>
      <c r="H269" s="38"/>
      <c r="K269" s="38"/>
      <c r="N269" s="38"/>
      <c r="Q269" s="38"/>
      <c r="S269" s="14"/>
    </row>
    <row r="270" spans="1:19" x14ac:dyDescent="0.2">
      <c r="A270" s="37"/>
      <c r="B270" s="8"/>
      <c r="E270" s="38"/>
      <c r="H270" s="38"/>
      <c r="K270" s="38"/>
      <c r="N270" s="38"/>
      <c r="Q270" s="38"/>
      <c r="S270" s="14"/>
    </row>
    <row r="271" spans="1:19" x14ac:dyDescent="0.2">
      <c r="A271" s="37"/>
      <c r="B271" s="8"/>
      <c r="E271" s="38"/>
      <c r="H271" s="38"/>
      <c r="K271" s="38"/>
      <c r="N271" s="38"/>
      <c r="Q271" s="38"/>
      <c r="S271" s="14"/>
    </row>
    <row r="272" spans="1:19" x14ac:dyDescent="0.2">
      <c r="A272" s="37"/>
      <c r="B272" s="8"/>
      <c r="E272" s="38"/>
      <c r="H272" s="38"/>
      <c r="K272" s="38"/>
      <c r="N272" s="38"/>
      <c r="Q272" s="38"/>
      <c r="S272" s="14"/>
    </row>
    <row r="273" spans="1:19" x14ac:dyDescent="0.2">
      <c r="A273" s="37"/>
      <c r="B273" s="8"/>
      <c r="E273" s="38"/>
      <c r="H273" s="38"/>
      <c r="K273" s="38"/>
      <c r="N273" s="38"/>
      <c r="Q273" s="38"/>
      <c r="S273" s="14"/>
    </row>
    <row r="274" spans="1:19" x14ac:dyDescent="0.2">
      <c r="A274" s="37"/>
      <c r="B274" s="8"/>
      <c r="E274" s="38"/>
      <c r="H274" s="38"/>
      <c r="K274" s="38"/>
      <c r="N274" s="38"/>
      <c r="Q274" s="38"/>
      <c r="S274" s="14"/>
    </row>
    <row r="275" spans="1:19" x14ac:dyDescent="0.2">
      <c r="A275" s="37"/>
      <c r="B275" s="8"/>
      <c r="E275" s="38"/>
      <c r="H275" s="38"/>
      <c r="K275" s="38"/>
      <c r="N275" s="38"/>
      <c r="Q275" s="38"/>
      <c r="S275" s="14"/>
    </row>
    <row r="276" spans="1:19" x14ac:dyDescent="0.2">
      <c r="A276" s="37"/>
      <c r="B276" s="8"/>
      <c r="E276" s="38"/>
      <c r="H276" s="38"/>
      <c r="K276" s="38"/>
      <c r="N276" s="38"/>
      <c r="Q276" s="38"/>
      <c r="S276" s="14"/>
    </row>
    <row r="277" spans="1:19" x14ac:dyDescent="0.2">
      <c r="A277" s="37"/>
      <c r="B277" s="8"/>
      <c r="E277" s="38"/>
      <c r="H277" s="38"/>
      <c r="K277" s="38"/>
      <c r="N277" s="38"/>
      <c r="Q277" s="38"/>
      <c r="S277" s="14"/>
    </row>
    <row r="278" spans="1:19" x14ac:dyDescent="0.2">
      <c r="A278" s="37"/>
      <c r="B278" s="8"/>
      <c r="E278" s="38"/>
      <c r="H278" s="38"/>
      <c r="K278" s="38"/>
      <c r="N278" s="38"/>
      <c r="Q278" s="38"/>
      <c r="S278" s="14"/>
    </row>
    <row r="279" spans="1:19" x14ac:dyDescent="0.2">
      <c r="A279" s="37"/>
      <c r="B279" s="8"/>
      <c r="E279" s="38"/>
      <c r="H279" s="38"/>
      <c r="K279" s="38"/>
      <c r="N279" s="38"/>
      <c r="Q279" s="38"/>
      <c r="S279" s="14"/>
    </row>
    <row r="280" spans="1:19" x14ac:dyDescent="0.2">
      <c r="A280" s="37"/>
      <c r="B280" s="8"/>
      <c r="E280" s="38"/>
      <c r="H280" s="38"/>
      <c r="K280" s="38"/>
      <c r="N280" s="38"/>
      <c r="Q280" s="38"/>
      <c r="S280" s="14"/>
    </row>
    <row r="281" spans="1:19" x14ac:dyDescent="0.2">
      <c r="A281" s="37"/>
      <c r="B281" s="8"/>
      <c r="E281" s="38"/>
      <c r="H281" s="38"/>
      <c r="K281" s="38"/>
      <c r="N281" s="38"/>
      <c r="Q281" s="38"/>
      <c r="S281" s="14"/>
    </row>
    <row r="282" spans="1:19" x14ac:dyDescent="0.2">
      <c r="A282" s="37"/>
      <c r="B282" s="8"/>
      <c r="E282" s="38"/>
      <c r="H282" s="38"/>
      <c r="K282" s="38"/>
      <c r="N282" s="38"/>
      <c r="Q282" s="38"/>
      <c r="S282" s="14"/>
    </row>
    <row r="283" spans="1:19" x14ac:dyDescent="0.2">
      <c r="A283" s="37"/>
      <c r="B283" s="8"/>
      <c r="E283" s="38"/>
      <c r="H283" s="38"/>
      <c r="K283" s="38"/>
      <c r="N283" s="38"/>
      <c r="Q283" s="38"/>
      <c r="S283" s="14"/>
    </row>
    <row r="284" spans="1:19" x14ac:dyDescent="0.2">
      <c r="A284" s="37"/>
      <c r="B284" s="8"/>
      <c r="E284" s="38"/>
      <c r="H284" s="38"/>
      <c r="K284" s="38"/>
      <c r="N284" s="38"/>
      <c r="Q284" s="38"/>
      <c r="S284" s="14"/>
    </row>
    <row r="285" spans="1:19" x14ac:dyDescent="0.2">
      <c r="A285" s="37"/>
      <c r="B285" s="8"/>
      <c r="E285" s="38"/>
      <c r="H285" s="38"/>
      <c r="K285" s="38"/>
      <c r="N285" s="38"/>
      <c r="Q285" s="38"/>
      <c r="S285" s="14"/>
    </row>
    <row r="286" spans="1:19" x14ac:dyDescent="0.2">
      <c r="A286" s="37"/>
      <c r="B286" s="8"/>
      <c r="E286" s="38"/>
      <c r="H286" s="38"/>
      <c r="K286" s="38"/>
      <c r="N286" s="38"/>
      <c r="Q286" s="38"/>
      <c r="S286" s="14"/>
    </row>
    <row r="287" spans="1:19" x14ac:dyDescent="0.2">
      <c r="A287" s="37"/>
      <c r="B287" s="8"/>
      <c r="E287" s="38"/>
      <c r="H287" s="38"/>
      <c r="K287" s="38"/>
      <c r="N287" s="38"/>
      <c r="Q287" s="38"/>
      <c r="S287" s="14"/>
    </row>
    <row r="288" spans="1:19" x14ac:dyDescent="0.2">
      <c r="A288" s="37"/>
      <c r="B288" s="8"/>
      <c r="E288" s="38"/>
      <c r="H288" s="38"/>
      <c r="K288" s="38"/>
      <c r="N288" s="38"/>
      <c r="Q288" s="38"/>
      <c r="S288" s="14"/>
    </row>
    <row r="289" spans="1:19" x14ac:dyDescent="0.2">
      <c r="A289" s="37"/>
      <c r="B289" s="8"/>
      <c r="E289" s="38"/>
      <c r="H289" s="38"/>
      <c r="K289" s="38"/>
      <c r="N289" s="38"/>
      <c r="Q289" s="38"/>
      <c r="S289" s="14"/>
    </row>
    <row r="290" spans="1:19" x14ac:dyDescent="0.2">
      <c r="A290" s="37"/>
      <c r="B290" s="8"/>
      <c r="E290" s="38"/>
      <c r="H290" s="38"/>
      <c r="K290" s="38"/>
      <c r="N290" s="38"/>
      <c r="Q290" s="38"/>
      <c r="S290" s="14"/>
    </row>
    <row r="291" spans="1:19" x14ac:dyDescent="0.2">
      <c r="A291" s="37"/>
      <c r="B291" s="8"/>
      <c r="E291" s="38"/>
      <c r="H291" s="38"/>
      <c r="K291" s="38"/>
      <c r="N291" s="38"/>
      <c r="Q291" s="38"/>
      <c r="S291" s="14"/>
    </row>
    <row r="292" spans="1:19" x14ac:dyDescent="0.2">
      <c r="A292" s="37"/>
      <c r="B292" s="8"/>
      <c r="E292" s="38"/>
      <c r="H292" s="38"/>
      <c r="K292" s="38"/>
      <c r="N292" s="38"/>
      <c r="Q292" s="38"/>
      <c r="S292" s="14"/>
    </row>
    <row r="293" spans="1:19" x14ac:dyDescent="0.2">
      <c r="A293" s="37"/>
      <c r="B293" s="8"/>
      <c r="E293" s="38"/>
      <c r="H293" s="38"/>
      <c r="K293" s="38"/>
      <c r="N293" s="38"/>
      <c r="Q293" s="38"/>
      <c r="S293" s="14"/>
    </row>
    <row r="294" spans="1:19" x14ac:dyDescent="0.2">
      <c r="A294" s="37"/>
      <c r="B294" s="8"/>
      <c r="E294" s="38"/>
      <c r="H294" s="38"/>
      <c r="K294" s="38"/>
      <c r="N294" s="38"/>
      <c r="Q294" s="38"/>
      <c r="S294" s="14"/>
    </row>
    <row r="295" spans="1:19" x14ac:dyDescent="0.2">
      <c r="A295" s="37"/>
      <c r="B295" s="8"/>
      <c r="E295" s="38"/>
      <c r="H295" s="38"/>
      <c r="K295" s="38"/>
      <c r="N295" s="38"/>
      <c r="Q295" s="38"/>
      <c r="S295" s="14"/>
    </row>
    <row r="296" spans="1:19" x14ac:dyDescent="0.2">
      <c r="A296" s="37"/>
      <c r="B296" s="8"/>
      <c r="E296" s="38"/>
      <c r="H296" s="38"/>
      <c r="K296" s="38"/>
      <c r="N296" s="38"/>
      <c r="Q296" s="38"/>
      <c r="S296" s="14"/>
    </row>
    <row r="297" spans="1:19" x14ac:dyDescent="0.2">
      <c r="A297" s="37"/>
      <c r="B297" s="8"/>
      <c r="E297" s="38"/>
      <c r="H297" s="38"/>
      <c r="K297" s="38"/>
      <c r="N297" s="38"/>
      <c r="Q297" s="38"/>
      <c r="S297" s="14"/>
    </row>
    <row r="298" spans="1:19" x14ac:dyDescent="0.2">
      <c r="A298" s="37"/>
      <c r="B298" s="8"/>
      <c r="E298" s="38"/>
      <c r="H298" s="38"/>
      <c r="K298" s="38"/>
      <c r="N298" s="38"/>
      <c r="Q298" s="38"/>
      <c r="S298" s="14"/>
    </row>
    <row r="299" spans="1:19" x14ac:dyDescent="0.2">
      <c r="A299" s="37"/>
      <c r="B299" s="8"/>
      <c r="E299" s="38"/>
      <c r="H299" s="38"/>
      <c r="K299" s="38"/>
      <c r="N299" s="38"/>
      <c r="Q299" s="38"/>
      <c r="S299" s="14"/>
    </row>
    <row r="300" spans="1:19" x14ac:dyDescent="0.2">
      <c r="A300" s="37"/>
      <c r="B300" s="8"/>
      <c r="E300" s="38"/>
      <c r="H300" s="38"/>
      <c r="K300" s="38"/>
      <c r="N300" s="38"/>
      <c r="Q300" s="38"/>
      <c r="S300" s="14"/>
    </row>
    <row r="301" spans="1:19" x14ac:dyDescent="0.2">
      <c r="A301" s="37"/>
      <c r="B301" s="8"/>
      <c r="E301" s="38"/>
      <c r="H301" s="38"/>
      <c r="K301" s="38"/>
      <c r="N301" s="38"/>
      <c r="Q301" s="38"/>
      <c r="S301" s="14"/>
    </row>
    <row r="302" spans="1:19" x14ac:dyDescent="0.2">
      <c r="A302" s="37"/>
      <c r="B302" s="8"/>
      <c r="E302" s="38"/>
      <c r="H302" s="38"/>
      <c r="K302" s="38"/>
      <c r="N302" s="38"/>
      <c r="Q302" s="38"/>
      <c r="S302" s="14"/>
    </row>
    <row r="303" spans="1:19" x14ac:dyDescent="0.2">
      <c r="A303" s="37"/>
      <c r="B303" s="8"/>
      <c r="E303" s="38"/>
      <c r="H303" s="38"/>
      <c r="K303" s="38"/>
      <c r="N303" s="38"/>
      <c r="Q303" s="38"/>
      <c r="S303" s="14"/>
    </row>
    <row r="304" spans="1:19" x14ac:dyDescent="0.2">
      <c r="A304" s="37"/>
      <c r="B304" s="8"/>
      <c r="E304" s="38"/>
      <c r="H304" s="38"/>
      <c r="K304" s="38"/>
      <c r="N304" s="38"/>
      <c r="Q304" s="38"/>
      <c r="S304" s="14"/>
    </row>
    <row r="305" spans="1:19" x14ac:dyDescent="0.2">
      <c r="A305" s="37"/>
      <c r="B305" s="8"/>
      <c r="E305" s="38"/>
      <c r="H305" s="38"/>
      <c r="K305" s="38"/>
      <c r="N305" s="38"/>
      <c r="Q305" s="38"/>
      <c r="S305" s="14"/>
    </row>
    <row r="306" spans="1:19" x14ac:dyDescent="0.2">
      <c r="A306" s="37"/>
      <c r="B306" s="8"/>
      <c r="E306" s="38"/>
      <c r="H306" s="38"/>
      <c r="K306" s="38"/>
      <c r="N306" s="38"/>
      <c r="Q306" s="38"/>
      <c r="S306" s="14"/>
    </row>
    <row r="307" spans="1:19" x14ac:dyDescent="0.2">
      <c r="A307" s="37"/>
      <c r="B307" s="8"/>
      <c r="E307" s="38"/>
      <c r="H307" s="38"/>
      <c r="K307" s="38"/>
      <c r="N307" s="38"/>
      <c r="Q307" s="38"/>
      <c r="S307" s="14"/>
    </row>
    <row r="308" spans="1:19" x14ac:dyDescent="0.2">
      <c r="A308" s="37"/>
      <c r="B308" s="8"/>
      <c r="E308" s="38"/>
      <c r="H308" s="38"/>
      <c r="K308" s="38"/>
      <c r="N308" s="38"/>
      <c r="Q308" s="38"/>
      <c r="S308" s="14"/>
    </row>
    <row r="309" spans="1:19" x14ac:dyDescent="0.2">
      <c r="A309" s="37"/>
      <c r="B309" s="8"/>
      <c r="E309" s="38"/>
      <c r="H309" s="38"/>
      <c r="K309" s="38"/>
      <c r="N309" s="38"/>
      <c r="Q309" s="38"/>
      <c r="S309" s="14"/>
    </row>
    <row r="310" spans="1:19" x14ac:dyDescent="0.2">
      <c r="A310" s="37"/>
      <c r="B310" s="8"/>
      <c r="E310" s="38"/>
      <c r="H310" s="38"/>
      <c r="K310" s="38"/>
      <c r="N310" s="38"/>
      <c r="Q310" s="38"/>
      <c r="S310" s="14"/>
    </row>
    <row r="311" spans="1:19" x14ac:dyDescent="0.2">
      <c r="A311" s="37"/>
      <c r="B311" s="8"/>
      <c r="E311" s="38"/>
      <c r="H311" s="38"/>
      <c r="K311" s="38"/>
      <c r="N311" s="38"/>
      <c r="Q311" s="38"/>
      <c r="S311" s="14"/>
    </row>
    <row r="312" spans="1:19" x14ac:dyDescent="0.2">
      <c r="A312" s="37"/>
      <c r="B312" s="8"/>
      <c r="E312" s="38"/>
      <c r="H312" s="38"/>
      <c r="K312" s="38"/>
      <c r="N312" s="38"/>
      <c r="Q312" s="38"/>
      <c r="S312" s="14"/>
    </row>
    <row r="313" spans="1:19" x14ac:dyDescent="0.2">
      <c r="A313" s="37"/>
      <c r="B313" s="8"/>
      <c r="E313" s="38"/>
      <c r="H313" s="38"/>
      <c r="K313" s="38"/>
      <c r="N313" s="38"/>
      <c r="Q313" s="38"/>
      <c r="S313" s="14"/>
    </row>
    <row r="314" spans="1:19" x14ac:dyDescent="0.2">
      <c r="A314" s="37"/>
      <c r="B314" s="8"/>
      <c r="E314" s="38"/>
      <c r="H314" s="38"/>
      <c r="K314" s="38"/>
      <c r="N314" s="38"/>
      <c r="Q314" s="38"/>
      <c r="S314" s="14"/>
    </row>
    <row r="315" spans="1:19" x14ac:dyDescent="0.2">
      <c r="A315" s="37"/>
      <c r="B315" s="8"/>
      <c r="E315" s="38"/>
      <c r="H315" s="38"/>
      <c r="K315" s="38"/>
      <c r="N315" s="38"/>
      <c r="Q315" s="38"/>
      <c r="S315" s="14"/>
    </row>
    <row r="316" spans="1:19" x14ac:dyDescent="0.2">
      <c r="A316" s="37"/>
      <c r="B316" s="8"/>
      <c r="E316" s="38"/>
      <c r="H316" s="38"/>
      <c r="K316" s="38"/>
      <c r="N316" s="38"/>
      <c r="Q316" s="38"/>
      <c r="S316" s="14"/>
    </row>
    <row r="317" spans="1:19" x14ac:dyDescent="0.2">
      <c r="A317" s="37"/>
      <c r="B317" s="8"/>
      <c r="E317" s="38"/>
      <c r="H317" s="38"/>
      <c r="K317" s="38"/>
      <c r="N317" s="38"/>
      <c r="Q317" s="38"/>
      <c r="S317" s="14"/>
    </row>
    <row r="318" spans="1:19" x14ac:dyDescent="0.2">
      <c r="A318" s="37"/>
      <c r="B318" s="8"/>
      <c r="E318" s="38"/>
      <c r="H318" s="38"/>
      <c r="K318" s="38"/>
      <c r="N318" s="38"/>
      <c r="Q318" s="38"/>
      <c r="S318" s="14"/>
    </row>
    <row r="319" spans="1:19" x14ac:dyDescent="0.2">
      <c r="A319" s="37"/>
      <c r="B319" s="8"/>
      <c r="E319" s="38"/>
      <c r="H319" s="38"/>
      <c r="K319" s="38"/>
      <c r="N319" s="38"/>
      <c r="Q319" s="38"/>
      <c r="S319" s="14"/>
    </row>
    <row r="320" spans="1:19" x14ac:dyDescent="0.2">
      <c r="A320" s="37"/>
      <c r="B320" s="8"/>
      <c r="E320" s="38"/>
      <c r="H320" s="38"/>
      <c r="K320" s="38"/>
      <c r="N320" s="38"/>
      <c r="Q320" s="38"/>
      <c r="S320" s="14"/>
    </row>
    <row r="321" spans="1:19" x14ac:dyDescent="0.2">
      <c r="A321" s="37"/>
      <c r="B321" s="8"/>
      <c r="E321" s="38"/>
      <c r="H321" s="38"/>
      <c r="K321" s="38"/>
      <c r="N321" s="38"/>
      <c r="Q321" s="38"/>
      <c r="S321" s="14"/>
    </row>
    <row r="322" spans="1:19" x14ac:dyDescent="0.2">
      <c r="A322" s="37"/>
      <c r="B322" s="8"/>
      <c r="E322" s="38"/>
      <c r="H322" s="38"/>
      <c r="K322" s="38"/>
      <c r="N322" s="38"/>
      <c r="Q322" s="38"/>
      <c r="S322" s="14"/>
    </row>
    <row r="323" spans="1:19" x14ac:dyDescent="0.2">
      <c r="A323" s="37"/>
      <c r="B323" s="8"/>
      <c r="E323" s="38"/>
      <c r="H323" s="38"/>
      <c r="K323" s="38"/>
      <c r="N323" s="38"/>
      <c r="Q323" s="38"/>
      <c r="S323" s="14"/>
    </row>
    <row r="324" spans="1:19" x14ac:dyDescent="0.2">
      <c r="A324" s="37"/>
      <c r="B324" s="8"/>
      <c r="E324" s="38"/>
      <c r="H324" s="38"/>
      <c r="K324" s="38"/>
      <c r="N324" s="38"/>
      <c r="Q324" s="38"/>
      <c r="S324" s="14"/>
    </row>
    <row r="325" spans="1:19" x14ac:dyDescent="0.2">
      <c r="A325" s="37"/>
      <c r="B325" s="8"/>
      <c r="E325" s="38"/>
      <c r="H325" s="38"/>
      <c r="K325" s="38"/>
      <c r="N325" s="38"/>
      <c r="Q325" s="38"/>
      <c r="S325" s="14"/>
    </row>
    <row r="326" spans="1:19" x14ac:dyDescent="0.2">
      <c r="A326" s="37"/>
      <c r="B326" s="8"/>
      <c r="E326" s="38"/>
      <c r="H326" s="38"/>
      <c r="K326" s="38"/>
      <c r="N326" s="38"/>
      <c r="Q326" s="38"/>
      <c r="S326" s="14"/>
    </row>
    <row r="327" spans="1:19" x14ac:dyDescent="0.2">
      <c r="A327" s="37"/>
      <c r="B327" s="8"/>
      <c r="E327" s="38"/>
      <c r="H327" s="38"/>
      <c r="K327" s="38"/>
      <c r="N327" s="38"/>
      <c r="Q327" s="38"/>
      <c r="S327" s="14"/>
    </row>
    <row r="328" spans="1:19" x14ac:dyDescent="0.2">
      <c r="A328" s="37"/>
      <c r="B328" s="8"/>
      <c r="E328" s="38"/>
      <c r="H328" s="38"/>
      <c r="K328" s="38"/>
      <c r="N328" s="38"/>
      <c r="Q328" s="38"/>
      <c r="S328" s="14"/>
    </row>
    <row r="329" spans="1:19" x14ac:dyDescent="0.2">
      <c r="A329" s="37"/>
      <c r="B329" s="8"/>
      <c r="E329" s="38"/>
      <c r="H329" s="38"/>
      <c r="K329" s="38"/>
      <c r="N329" s="38"/>
      <c r="Q329" s="38"/>
      <c r="S329" s="14"/>
    </row>
    <row r="330" spans="1:19" x14ac:dyDescent="0.2">
      <c r="A330" s="37"/>
      <c r="B330" s="8"/>
      <c r="E330" s="38"/>
      <c r="H330" s="38"/>
      <c r="K330" s="38"/>
      <c r="N330" s="38"/>
      <c r="Q330" s="38"/>
      <c r="S330" s="14"/>
    </row>
    <row r="331" spans="1:19" x14ac:dyDescent="0.2">
      <c r="A331" s="37"/>
      <c r="B331" s="8"/>
      <c r="E331" s="38"/>
      <c r="H331" s="38"/>
      <c r="K331" s="38"/>
      <c r="N331" s="38"/>
      <c r="Q331" s="38"/>
      <c r="S331" s="14"/>
    </row>
    <row r="332" spans="1:19" x14ac:dyDescent="0.2">
      <c r="A332" s="37"/>
      <c r="B332" s="8"/>
      <c r="E332" s="38"/>
      <c r="H332" s="38"/>
      <c r="K332" s="38"/>
      <c r="N332" s="38"/>
      <c r="Q332" s="38"/>
      <c r="S332" s="14"/>
    </row>
    <row r="333" spans="1:19" x14ac:dyDescent="0.2">
      <c r="A333" s="37"/>
      <c r="B333" s="8"/>
      <c r="E333" s="38"/>
      <c r="H333" s="38"/>
      <c r="K333" s="38"/>
      <c r="N333" s="38"/>
      <c r="Q333" s="38"/>
      <c r="S333" s="14"/>
    </row>
    <row r="334" spans="1:19" x14ac:dyDescent="0.2">
      <c r="A334" s="37"/>
      <c r="B334" s="8"/>
      <c r="E334" s="38"/>
      <c r="H334" s="38"/>
      <c r="K334" s="38"/>
      <c r="N334" s="38"/>
      <c r="Q334" s="38"/>
      <c r="S334" s="14"/>
    </row>
    <row r="335" spans="1:19" x14ac:dyDescent="0.2">
      <c r="A335" s="37"/>
      <c r="B335" s="8"/>
      <c r="E335" s="38"/>
      <c r="H335" s="38"/>
      <c r="K335" s="38"/>
      <c r="N335" s="38"/>
      <c r="Q335" s="38"/>
      <c r="S335" s="14"/>
    </row>
    <row r="336" spans="1:19" x14ac:dyDescent="0.2">
      <c r="A336" s="37"/>
      <c r="B336" s="8"/>
      <c r="E336" s="38"/>
      <c r="H336" s="38"/>
      <c r="K336" s="38"/>
      <c r="N336" s="38"/>
      <c r="Q336" s="38"/>
      <c r="S336" s="14"/>
    </row>
    <row r="337" spans="1:19" x14ac:dyDescent="0.2">
      <c r="A337" s="37"/>
      <c r="B337" s="8"/>
      <c r="E337" s="38"/>
      <c r="H337" s="38"/>
      <c r="K337" s="38"/>
      <c r="N337" s="38"/>
      <c r="Q337" s="38"/>
      <c r="S337" s="14"/>
    </row>
    <row r="338" spans="1:19" x14ac:dyDescent="0.2">
      <c r="A338" s="37"/>
      <c r="B338" s="8"/>
      <c r="E338" s="38"/>
      <c r="H338" s="38"/>
      <c r="K338" s="38"/>
      <c r="N338" s="38"/>
      <c r="Q338" s="38"/>
      <c r="S338" s="14"/>
    </row>
    <row r="339" spans="1:19" x14ac:dyDescent="0.2">
      <c r="A339" s="37"/>
      <c r="B339" s="8"/>
      <c r="E339" s="38"/>
      <c r="H339" s="38"/>
      <c r="K339" s="38"/>
      <c r="N339" s="38"/>
      <c r="Q339" s="38"/>
      <c r="S339" s="14"/>
    </row>
    <row r="340" spans="1:19" x14ac:dyDescent="0.2">
      <c r="A340" s="37"/>
      <c r="B340" s="8"/>
      <c r="E340" s="38"/>
      <c r="H340" s="38"/>
      <c r="K340" s="38"/>
      <c r="N340" s="38"/>
      <c r="Q340" s="38"/>
      <c r="S340" s="14"/>
    </row>
    <row r="341" spans="1:19" x14ac:dyDescent="0.2">
      <c r="A341" s="37"/>
      <c r="B341" s="8"/>
      <c r="E341" s="38"/>
      <c r="H341" s="38"/>
      <c r="K341" s="38"/>
      <c r="N341" s="38"/>
      <c r="Q341" s="38"/>
      <c r="S341" s="14"/>
    </row>
    <row r="342" spans="1:19" x14ac:dyDescent="0.2">
      <c r="A342" s="37"/>
      <c r="B342" s="8"/>
      <c r="E342" s="38"/>
      <c r="H342" s="38"/>
      <c r="K342" s="38"/>
      <c r="N342" s="38"/>
      <c r="Q342" s="38"/>
      <c r="S342" s="14"/>
    </row>
    <row r="343" spans="1:19" x14ac:dyDescent="0.2">
      <c r="A343" s="37"/>
      <c r="B343" s="8"/>
      <c r="E343" s="38"/>
      <c r="H343" s="38"/>
      <c r="K343" s="38"/>
      <c r="N343" s="38"/>
      <c r="Q343" s="38"/>
      <c r="S343" s="14"/>
    </row>
    <row r="344" spans="1:19" x14ac:dyDescent="0.2">
      <c r="A344" s="37"/>
      <c r="B344" s="8"/>
      <c r="E344" s="38"/>
      <c r="H344" s="38"/>
      <c r="K344" s="38"/>
      <c r="N344" s="38"/>
      <c r="Q344" s="38"/>
      <c r="S344" s="14"/>
    </row>
    <row r="345" spans="1:19" x14ac:dyDescent="0.2">
      <c r="A345" s="37"/>
      <c r="B345" s="8"/>
      <c r="E345" s="38"/>
      <c r="H345" s="38"/>
      <c r="K345" s="38"/>
      <c r="N345" s="38"/>
      <c r="Q345" s="38"/>
      <c r="S345" s="14"/>
    </row>
    <row r="346" spans="1:19" x14ac:dyDescent="0.2">
      <c r="A346" s="37"/>
      <c r="B346" s="8"/>
      <c r="E346" s="38"/>
      <c r="H346" s="38"/>
      <c r="K346" s="38"/>
      <c r="N346" s="38"/>
      <c r="Q346" s="38"/>
      <c r="S346" s="14"/>
    </row>
    <row r="347" spans="1:19" x14ac:dyDescent="0.2">
      <c r="A347" s="37"/>
      <c r="B347" s="8"/>
      <c r="E347" s="38"/>
      <c r="H347" s="38"/>
      <c r="K347" s="38"/>
      <c r="N347" s="38"/>
      <c r="Q347" s="38"/>
      <c r="S347" s="14"/>
    </row>
    <row r="348" spans="1:19" x14ac:dyDescent="0.2">
      <c r="A348" s="37"/>
      <c r="B348" s="8"/>
      <c r="E348" s="38"/>
      <c r="H348" s="38"/>
      <c r="K348" s="38"/>
      <c r="N348" s="38"/>
      <c r="Q348" s="38"/>
      <c r="S348" s="14"/>
    </row>
    <row r="349" spans="1:19" x14ac:dyDescent="0.2">
      <c r="A349" s="37"/>
      <c r="B349" s="8"/>
      <c r="E349" s="38"/>
      <c r="H349" s="38"/>
      <c r="K349" s="38"/>
      <c r="N349" s="38"/>
      <c r="Q349" s="38"/>
      <c r="S349" s="14"/>
    </row>
    <row r="350" spans="1:19" x14ac:dyDescent="0.2">
      <c r="A350" s="37"/>
      <c r="B350" s="8"/>
      <c r="E350" s="38"/>
      <c r="H350" s="38"/>
      <c r="K350" s="38"/>
      <c r="N350" s="38"/>
      <c r="Q350" s="38"/>
      <c r="S350" s="14"/>
    </row>
    <row r="351" spans="1:19" x14ac:dyDescent="0.2">
      <c r="A351" s="37"/>
      <c r="B351" s="8"/>
      <c r="E351" s="38"/>
      <c r="H351" s="38"/>
      <c r="K351" s="38"/>
      <c r="N351" s="38"/>
      <c r="Q351" s="38"/>
      <c r="S351" s="14"/>
    </row>
    <row r="352" spans="1:19" x14ac:dyDescent="0.2">
      <c r="A352" s="37"/>
      <c r="B352" s="8"/>
      <c r="E352" s="38"/>
      <c r="H352" s="38"/>
      <c r="K352" s="38"/>
      <c r="N352" s="38"/>
      <c r="Q352" s="38"/>
      <c r="S352" s="14"/>
    </row>
    <row r="353" spans="1:19" x14ac:dyDescent="0.2">
      <c r="A353" s="37"/>
      <c r="B353" s="8"/>
      <c r="E353" s="38"/>
      <c r="H353" s="38"/>
      <c r="K353" s="38"/>
      <c r="N353" s="38"/>
      <c r="Q353" s="38"/>
      <c r="S353" s="14"/>
    </row>
    <row r="354" spans="1:19" x14ac:dyDescent="0.2">
      <c r="A354" s="37"/>
      <c r="B354" s="8"/>
      <c r="E354" s="38"/>
      <c r="H354" s="38"/>
      <c r="K354" s="38"/>
      <c r="N354" s="38"/>
      <c r="Q354" s="38"/>
      <c r="S354" s="14"/>
    </row>
    <row r="355" spans="1:19" x14ac:dyDescent="0.2">
      <c r="A355" s="37"/>
      <c r="B355" s="8"/>
      <c r="E355" s="38"/>
      <c r="H355" s="38"/>
      <c r="K355" s="38"/>
      <c r="N355" s="38"/>
      <c r="Q355" s="38"/>
      <c r="S355" s="14"/>
    </row>
    <row r="356" spans="1:19" x14ac:dyDescent="0.2">
      <c r="A356" s="37"/>
      <c r="B356" s="8"/>
      <c r="E356" s="38"/>
      <c r="H356" s="38"/>
      <c r="K356" s="38"/>
      <c r="N356" s="38"/>
      <c r="Q356" s="38"/>
      <c r="S356" s="14"/>
    </row>
    <row r="357" spans="1:19" x14ac:dyDescent="0.2">
      <c r="A357" s="37"/>
      <c r="B357" s="8"/>
      <c r="E357" s="38"/>
      <c r="H357" s="38"/>
      <c r="K357" s="38"/>
      <c r="N357" s="38"/>
      <c r="Q357" s="38"/>
      <c r="S357" s="14"/>
    </row>
    <row r="358" spans="1:19" x14ac:dyDescent="0.2">
      <c r="A358" s="37"/>
      <c r="B358" s="8"/>
      <c r="E358" s="38"/>
      <c r="H358" s="38"/>
      <c r="K358" s="38"/>
      <c r="N358" s="38"/>
      <c r="Q358" s="38"/>
      <c r="S358" s="14"/>
    </row>
    <row r="359" spans="1:19" x14ac:dyDescent="0.2">
      <c r="A359" s="37"/>
      <c r="B359" s="8"/>
      <c r="E359" s="38"/>
      <c r="H359" s="38"/>
      <c r="K359" s="38"/>
      <c r="N359" s="38"/>
      <c r="Q359" s="38"/>
      <c r="S359" s="14"/>
    </row>
    <row r="360" spans="1:19" x14ac:dyDescent="0.2">
      <c r="A360" s="37"/>
      <c r="B360" s="8"/>
      <c r="E360" s="38"/>
      <c r="H360" s="38"/>
      <c r="K360" s="38"/>
      <c r="N360" s="38"/>
      <c r="Q360" s="38"/>
      <c r="S360" s="14"/>
    </row>
    <row r="361" spans="1:19" x14ac:dyDescent="0.2">
      <c r="A361" s="37"/>
      <c r="B361" s="8"/>
      <c r="E361" s="38"/>
      <c r="H361" s="38"/>
      <c r="K361" s="38"/>
      <c r="N361" s="38"/>
      <c r="Q361" s="38"/>
      <c r="S361" s="14"/>
    </row>
    <row r="362" spans="1:19" x14ac:dyDescent="0.2">
      <c r="A362" s="37"/>
      <c r="B362" s="8"/>
      <c r="E362" s="38"/>
      <c r="H362" s="38"/>
      <c r="K362" s="38"/>
      <c r="N362" s="38"/>
      <c r="Q362" s="38"/>
      <c r="S362" s="14"/>
    </row>
    <row r="363" spans="1:19" x14ac:dyDescent="0.2">
      <c r="A363" s="37"/>
      <c r="B363" s="8"/>
      <c r="E363" s="38"/>
      <c r="H363" s="38"/>
      <c r="K363" s="38"/>
      <c r="N363" s="38"/>
      <c r="Q363" s="38"/>
      <c r="S363" s="14"/>
    </row>
    <row r="364" spans="1:19" x14ac:dyDescent="0.2">
      <c r="A364" s="37"/>
      <c r="B364" s="8"/>
      <c r="E364" s="38"/>
      <c r="H364" s="38"/>
      <c r="K364" s="38"/>
      <c r="N364" s="38"/>
      <c r="Q364" s="38"/>
      <c r="S364" s="14"/>
    </row>
    <row r="365" spans="1:19" x14ac:dyDescent="0.2">
      <c r="A365" s="37"/>
      <c r="B365" s="8"/>
      <c r="E365" s="38"/>
      <c r="H365" s="38"/>
      <c r="K365" s="38"/>
      <c r="N365" s="38"/>
      <c r="Q365" s="38"/>
      <c r="S365" s="14"/>
    </row>
    <row r="366" spans="1:19" x14ac:dyDescent="0.2">
      <c r="A366" s="37"/>
      <c r="B366" s="8"/>
      <c r="E366" s="38"/>
      <c r="H366" s="38"/>
      <c r="K366" s="38"/>
      <c r="N366" s="38"/>
      <c r="Q366" s="38"/>
      <c r="S366" s="14"/>
    </row>
    <row r="367" spans="1:19" x14ac:dyDescent="0.2">
      <c r="A367" s="37"/>
      <c r="B367" s="8"/>
      <c r="E367" s="38"/>
      <c r="H367" s="38"/>
      <c r="K367" s="38"/>
      <c r="N367" s="38"/>
      <c r="Q367" s="38"/>
      <c r="S367" s="14"/>
    </row>
    <row r="368" spans="1:19" x14ac:dyDescent="0.2">
      <c r="A368" s="37"/>
      <c r="B368" s="8"/>
      <c r="E368" s="38"/>
      <c r="H368" s="38"/>
      <c r="K368" s="38"/>
      <c r="N368" s="38"/>
      <c r="Q368" s="38"/>
      <c r="S368" s="14"/>
    </row>
    <row r="369" spans="1:19" x14ac:dyDescent="0.2">
      <c r="A369" s="37"/>
      <c r="B369" s="8"/>
      <c r="E369" s="38"/>
      <c r="H369" s="38"/>
      <c r="K369" s="38"/>
      <c r="N369" s="38"/>
      <c r="Q369" s="38"/>
      <c r="S369" s="14"/>
    </row>
    <row r="370" spans="1:19" x14ac:dyDescent="0.2">
      <c r="A370" s="37"/>
      <c r="B370" s="8"/>
      <c r="E370" s="38"/>
      <c r="H370" s="38"/>
      <c r="K370" s="38"/>
      <c r="N370" s="38"/>
      <c r="Q370" s="38"/>
      <c r="S370" s="14"/>
    </row>
    <row r="371" spans="1:19" x14ac:dyDescent="0.2">
      <c r="A371" s="37"/>
      <c r="B371" s="8"/>
      <c r="E371" s="38"/>
      <c r="H371" s="38"/>
      <c r="K371" s="38"/>
      <c r="N371" s="38"/>
      <c r="Q371" s="38"/>
      <c r="S371" s="14"/>
    </row>
    <row r="372" spans="1:19" x14ac:dyDescent="0.2">
      <c r="A372" s="37"/>
      <c r="B372" s="8"/>
      <c r="E372" s="38"/>
      <c r="H372" s="38"/>
      <c r="K372" s="38"/>
      <c r="N372" s="38"/>
      <c r="Q372" s="38"/>
      <c r="S372" s="14"/>
    </row>
    <row r="373" spans="1:19" x14ac:dyDescent="0.2">
      <c r="A373" s="37"/>
      <c r="B373" s="8"/>
      <c r="E373" s="38"/>
      <c r="H373" s="38"/>
      <c r="K373" s="38"/>
      <c r="N373" s="38"/>
      <c r="Q373" s="38"/>
      <c r="S373" s="14"/>
    </row>
    <row r="374" spans="1:19" x14ac:dyDescent="0.2">
      <c r="A374" s="37"/>
      <c r="B374" s="8"/>
      <c r="E374" s="38"/>
      <c r="H374" s="38"/>
      <c r="K374" s="38"/>
      <c r="N374" s="38"/>
      <c r="Q374" s="38"/>
      <c r="S374" s="14"/>
    </row>
    <row r="375" spans="1:19" x14ac:dyDescent="0.2">
      <c r="A375" s="37"/>
      <c r="B375" s="8"/>
      <c r="E375" s="38"/>
      <c r="H375" s="38"/>
      <c r="K375" s="38"/>
      <c r="N375" s="38"/>
      <c r="Q375" s="38"/>
      <c r="S375" s="14"/>
    </row>
    <row r="376" spans="1:19" x14ac:dyDescent="0.2">
      <c r="A376" s="37"/>
      <c r="B376" s="8"/>
      <c r="E376" s="38"/>
      <c r="H376" s="38"/>
      <c r="K376" s="38"/>
      <c r="N376" s="38"/>
      <c r="Q376" s="38"/>
      <c r="S376" s="14"/>
    </row>
    <row r="377" spans="1:19" x14ac:dyDescent="0.2">
      <c r="A377" s="37"/>
      <c r="B377" s="8"/>
      <c r="E377" s="38"/>
      <c r="H377" s="38"/>
      <c r="K377" s="38"/>
      <c r="N377" s="38"/>
      <c r="Q377" s="38"/>
      <c r="S377" s="14"/>
    </row>
    <row r="378" spans="1:19" x14ac:dyDescent="0.2">
      <c r="A378" s="37"/>
      <c r="B378" s="8"/>
      <c r="E378" s="38"/>
      <c r="H378" s="38"/>
      <c r="K378" s="38"/>
      <c r="N378" s="38"/>
      <c r="Q378" s="38"/>
      <c r="S378" s="14"/>
    </row>
    <row r="379" spans="1:19" x14ac:dyDescent="0.2">
      <c r="A379" s="37"/>
      <c r="B379" s="8"/>
      <c r="E379" s="38"/>
      <c r="H379" s="38"/>
      <c r="K379" s="38"/>
      <c r="N379" s="38"/>
      <c r="Q379" s="38"/>
      <c r="S379" s="14"/>
    </row>
    <row r="380" spans="1:19" x14ac:dyDescent="0.2">
      <c r="A380" s="37"/>
      <c r="B380" s="8"/>
      <c r="E380" s="38"/>
      <c r="H380" s="38"/>
      <c r="K380" s="38"/>
      <c r="N380" s="38"/>
      <c r="Q380" s="38"/>
      <c r="S380" s="14"/>
    </row>
    <row r="381" spans="1:19" x14ac:dyDescent="0.2">
      <c r="A381" s="37"/>
      <c r="B381" s="8"/>
      <c r="E381" s="38"/>
      <c r="H381" s="38"/>
      <c r="K381" s="38"/>
      <c r="N381" s="38"/>
      <c r="Q381" s="38"/>
      <c r="S381" s="14"/>
    </row>
    <row r="382" spans="1:19" x14ac:dyDescent="0.2">
      <c r="A382" s="37"/>
      <c r="B382" s="8"/>
      <c r="E382" s="38"/>
      <c r="H382" s="38"/>
      <c r="K382" s="38"/>
      <c r="N382" s="38"/>
      <c r="Q382" s="38"/>
      <c r="S382" s="14"/>
    </row>
    <row r="383" spans="1:19" x14ac:dyDescent="0.2">
      <c r="A383" s="37"/>
      <c r="B383" s="8"/>
      <c r="E383" s="38"/>
      <c r="H383" s="38"/>
      <c r="K383" s="38"/>
      <c r="N383" s="38"/>
      <c r="Q383" s="38"/>
      <c r="S383" s="14"/>
    </row>
    <row r="384" spans="1:19" x14ac:dyDescent="0.2">
      <c r="A384" s="37"/>
      <c r="B384" s="8"/>
      <c r="E384" s="38"/>
      <c r="H384" s="38"/>
      <c r="K384" s="38"/>
      <c r="N384" s="38"/>
      <c r="Q384" s="38"/>
      <c r="S384" s="14"/>
    </row>
    <row r="385" spans="1:19" x14ac:dyDescent="0.2">
      <c r="A385" s="37"/>
      <c r="B385" s="8"/>
      <c r="E385" s="38"/>
      <c r="H385" s="38"/>
      <c r="K385" s="38"/>
      <c r="N385" s="38"/>
      <c r="Q385" s="38"/>
      <c r="S385" s="14"/>
    </row>
    <row r="386" spans="1:19" x14ac:dyDescent="0.2">
      <c r="A386" s="37"/>
      <c r="B386" s="8"/>
      <c r="E386" s="38"/>
      <c r="H386" s="38"/>
      <c r="K386" s="38"/>
      <c r="N386" s="38"/>
      <c r="Q386" s="38"/>
      <c r="S386" s="14"/>
    </row>
    <row r="387" spans="1:19" x14ac:dyDescent="0.2">
      <c r="A387" s="37"/>
      <c r="B387" s="8"/>
      <c r="E387" s="38"/>
      <c r="H387" s="38"/>
      <c r="K387" s="38"/>
      <c r="N387" s="38"/>
      <c r="Q387" s="38"/>
      <c r="S387" s="14"/>
    </row>
    <row r="388" spans="1:19" x14ac:dyDescent="0.2">
      <c r="A388" s="37"/>
      <c r="B388" s="8"/>
      <c r="E388" s="38"/>
      <c r="H388" s="38"/>
      <c r="K388" s="38"/>
      <c r="N388" s="38"/>
      <c r="Q388" s="38"/>
      <c r="S388" s="14"/>
    </row>
    <row r="389" spans="1:19" x14ac:dyDescent="0.2">
      <c r="A389" s="37"/>
      <c r="B389" s="8"/>
      <c r="E389" s="38"/>
      <c r="H389" s="38"/>
      <c r="K389" s="38"/>
      <c r="N389" s="38"/>
      <c r="Q389" s="38"/>
      <c r="S389" s="14"/>
    </row>
    <row r="390" spans="1:19" x14ac:dyDescent="0.2">
      <c r="A390" s="37"/>
      <c r="B390" s="8"/>
      <c r="E390" s="38"/>
      <c r="H390" s="38"/>
      <c r="K390" s="38"/>
      <c r="N390" s="38"/>
      <c r="Q390" s="38"/>
      <c r="S390" s="14"/>
    </row>
    <row r="391" spans="1:19" x14ac:dyDescent="0.2">
      <c r="A391" s="37"/>
      <c r="B391" s="8"/>
      <c r="E391" s="38"/>
      <c r="H391" s="38"/>
      <c r="K391" s="38"/>
      <c r="N391" s="38"/>
      <c r="Q391" s="38"/>
      <c r="S391" s="14"/>
    </row>
    <row r="392" spans="1:19" x14ac:dyDescent="0.2">
      <c r="A392" s="37"/>
      <c r="B392" s="8"/>
      <c r="E392" s="38"/>
      <c r="H392" s="38"/>
      <c r="K392" s="38"/>
      <c r="N392" s="38"/>
      <c r="Q392" s="38"/>
      <c r="S392" s="14"/>
    </row>
    <row r="393" spans="1:19" x14ac:dyDescent="0.2">
      <c r="A393" s="37"/>
      <c r="B393" s="8"/>
      <c r="E393" s="38"/>
      <c r="H393" s="38"/>
      <c r="K393" s="38"/>
      <c r="N393" s="38"/>
      <c r="Q393" s="38"/>
      <c r="S393" s="14"/>
    </row>
    <row r="394" spans="1:19" x14ac:dyDescent="0.2">
      <c r="A394" s="37"/>
      <c r="B394" s="8"/>
      <c r="E394" s="38"/>
      <c r="H394" s="38"/>
      <c r="K394" s="38"/>
      <c r="N394" s="38"/>
      <c r="Q394" s="38"/>
      <c r="S394" s="14"/>
    </row>
    <row r="395" spans="1:19" x14ac:dyDescent="0.2">
      <c r="A395" s="37"/>
      <c r="B395" s="8"/>
      <c r="E395" s="38"/>
      <c r="H395" s="38"/>
      <c r="K395" s="38"/>
      <c r="N395" s="38"/>
      <c r="Q395" s="38"/>
      <c r="S395" s="14"/>
    </row>
    <row r="396" spans="1:19" x14ac:dyDescent="0.2">
      <c r="A396" s="37"/>
      <c r="B396" s="8"/>
      <c r="E396" s="38"/>
      <c r="H396" s="38"/>
      <c r="K396" s="38"/>
      <c r="N396" s="38"/>
      <c r="Q396" s="38"/>
      <c r="S396" s="14"/>
    </row>
    <row r="397" spans="1:19" x14ac:dyDescent="0.2">
      <c r="A397" s="37"/>
      <c r="B397" s="8"/>
      <c r="E397" s="38"/>
      <c r="H397" s="38"/>
      <c r="K397" s="38"/>
      <c r="N397" s="38"/>
      <c r="Q397" s="38"/>
      <c r="S397" s="14"/>
    </row>
    <row r="398" spans="1:19" x14ac:dyDescent="0.2">
      <c r="A398" s="37"/>
      <c r="B398" s="8"/>
      <c r="E398" s="38"/>
      <c r="H398" s="38"/>
      <c r="K398" s="38"/>
      <c r="N398" s="38"/>
      <c r="Q398" s="38"/>
      <c r="S398" s="14"/>
    </row>
    <row r="399" spans="1:19" x14ac:dyDescent="0.2">
      <c r="A399" s="37"/>
      <c r="B399" s="8"/>
      <c r="E399" s="38"/>
      <c r="H399" s="38"/>
      <c r="K399" s="38"/>
      <c r="N399" s="38"/>
      <c r="Q399" s="38"/>
      <c r="S399" s="14"/>
    </row>
    <row r="400" spans="1:19" x14ac:dyDescent="0.2">
      <c r="A400" s="37"/>
      <c r="B400" s="8"/>
      <c r="E400" s="38"/>
      <c r="H400" s="38"/>
      <c r="K400" s="38"/>
      <c r="N400" s="38"/>
      <c r="Q400" s="38"/>
      <c r="S400" s="14"/>
    </row>
    <row r="401" spans="1:19" x14ac:dyDescent="0.2">
      <c r="A401" s="37"/>
      <c r="B401" s="8"/>
      <c r="E401" s="38"/>
      <c r="H401" s="38"/>
      <c r="K401" s="38"/>
      <c r="N401" s="38"/>
      <c r="Q401" s="38"/>
      <c r="S401" s="14"/>
    </row>
    <row r="402" spans="1:19" x14ac:dyDescent="0.2">
      <c r="A402" s="37"/>
      <c r="B402" s="8"/>
      <c r="E402" s="38"/>
      <c r="H402" s="38"/>
      <c r="K402" s="38"/>
      <c r="N402" s="38"/>
      <c r="Q402" s="38"/>
      <c r="S402" s="14"/>
    </row>
    <row r="403" spans="1:19" x14ac:dyDescent="0.2">
      <c r="A403" s="37"/>
      <c r="B403" s="8"/>
      <c r="E403" s="38"/>
      <c r="H403" s="38"/>
      <c r="K403" s="38"/>
      <c r="N403" s="38"/>
      <c r="Q403" s="38"/>
      <c r="S403" s="14"/>
    </row>
    <row r="404" spans="1:19" x14ac:dyDescent="0.2">
      <c r="A404" s="37"/>
      <c r="B404" s="8"/>
      <c r="E404" s="38"/>
      <c r="H404" s="38"/>
      <c r="K404" s="38"/>
      <c r="N404" s="38"/>
      <c r="Q404" s="38"/>
      <c r="S404" s="14"/>
    </row>
    <row r="405" spans="1:19" x14ac:dyDescent="0.2">
      <c r="A405" s="37"/>
      <c r="B405" s="8"/>
      <c r="E405" s="38"/>
      <c r="H405" s="38"/>
      <c r="K405" s="38"/>
      <c r="N405" s="38"/>
      <c r="Q405" s="38"/>
      <c r="S405" s="14"/>
    </row>
    <row r="406" spans="1:19" x14ac:dyDescent="0.2">
      <c r="A406" s="37"/>
      <c r="B406" s="8"/>
      <c r="E406" s="38"/>
      <c r="H406" s="38"/>
      <c r="K406" s="38"/>
      <c r="N406" s="38"/>
      <c r="Q406" s="38"/>
      <c r="S406" s="14"/>
    </row>
    <row r="407" spans="1:19" x14ac:dyDescent="0.2">
      <c r="A407" s="37"/>
      <c r="B407" s="8"/>
      <c r="E407" s="38"/>
      <c r="H407" s="38"/>
      <c r="K407" s="38"/>
      <c r="N407" s="38"/>
      <c r="Q407" s="38"/>
      <c r="S407" s="14"/>
    </row>
    <row r="408" spans="1:19" x14ac:dyDescent="0.2">
      <c r="A408" s="37"/>
      <c r="B408" s="8"/>
      <c r="E408" s="38"/>
      <c r="H408" s="38"/>
      <c r="K408" s="38"/>
      <c r="N408" s="38"/>
      <c r="Q408" s="38"/>
      <c r="S408" s="14"/>
    </row>
    <row r="409" spans="1:19" x14ac:dyDescent="0.2">
      <c r="A409" s="37"/>
      <c r="B409" s="8"/>
      <c r="E409" s="38"/>
      <c r="H409" s="38"/>
      <c r="K409" s="38"/>
      <c r="N409" s="38"/>
      <c r="Q409" s="38"/>
      <c r="S409" s="14"/>
    </row>
    <row r="410" spans="1:19" x14ac:dyDescent="0.2">
      <c r="A410" s="37"/>
      <c r="B410" s="8"/>
      <c r="E410" s="38"/>
      <c r="H410" s="38"/>
      <c r="K410" s="38"/>
      <c r="N410" s="38"/>
      <c r="Q410" s="38"/>
      <c r="S410" s="14"/>
    </row>
    <row r="411" spans="1:19" x14ac:dyDescent="0.2">
      <c r="A411" s="37"/>
      <c r="B411" s="8"/>
      <c r="E411" s="38"/>
      <c r="H411" s="38"/>
      <c r="K411" s="38"/>
      <c r="N411" s="38"/>
      <c r="Q411" s="38"/>
      <c r="S411" s="14"/>
    </row>
    <row r="412" spans="1:19" x14ac:dyDescent="0.2">
      <c r="A412" s="37"/>
      <c r="B412" s="8"/>
      <c r="E412" s="38"/>
      <c r="H412" s="38"/>
      <c r="K412" s="38"/>
      <c r="N412" s="38"/>
      <c r="Q412" s="38"/>
      <c r="S412" s="14"/>
    </row>
    <row r="413" spans="1:19" x14ac:dyDescent="0.2">
      <c r="A413" s="37"/>
      <c r="B413" s="8"/>
      <c r="E413" s="38"/>
      <c r="H413" s="38"/>
      <c r="K413" s="38"/>
      <c r="N413" s="38"/>
      <c r="Q413" s="38"/>
      <c r="S413" s="14"/>
    </row>
    <row r="414" spans="1:19" x14ac:dyDescent="0.2">
      <c r="A414" s="37"/>
      <c r="B414" s="8"/>
      <c r="E414" s="38"/>
      <c r="H414" s="38"/>
      <c r="K414" s="38"/>
      <c r="N414" s="38"/>
      <c r="Q414" s="38"/>
      <c r="S414" s="14"/>
    </row>
    <row r="415" spans="1:19" x14ac:dyDescent="0.2">
      <c r="A415" s="37"/>
      <c r="B415" s="8"/>
      <c r="E415" s="38"/>
      <c r="H415" s="38"/>
      <c r="K415" s="38"/>
      <c r="N415" s="38"/>
      <c r="Q415" s="38"/>
      <c r="S415" s="14"/>
    </row>
    <row r="416" spans="1:19" x14ac:dyDescent="0.2">
      <c r="A416" s="37"/>
      <c r="B416" s="8"/>
      <c r="E416" s="38"/>
      <c r="H416" s="38"/>
      <c r="K416" s="38"/>
      <c r="N416" s="38"/>
      <c r="Q416" s="38"/>
      <c r="S416" s="14"/>
    </row>
    <row r="417" spans="1:19" x14ac:dyDescent="0.2">
      <c r="A417" s="37"/>
      <c r="B417" s="8"/>
      <c r="E417" s="38"/>
      <c r="H417" s="38"/>
      <c r="K417" s="38"/>
      <c r="N417" s="38"/>
      <c r="Q417" s="38"/>
      <c r="S417" s="14"/>
    </row>
    <row r="418" spans="1:19" x14ac:dyDescent="0.2">
      <c r="A418" s="37"/>
      <c r="B418" s="8"/>
      <c r="E418" s="38"/>
      <c r="H418" s="38"/>
      <c r="K418" s="38"/>
      <c r="N418" s="38"/>
      <c r="Q418" s="38"/>
      <c r="S418" s="14"/>
    </row>
    <row r="419" spans="1:19" x14ac:dyDescent="0.2">
      <c r="A419" s="37"/>
      <c r="B419" s="8"/>
      <c r="E419" s="38"/>
      <c r="H419" s="38"/>
      <c r="K419" s="38"/>
      <c r="N419" s="38"/>
      <c r="Q419" s="38"/>
      <c r="S419" s="14"/>
    </row>
    <row r="420" spans="1:19" x14ac:dyDescent="0.2">
      <c r="A420" s="37"/>
      <c r="B420" s="8"/>
      <c r="E420" s="38"/>
      <c r="H420" s="38"/>
      <c r="K420" s="38"/>
      <c r="N420" s="38"/>
      <c r="Q420" s="38"/>
      <c r="S420" s="14"/>
    </row>
    <row r="421" spans="1:19" x14ac:dyDescent="0.2">
      <c r="A421" s="37"/>
      <c r="B421" s="8"/>
      <c r="E421" s="38"/>
      <c r="H421" s="38"/>
      <c r="K421" s="38"/>
      <c r="N421" s="38"/>
      <c r="Q421" s="38"/>
      <c r="S421" s="14"/>
    </row>
    <row r="422" spans="1:19" x14ac:dyDescent="0.2">
      <c r="A422" s="37"/>
      <c r="B422" s="8"/>
      <c r="E422" s="38"/>
      <c r="H422" s="38"/>
      <c r="K422" s="38"/>
      <c r="N422" s="38"/>
      <c r="Q422" s="38"/>
      <c r="S422" s="14"/>
    </row>
    <row r="423" spans="1:19" x14ac:dyDescent="0.2">
      <c r="A423" s="37"/>
      <c r="B423" s="8"/>
      <c r="E423" s="38"/>
      <c r="H423" s="38"/>
      <c r="K423" s="38"/>
      <c r="N423" s="38"/>
      <c r="Q423" s="38"/>
      <c r="S423" s="14"/>
    </row>
    <row r="424" spans="1:19" x14ac:dyDescent="0.2">
      <c r="A424" s="37"/>
      <c r="B424" s="8"/>
      <c r="E424" s="38"/>
      <c r="H424" s="38"/>
      <c r="K424" s="38"/>
      <c r="N424" s="38"/>
      <c r="Q424" s="38"/>
      <c r="S424" s="14"/>
    </row>
    <row r="425" spans="1:19" x14ac:dyDescent="0.2">
      <c r="A425" s="37"/>
      <c r="B425" s="8"/>
      <c r="E425" s="38"/>
      <c r="H425" s="38"/>
      <c r="K425" s="38"/>
      <c r="N425" s="38"/>
      <c r="Q425" s="38"/>
      <c r="S425" s="14"/>
    </row>
    <row r="426" spans="1:19" x14ac:dyDescent="0.2">
      <c r="A426" s="37"/>
      <c r="B426" s="8"/>
      <c r="E426" s="38"/>
      <c r="H426" s="38"/>
      <c r="K426" s="38"/>
      <c r="N426" s="38"/>
      <c r="Q426" s="38"/>
      <c r="S426" s="14"/>
    </row>
    <row r="427" spans="1:19" x14ac:dyDescent="0.2">
      <c r="A427" s="37"/>
      <c r="B427" s="8"/>
      <c r="E427" s="38"/>
      <c r="H427" s="38"/>
      <c r="K427" s="38"/>
      <c r="N427" s="38"/>
      <c r="Q427" s="38"/>
      <c r="S427" s="14"/>
    </row>
    <row r="428" spans="1:19" x14ac:dyDescent="0.2">
      <c r="A428" s="37"/>
      <c r="B428" s="8"/>
      <c r="E428" s="38"/>
      <c r="H428" s="38"/>
      <c r="K428" s="38"/>
      <c r="N428" s="38"/>
      <c r="Q428" s="38"/>
      <c r="S428" s="14"/>
    </row>
    <row r="429" spans="1:19" x14ac:dyDescent="0.2">
      <c r="A429" s="37"/>
      <c r="B429" s="8"/>
      <c r="E429" s="38"/>
      <c r="H429" s="38"/>
      <c r="K429" s="38"/>
      <c r="N429" s="38"/>
      <c r="Q429" s="38"/>
      <c r="S429" s="14"/>
    </row>
    <row r="430" spans="1:19" x14ac:dyDescent="0.2">
      <c r="A430" s="37"/>
      <c r="B430" s="8"/>
      <c r="E430" s="38"/>
      <c r="H430" s="38"/>
      <c r="K430" s="38"/>
      <c r="N430" s="38"/>
      <c r="Q430" s="38"/>
      <c r="S430" s="14"/>
    </row>
    <row r="431" spans="1:19" x14ac:dyDescent="0.2">
      <c r="A431" s="37"/>
      <c r="B431" s="8"/>
      <c r="E431" s="38"/>
      <c r="H431" s="38"/>
      <c r="K431" s="38"/>
      <c r="N431" s="38"/>
      <c r="Q431" s="38"/>
      <c r="S431" s="14"/>
    </row>
    <row r="432" spans="1:19" x14ac:dyDescent="0.2">
      <c r="A432" s="37"/>
      <c r="B432" s="8"/>
      <c r="E432" s="38"/>
      <c r="H432" s="38"/>
      <c r="K432" s="38"/>
      <c r="N432" s="38"/>
      <c r="Q432" s="38"/>
      <c r="S432" s="14"/>
    </row>
    <row r="433" spans="1:19" x14ac:dyDescent="0.2">
      <c r="A433" s="37"/>
      <c r="B433" s="8"/>
      <c r="E433" s="38"/>
      <c r="H433" s="38"/>
      <c r="K433" s="38"/>
      <c r="N433" s="38"/>
      <c r="Q433" s="38"/>
      <c r="S433" s="14"/>
    </row>
    <row r="434" spans="1:19" x14ac:dyDescent="0.2">
      <c r="A434" s="37"/>
      <c r="B434" s="8"/>
      <c r="E434" s="38"/>
      <c r="H434" s="38"/>
      <c r="K434" s="38"/>
      <c r="N434" s="38"/>
      <c r="Q434" s="38"/>
      <c r="S434" s="14"/>
    </row>
    <row r="435" spans="1:19" x14ac:dyDescent="0.2">
      <c r="A435" s="37"/>
      <c r="B435" s="8"/>
      <c r="E435" s="38"/>
      <c r="H435" s="38"/>
      <c r="K435" s="38"/>
      <c r="N435" s="38"/>
      <c r="Q435" s="38"/>
      <c r="S435" s="14"/>
    </row>
    <row r="436" spans="1:19" x14ac:dyDescent="0.2">
      <c r="A436" s="37"/>
      <c r="B436" s="8"/>
      <c r="E436" s="38"/>
      <c r="H436" s="38"/>
      <c r="K436" s="38"/>
      <c r="N436" s="38"/>
      <c r="Q436" s="38"/>
      <c r="S436" s="14"/>
    </row>
    <row r="437" spans="1:19" x14ac:dyDescent="0.2">
      <c r="A437" s="37"/>
      <c r="B437" s="8"/>
      <c r="E437" s="38"/>
      <c r="H437" s="38"/>
      <c r="K437" s="38"/>
      <c r="N437" s="38"/>
      <c r="Q437" s="38"/>
      <c r="S437" s="14"/>
    </row>
    <row r="438" spans="1:19" x14ac:dyDescent="0.2">
      <c r="A438" s="37"/>
      <c r="B438" s="8"/>
      <c r="E438" s="38"/>
      <c r="H438" s="38"/>
      <c r="K438" s="38"/>
      <c r="N438" s="38"/>
      <c r="Q438" s="38"/>
      <c r="S438" s="14"/>
    </row>
    <row r="439" spans="1:19" x14ac:dyDescent="0.2">
      <c r="A439" s="37"/>
      <c r="B439" s="8"/>
      <c r="E439" s="38"/>
      <c r="H439" s="38"/>
      <c r="K439" s="38"/>
      <c r="N439" s="38"/>
      <c r="Q439" s="38"/>
      <c r="S439" s="14"/>
    </row>
    <row r="440" spans="1:19" x14ac:dyDescent="0.2">
      <c r="A440" s="37"/>
      <c r="B440" s="8"/>
      <c r="E440" s="38"/>
      <c r="H440" s="38"/>
      <c r="K440" s="38"/>
      <c r="N440" s="38"/>
      <c r="Q440" s="38"/>
      <c r="S440" s="14"/>
    </row>
    <row r="441" spans="1:19" x14ac:dyDescent="0.2">
      <c r="A441" s="37"/>
      <c r="B441" s="8"/>
      <c r="E441" s="38"/>
      <c r="H441" s="38"/>
      <c r="K441" s="38"/>
      <c r="N441" s="38"/>
      <c r="Q441" s="38"/>
      <c r="S441" s="14"/>
    </row>
    <row r="442" spans="1:19" x14ac:dyDescent="0.2">
      <c r="A442" s="37"/>
      <c r="B442" s="8"/>
      <c r="E442" s="38"/>
      <c r="H442" s="38"/>
      <c r="K442" s="38"/>
      <c r="N442" s="38"/>
      <c r="Q442" s="38"/>
      <c r="S442" s="14"/>
    </row>
    <row r="443" spans="1:19" x14ac:dyDescent="0.2">
      <c r="A443" s="37"/>
      <c r="B443" s="8"/>
      <c r="E443" s="38"/>
      <c r="H443" s="38"/>
      <c r="K443" s="38"/>
      <c r="N443" s="38"/>
      <c r="Q443" s="38"/>
      <c r="S443" s="14"/>
    </row>
    <row r="444" spans="1:19" x14ac:dyDescent="0.2">
      <c r="A444" s="37"/>
      <c r="B444" s="8"/>
      <c r="E444" s="38"/>
      <c r="H444" s="38"/>
      <c r="K444" s="38"/>
      <c r="N444" s="38"/>
      <c r="Q444" s="38"/>
      <c r="S444" s="14"/>
    </row>
    <row r="445" spans="1:19" x14ac:dyDescent="0.2">
      <c r="A445" s="37"/>
      <c r="B445" s="8"/>
      <c r="E445" s="38"/>
      <c r="H445" s="38"/>
      <c r="K445" s="38"/>
      <c r="N445" s="38"/>
      <c r="Q445" s="38"/>
      <c r="S445" s="14"/>
    </row>
    <row r="446" spans="1:19" x14ac:dyDescent="0.2">
      <c r="A446" s="37"/>
      <c r="B446" s="8"/>
      <c r="E446" s="38"/>
      <c r="H446" s="38"/>
      <c r="K446" s="38"/>
      <c r="N446" s="38"/>
      <c r="Q446" s="38"/>
      <c r="S446" s="14"/>
    </row>
    <row r="447" spans="1:19" x14ac:dyDescent="0.2">
      <c r="A447" s="37"/>
      <c r="B447" s="8"/>
      <c r="E447" s="38"/>
      <c r="H447" s="38"/>
      <c r="K447" s="38"/>
      <c r="N447" s="38"/>
      <c r="Q447" s="38"/>
      <c r="S447" s="14"/>
    </row>
    <row r="448" spans="1:19" x14ac:dyDescent="0.2">
      <c r="A448" s="37"/>
      <c r="B448" s="8"/>
      <c r="E448" s="38"/>
      <c r="H448" s="38"/>
      <c r="K448" s="38"/>
      <c r="N448" s="38"/>
      <c r="Q448" s="38"/>
      <c r="S448" s="14"/>
    </row>
    <row r="449" spans="1:19" x14ac:dyDescent="0.2">
      <c r="A449" s="37"/>
      <c r="B449" s="8"/>
      <c r="E449" s="38"/>
      <c r="H449" s="38"/>
      <c r="K449" s="38"/>
      <c r="N449" s="38"/>
      <c r="Q449" s="38"/>
      <c r="S449" s="14"/>
    </row>
    <row r="450" spans="1:19" x14ac:dyDescent="0.2">
      <c r="A450" s="37"/>
      <c r="B450" s="8"/>
      <c r="E450" s="38"/>
      <c r="H450" s="38"/>
      <c r="K450" s="38"/>
      <c r="N450" s="38"/>
      <c r="Q450" s="38"/>
      <c r="S450" s="14"/>
    </row>
    <row r="451" spans="1:19" x14ac:dyDescent="0.2">
      <c r="A451" s="37"/>
      <c r="B451" s="8"/>
      <c r="E451" s="38"/>
      <c r="H451" s="38"/>
      <c r="K451" s="38"/>
      <c r="N451" s="38"/>
      <c r="Q451" s="38"/>
      <c r="S451" s="14"/>
    </row>
    <row r="452" spans="1:19" x14ac:dyDescent="0.2">
      <c r="A452" s="37"/>
      <c r="B452" s="8"/>
      <c r="E452" s="38"/>
      <c r="H452" s="38"/>
      <c r="K452" s="38"/>
      <c r="N452" s="38"/>
      <c r="Q452" s="38"/>
      <c r="S452" s="14"/>
    </row>
    <row r="453" spans="1:19" x14ac:dyDescent="0.2">
      <c r="A453" s="37"/>
      <c r="B453" s="8"/>
      <c r="E453" s="38"/>
      <c r="H453" s="38"/>
      <c r="K453" s="38"/>
      <c r="N453" s="38"/>
      <c r="Q453" s="38"/>
      <c r="S453" s="14"/>
    </row>
    <row r="454" spans="1:19" x14ac:dyDescent="0.2">
      <c r="A454" s="37"/>
      <c r="B454" s="8"/>
      <c r="E454" s="38"/>
      <c r="H454" s="38"/>
      <c r="K454" s="38"/>
      <c r="N454" s="38"/>
      <c r="Q454" s="38"/>
      <c r="S454" s="14"/>
    </row>
    <row r="455" spans="1:19" x14ac:dyDescent="0.2">
      <c r="A455" s="37"/>
      <c r="B455" s="8"/>
      <c r="E455" s="38"/>
      <c r="H455" s="38"/>
      <c r="K455" s="38"/>
      <c r="N455" s="38"/>
      <c r="Q455" s="38"/>
      <c r="S455" s="14"/>
    </row>
    <row r="456" spans="1:19" x14ac:dyDescent="0.2">
      <c r="A456" s="37"/>
      <c r="B456" s="8"/>
      <c r="E456" s="38"/>
      <c r="H456" s="38"/>
      <c r="K456" s="38"/>
      <c r="N456" s="38"/>
      <c r="Q456" s="38"/>
      <c r="S456" s="14"/>
    </row>
    <row r="457" spans="1:19" x14ac:dyDescent="0.2">
      <c r="A457" s="37"/>
      <c r="B457" s="8"/>
      <c r="E457" s="38"/>
      <c r="H457" s="38"/>
      <c r="K457" s="38"/>
      <c r="N457" s="38"/>
      <c r="Q457" s="38"/>
      <c r="S457" s="14"/>
    </row>
    <row r="458" spans="1:19" x14ac:dyDescent="0.2">
      <c r="A458" s="37"/>
      <c r="B458" s="8"/>
      <c r="E458" s="38"/>
      <c r="H458" s="38"/>
      <c r="K458" s="38"/>
      <c r="N458" s="38"/>
      <c r="Q458" s="38"/>
      <c r="S458" s="14"/>
    </row>
    <row r="459" spans="1:19" x14ac:dyDescent="0.2">
      <c r="A459" s="37"/>
      <c r="B459" s="8"/>
      <c r="E459" s="38"/>
      <c r="H459" s="38"/>
      <c r="K459" s="38"/>
      <c r="N459" s="38"/>
      <c r="Q459" s="38"/>
      <c r="S459" s="14"/>
    </row>
    <row r="460" spans="1:19" x14ac:dyDescent="0.2">
      <c r="A460" s="37"/>
      <c r="B460" s="8"/>
      <c r="E460" s="38"/>
      <c r="H460" s="38"/>
      <c r="K460" s="38"/>
      <c r="N460" s="38"/>
      <c r="Q460" s="38"/>
      <c r="S460" s="14"/>
    </row>
    <row r="461" spans="1:19" x14ac:dyDescent="0.2">
      <c r="A461" s="37"/>
      <c r="B461" s="8"/>
      <c r="E461" s="38"/>
      <c r="H461" s="38"/>
      <c r="K461" s="38"/>
      <c r="N461" s="38"/>
      <c r="Q461" s="38"/>
      <c r="S461" s="14"/>
    </row>
    <row r="462" spans="1:19" x14ac:dyDescent="0.2">
      <c r="A462" s="37"/>
      <c r="B462" s="8"/>
      <c r="E462" s="38"/>
      <c r="H462" s="38"/>
      <c r="K462" s="38"/>
      <c r="N462" s="38"/>
      <c r="Q462" s="38"/>
      <c r="S462" s="14"/>
    </row>
    <row r="463" spans="1:19" x14ac:dyDescent="0.2">
      <c r="A463" s="37"/>
      <c r="B463" s="8"/>
      <c r="E463" s="38"/>
      <c r="H463" s="38"/>
      <c r="K463" s="38"/>
      <c r="N463" s="38"/>
      <c r="Q463" s="38"/>
      <c r="S463" s="14"/>
    </row>
    <row r="464" spans="1:19" x14ac:dyDescent="0.2">
      <c r="A464" s="37"/>
      <c r="B464" s="8"/>
      <c r="E464" s="38"/>
      <c r="H464" s="38"/>
      <c r="K464" s="38"/>
      <c r="N464" s="38"/>
      <c r="Q464" s="38"/>
      <c r="S464" s="14"/>
    </row>
    <row r="465" spans="1:19" x14ac:dyDescent="0.2">
      <c r="A465" s="37"/>
      <c r="B465" s="8"/>
      <c r="E465" s="38"/>
      <c r="H465" s="38"/>
      <c r="K465" s="38"/>
      <c r="N465" s="38"/>
      <c r="Q465" s="38"/>
      <c r="S465" s="14"/>
    </row>
    <row r="466" spans="1:19" x14ac:dyDescent="0.2">
      <c r="A466" s="37"/>
      <c r="B466" s="8"/>
      <c r="E466" s="38"/>
      <c r="H466" s="38"/>
      <c r="K466" s="38"/>
      <c r="N466" s="38"/>
      <c r="Q466" s="38"/>
      <c r="S466" s="14"/>
    </row>
    <row r="467" spans="1:19" x14ac:dyDescent="0.2">
      <c r="A467" s="37"/>
      <c r="B467" s="8"/>
      <c r="E467" s="38"/>
      <c r="H467" s="38"/>
      <c r="K467" s="38"/>
      <c r="N467" s="38"/>
      <c r="Q467" s="38"/>
      <c r="S467" s="14"/>
    </row>
    <row r="468" spans="1:19" x14ac:dyDescent="0.2">
      <c r="A468" s="37"/>
      <c r="B468" s="8"/>
      <c r="E468" s="38"/>
      <c r="H468" s="38"/>
      <c r="K468" s="38"/>
      <c r="N468" s="38"/>
      <c r="Q468" s="38"/>
      <c r="S468" s="14"/>
    </row>
    <row r="469" spans="1:19" x14ac:dyDescent="0.2">
      <c r="A469" s="37"/>
      <c r="B469" s="8"/>
      <c r="E469" s="38"/>
      <c r="H469" s="38"/>
      <c r="K469" s="38"/>
      <c r="N469" s="38"/>
      <c r="Q469" s="38"/>
      <c r="S469" s="14"/>
    </row>
    <row r="470" spans="1:19" x14ac:dyDescent="0.2">
      <c r="A470" s="37"/>
      <c r="B470" s="8"/>
      <c r="E470" s="38"/>
      <c r="H470" s="38"/>
      <c r="K470" s="38"/>
      <c r="N470" s="38"/>
      <c r="Q470" s="38"/>
      <c r="S470" s="14"/>
    </row>
    <row r="471" spans="1:19" x14ac:dyDescent="0.2">
      <c r="A471" s="37"/>
      <c r="B471" s="8"/>
      <c r="E471" s="38"/>
      <c r="H471" s="38"/>
      <c r="K471" s="38"/>
      <c r="N471" s="38"/>
      <c r="Q471" s="38"/>
      <c r="S471" s="14"/>
    </row>
    <row r="472" spans="1:19" x14ac:dyDescent="0.2">
      <c r="A472" s="37"/>
      <c r="B472" s="8"/>
      <c r="E472" s="38"/>
      <c r="H472" s="38"/>
      <c r="K472" s="38"/>
      <c r="N472" s="38"/>
      <c r="Q472" s="38"/>
      <c r="S472" s="14"/>
    </row>
    <row r="473" spans="1:19" x14ac:dyDescent="0.2">
      <c r="A473" s="37"/>
      <c r="B473" s="8"/>
      <c r="E473" s="38"/>
      <c r="H473" s="38"/>
      <c r="K473" s="38"/>
      <c r="N473" s="38"/>
      <c r="Q473" s="38"/>
      <c r="S473" s="14"/>
    </row>
    <row r="474" spans="1:19" x14ac:dyDescent="0.2">
      <c r="A474" s="37"/>
      <c r="B474" s="8"/>
      <c r="E474" s="38"/>
      <c r="H474" s="38"/>
      <c r="K474" s="38"/>
      <c r="N474" s="38"/>
      <c r="Q474" s="38"/>
      <c r="S474" s="14"/>
    </row>
    <row r="475" spans="1:19" x14ac:dyDescent="0.2">
      <c r="A475" s="37"/>
      <c r="B475" s="8"/>
      <c r="E475" s="38"/>
      <c r="H475" s="38"/>
      <c r="K475" s="38"/>
      <c r="N475" s="38"/>
      <c r="Q475" s="38"/>
      <c r="S475" s="14"/>
    </row>
    <row r="476" spans="1:19" x14ac:dyDescent="0.2">
      <c r="A476" s="37"/>
      <c r="B476" s="8"/>
      <c r="E476" s="38"/>
      <c r="H476" s="38"/>
      <c r="K476" s="38"/>
      <c r="N476" s="38"/>
      <c r="Q476" s="38"/>
      <c r="S476" s="14"/>
    </row>
    <row r="477" spans="1:19" x14ac:dyDescent="0.2">
      <c r="A477" s="37"/>
      <c r="B477" s="8"/>
      <c r="E477" s="38"/>
      <c r="H477" s="38"/>
      <c r="K477" s="38"/>
      <c r="N477" s="38"/>
      <c r="Q477" s="38"/>
      <c r="S477" s="14"/>
    </row>
    <row r="478" spans="1:19" x14ac:dyDescent="0.2">
      <c r="A478" s="37"/>
      <c r="B478" s="8"/>
      <c r="E478" s="38"/>
      <c r="H478" s="38"/>
      <c r="K478" s="38"/>
      <c r="N478" s="38"/>
      <c r="Q478" s="38"/>
      <c r="S478" s="14"/>
    </row>
    <row r="479" spans="1:19" x14ac:dyDescent="0.2">
      <c r="A479" s="37"/>
      <c r="B479" s="8"/>
      <c r="E479" s="38"/>
      <c r="H479" s="38"/>
      <c r="K479" s="38"/>
      <c r="N479" s="38"/>
      <c r="Q479" s="38"/>
      <c r="S479" s="14"/>
    </row>
    <row r="480" spans="1:19" x14ac:dyDescent="0.2">
      <c r="A480" s="37"/>
      <c r="B480" s="8"/>
      <c r="E480" s="38"/>
      <c r="H480" s="38"/>
      <c r="K480" s="38"/>
      <c r="N480" s="38"/>
      <c r="Q480" s="38"/>
      <c r="S480" s="14"/>
    </row>
    <row r="481" spans="1:19" x14ac:dyDescent="0.2">
      <c r="A481" s="37"/>
      <c r="B481" s="8"/>
      <c r="E481" s="38"/>
      <c r="H481" s="38"/>
      <c r="K481" s="38"/>
      <c r="N481" s="38"/>
      <c r="Q481" s="38"/>
      <c r="S481" s="14"/>
    </row>
    <row r="482" spans="1:19" x14ac:dyDescent="0.2">
      <c r="A482" s="37"/>
      <c r="B482" s="8"/>
      <c r="E482" s="38"/>
      <c r="H482" s="38"/>
      <c r="K482" s="38"/>
      <c r="N482" s="38"/>
      <c r="Q482" s="38"/>
      <c r="S482" s="14"/>
    </row>
    <row r="483" spans="1:19" x14ac:dyDescent="0.2">
      <c r="A483" s="37"/>
      <c r="B483" s="8"/>
      <c r="E483" s="38"/>
      <c r="H483" s="38"/>
      <c r="K483" s="38"/>
      <c r="N483" s="38"/>
      <c r="Q483" s="38"/>
      <c r="S483" s="14"/>
    </row>
    <row r="484" spans="1:19" x14ac:dyDescent="0.2">
      <c r="A484" s="37"/>
      <c r="B484" s="8"/>
      <c r="E484" s="38"/>
      <c r="H484" s="38"/>
      <c r="K484" s="38"/>
      <c r="N484" s="38"/>
      <c r="Q484" s="38"/>
      <c r="S484" s="14"/>
    </row>
    <row r="485" spans="1:19" x14ac:dyDescent="0.2">
      <c r="A485" s="37"/>
      <c r="B485" s="8"/>
      <c r="E485" s="38"/>
      <c r="H485" s="38"/>
      <c r="K485" s="38"/>
      <c r="N485" s="38"/>
      <c r="Q485" s="38"/>
      <c r="S485" s="14"/>
    </row>
    <row r="486" spans="1:19" x14ac:dyDescent="0.2">
      <c r="A486" s="37"/>
      <c r="B486" s="8"/>
      <c r="E486" s="38"/>
      <c r="H486" s="38"/>
      <c r="K486" s="38"/>
      <c r="N486" s="38"/>
      <c r="Q486" s="38"/>
      <c r="S486" s="14"/>
    </row>
    <row r="487" spans="1:19" x14ac:dyDescent="0.2">
      <c r="A487" s="37"/>
      <c r="B487" s="8"/>
      <c r="E487" s="38"/>
      <c r="H487" s="38"/>
      <c r="K487" s="38"/>
      <c r="N487" s="38"/>
      <c r="Q487" s="38"/>
      <c r="S487" s="14"/>
    </row>
    <row r="488" spans="1:19" x14ac:dyDescent="0.2">
      <c r="A488" s="37"/>
      <c r="B488" s="8"/>
      <c r="E488" s="38"/>
      <c r="H488" s="38"/>
      <c r="K488" s="38"/>
      <c r="N488" s="38"/>
      <c r="Q488" s="38"/>
      <c r="S488" s="14"/>
    </row>
    <row r="489" spans="1:19" x14ac:dyDescent="0.2">
      <c r="A489" s="37"/>
      <c r="B489" s="8"/>
      <c r="E489" s="38"/>
      <c r="H489" s="38"/>
      <c r="K489" s="38"/>
      <c r="N489" s="38"/>
      <c r="Q489" s="38"/>
      <c r="S489" s="14"/>
    </row>
    <row r="490" spans="1:19" x14ac:dyDescent="0.2">
      <c r="A490" s="37"/>
      <c r="B490" s="8"/>
      <c r="E490" s="38"/>
      <c r="H490" s="38"/>
      <c r="K490" s="38"/>
      <c r="N490" s="38"/>
      <c r="Q490" s="38"/>
      <c r="S490" s="14"/>
    </row>
    <row r="491" spans="1:19" x14ac:dyDescent="0.2">
      <c r="A491" s="37"/>
      <c r="B491" s="8"/>
      <c r="E491" s="38"/>
      <c r="H491" s="38"/>
      <c r="K491" s="38"/>
      <c r="N491" s="38"/>
      <c r="Q491" s="38"/>
      <c r="S491" s="14"/>
    </row>
    <row r="492" spans="1:19" x14ac:dyDescent="0.2">
      <c r="A492" s="37"/>
      <c r="B492" s="8"/>
      <c r="E492" s="38"/>
      <c r="H492" s="38"/>
      <c r="K492" s="38"/>
      <c r="N492" s="38"/>
      <c r="Q492" s="38"/>
      <c r="S492" s="14"/>
    </row>
    <row r="493" spans="1:19" x14ac:dyDescent="0.2">
      <c r="A493" s="37"/>
      <c r="B493" s="8"/>
      <c r="E493" s="38"/>
      <c r="H493" s="38"/>
      <c r="K493" s="38"/>
      <c r="N493" s="38"/>
      <c r="Q493" s="38"/>
      <c r="S493" s="14"/>
    </row>
    <row r="494" spans="1:19" x14ac:dyDescent="0.2">
      <c r="A494" s="37"/>
      <c r="B494" s="8"/>
      <c r="E494" s="38"/>
      <c r="H494" s="38"/>
      <c r="K494" s="38"/>
      <c r="N494" s="38"/>
      <c r="Q494" s="38"/>
      <c r="S494" s="14"/>
    </row>
    <row r="495" spans="1:19" x14ac:dyDescent="0.2">
      <c r="A495" s="37"/>
      <c r="B495" s="8"/>
      <c r="E495" s="38"/>
      <c r="H495" s="38"/>
      <c r="K495" s="38"/>
      <c r="N495" s="38"/>
      <c r="Q495" s="38"/>
      <c r="S495" s="14"/>
    </row>
    <row r="496" spans="1:19" x14ac:dyDescent="0.2">
      <c r="A496" s="37"/>
      <c r="B496" s="8"/>
      <c r="E496" s="38"/>
      <c r="H496" s="38"/>
      <c r="K496" s="38"/>
      <c r="N496" s="38"/>
      <c r="Q496" s="38"/>
      <c r="S496" s="14"/>
    </row>
    <row r="497" spans="1:19" x14ac:dyDescent="0.2">
      <c r="A497" s="37"/>
      <c r="B497" s="8"/>
      <c r="E497" s="38"/>
      <c r="H497" s="38"/>
      <c r="K497" s="38"/>
      <c r="N497" s="38"/>
      <c r="Q497" s="38"/>
      <c r="S497" s="14"/>
    </row>
    <row r="498" spans="1:19" x14ac:dyDescent="0.2">
      <c r="A498" s="37"/>
      <c r="B498" s="8"/>
      <c r="E498" s="38"/>
      <c r="H498" s="38"/>
      <c r="K498" s="38"/>
      <c r="N498" s="38"/>
      <c r="Q498" s="38"/>
      <c r="S498" s="14"/>
    </row>
    <row r="499" spans="1:19" x14ac:dyDescent="0.2">
      <c r="A499" s="37"/>
      <c r="B499" s="8"/>
      <c r="E499" s="38"/>
      <c r="H499" s="38"/>
      <c r="K499" s="38"/>
      <c r="N499" s="38"/>
      <c r="Q499" s="38"/>
      <c r="S499" s="14"/>
    </row>
    <row r="500" spans="1:19" x14ac:dyDescent="0.2">
      <c r="A500" s="37"/>
      <c r="B500" s="8"/>
      <c r="E500" s="38"/>
      <c r="H500" s="38"/>
      <c r="K500" s="38"/>
      <c r="N500" s="38"/>
      <c r="Q500" s="38"/>
      <c r="S500" s="14"/>
    </row>
    <row r="501" spans="1:19" x14ac:dyDescent="0.2">
      <c r="A501" s="37"/>
      <c r="B501" s="8"/>
      <c r="E501" s="38"/>
      <c r="H501" s="38"/>
      <c r="K501" s="38"/>
      <c r="N501" s="38"/>
      <c r="Q501" s="38"/>
      <c r="S501" s="14"/>
    </row>
    <row r="502" spans="1:19" x14ac:dyDescent="0.2">
      <c r="A502" s="37"/>
      <c r="B502" s="8"/>
      <c r="E502" s="38"/>
      <c r="H502" s="38"/>
      <c r="K502" s="38"/>
      <c r="N502" s="38"/>
      <c r="Q502" s="38"/>
      <c r="S502" s="14"/>
    </row>
    <row r="503" spans="1:19" x14ac:dyDescent="0.2">
      <c r="A503" s="37"/>
      <c r="B503" s="8"/>
      <c r="E503" s="38"/>
      <c r="H503" s="38"/>
      <c r="K503" s="38"/>
      <c r="N503" s="38"/>
      <c r="Q503" s="38"/>
      <c r="S503" s="14"/>
    </row>
    <row r="504" spans="1:19" x14ac:dyDescent="0.2">
      <c r="A504" s="37"/>
      <c r="B504" s="8"/>
      <c r="E504" s="38"/>
      <c r="H504" s="38"/>
      <c r="K504" s="38"/>
      <c r="N504" s="38"/>
      <c r="Q504" s="38"/>
      <c r="S504" s="14"/>
    </row>
    <row r="505" spans="1:19" x14ac:dyDescent="0.2">
      <c r="A505" s="37"/>
      <c r="B505" s="8"/>
      <c r="E505" s="38"/>
      <c r="H505" s="38"/>
      <c r="K505" s="38"/>
      <c r="N505" s="38"/>
      <c r="Q505" s="38"/>
      <c r="S505" s="14"/>
    </row>
    <row r="506" spans="1:19" x14ac:dyDescent="0.2">
      <c r="A506" s="37"/>
      <c r="B506" s="8"/>
      <c r="E506" s="38"/>
      <c r="H506" s="38"/>
      <c r="K506" s="38"/>
      <c r="N506" s="38"/>
      <c r="Q506" s="38"/>
      <c r="S506" s="14"/>
    </row>
    <row r="507" spans="1:19" x14ac:dyDescent="0.2">
      <c r="A507" s="37"/>
      <c r="B507" s="8"/>
      <c r="E507" s="38"/>
      <c r="H507" s="38"/>
      <c r="K507" s="38"/>
      <c r="N507" s="38"/>
      <c r="Q507" s="38"/>
      <c r="S507" s="14"/>
    </row>
    <row r="508" spans="1:19" x14ac:dyDescent="0.2">
      <c r="A508" s="37"/>
      <c r="B508" s="8"/>
      <c r="E508" s="38"/>
      <c r="H508" s="38"/>
      <c r="K508" s="38"/>
      <c r="N508" s="38"/>
      <c r="Q508" s="38"/>
      <c r="S508" s="14"/>
    </row>
    <row r="509" spans="1:19" x14ac:dyDescent="0.2">
      <c r="A509" s="37"/>
      <c r="B509" s="8"/>
      <c r="E509" s="38"/>
      <c r="H509" s="38"/>
      <c r="K509" s="38"/>
      <c r="N509" s="38"/>
      <c r="Q509" s="38"/>
      <c r="S509" s="14"/>
    </row>
    <row r="510" spans="1:19" x14ac:dyDescent="0.2">
      <c r="A510" s="37"/>
      <c r="B510" s="8"/>
      <c r="E510" s="38"/>
      <c r="H510" s="38"/>
      <c r="K510" s="38"/>
      <c r="N510" s="38"/>
      <c r="Q510" s="38"/>
      <c r="S510" s="14"/>
    </row>
    <row r="511" spans="1:19" x14ac:dyDescent="0.2">
      <c r="A511" s="37"/>
      <c r="B511" s="8"/>
      <c r="E511" s="38"/>
      <c r="H511" s="38"/>
      <c r="K511" s="38"/>
      <c r="N511" s="38"/>
      <c r="Q511" s="38"/>
      <c r="S511" s="14"/>
    </row>
    <row r="512" spans="1:19" x14ac:dyDescent="0.2">
      <c r="A512" s="37"/>
      <c r="B512" s="8"/>
      <c r="E512" s="38"/>
      <c r="H512" s="38"/>
      <c r="K512" s="38"/>
      <c r="N512" s="38"/>
      <c r="Q512" s="38"/>
      <c r="S512" s="14"/>
    </row>
    <row r="513" spans="1:19" x14ac:dyDescent="0.2">
      <c r="A513" s="37"/>
      <c r="B513" s="8"/>
      <c r="E513" s="38"/>
      <c r="H513" s="38"/>
      <c r="K513" s="38"/>
      <c r="N513" s="38"/>
      <c r="Q513" s="38"/>
      <c r="S513" s="14"/>
    </row>
    <row r="514" spans="1:19" x14ac:dyDescent="0.2">
      <c r="A514" s="37"/>
      <c r="B514" s="8"/>
      <c r="E514" s="38"/>
      <c r="H514" s="38"/>
      <c r="K514" s="38"/>
      <c r="N514" s="38"/>
      <c r="Q514" s="38"/>
      <c r="S514" s="14"/>
    </row>
    <row r="515" spans="1:19" x14ac:dyDescent="0.2">
      <c r="A515" s="37"/>
      <c r="B515" s="8"/>
      <c r="E515" s="38"/>
      <c r="H515" s="38"/>
      <c r="K515" s="38"/>
      <c r="N515" s="38"/>
      <c r="Q515" s="38"/>
      <c r="S515" s="14"/>
    </row>
    <row r="516" spans="1:19" x14ac:dyDescent="0.2">
      <c r="A516" s="37"/>
      <c r="B516" s="8"/>
      <c r="E516" s="38"/>
      <c r="H516" s="38"/>
      <c r="K516" s="38"/>
      <c r="N516" s="38"/>
      <c r="Q516" s="38"/>
      <c r="S516" s="14"/>
    </row>
    <row r="517" spans="1:19" x14ac:dyDescent="0.2">
      <c r="A517" s="37"/>
      <c r="B517" s="8"/>
      <c r="E517" s="38"/>
      <c r="H517" s="38"/>
      <c r="K517" s="38"/>
      <c r="N517" s="38"/>
      <c r="Q517" s="38"/>
      <c r="S517" s="14"/>
    </row>
    <row r="518" spans="1:19" x14ac:dyDescent="0.2">
      <c r="A518" s="37"/>
      <c r="B518" s="8"/>
      <c r="E518" s="38"/>
      <c r="H518" s="38"/>
      <c r="K518" s="38"/>
      <c r="N518" s="38"/>
      <c r="Q518" s="38"/>
      <c r="S518" s="14"/>
    </row>
    <row r="519" spans="1:19" x14ac:dyDescent="0.2">
      <c r="A519" s="37"/>
      <c r="B519" s="8"/>
      <c r="E519" s="38"/>
      <c r="H519" s="38"/>
      <c r="K519" s="38"/>
      <c r="N519" s="38"/>
      <c r="Q519" s="38"/>
      <c r="S519" s="14"/>
    </row>
    <row r="520" spans="1:19" x14ac:dyDescent="0.2">
      <c r="A520" s="37"/>
      <c r="B520" s="8"/>
      <c r="E520" s="38"/>
      <c r="H520" s="38"/>
      <c r="K520" s="38"/>
      <c r="N520" s="38"/>
      <c r="Q520" s="38"/>
      <c r="S520" s="14"/>
    </row>
    <row r="521" spans="1:19" x14ac:dyDescent="0.2">
      <c r="A521" s="37"/>
      <c r="B521" s="8"/>
      <c r="E521" s="38"/>
      <c r="H521" s="38"/>
      <c r="K521" s="38"/>
      <c r="N521" s="38"/>
      <c r="Q521" s="38"/>
      <c r="S521" s="14"/>
    </row>
    <row r="522" spans="1:19" x14ac:dyDescent="0.2">
      <c r="A522" s="37"/>
      <c r="B522" s="8"/>
      <c r="E522" s="38"/>
      <c r="H522" s="38"/>
      <c r="K522" s="38"/>
      <c r="N522" s="38"/>
      <c r="Q522" s="38"/>
      <c r="S522" s="14"/>
    </row>
    <row r="523" spans="1:19" x14ac:dyDescent="0.2">
      <c r="A523" s="37"/>
      <c r="B523" s="8"/>
      <c r="E523" s="38"/>
      <c r="H523" s="38"/>
      <c r="K523" s="38"/>
      <c r="N523" s="38"/>
      <c r="Q523" s="38"/>
      <c r="S523" s="14"/>
    </row>
    <row r="524" spans="1:19" x14ac:dyDescent="0.2">
      <c r="A524" s="37"/>
      <c r="B524" s="8"/>
      <c r="E524" s="38"/>
      <c r="H524" s="38"/>
      <c r="K524" s="38"/>
      <c r="N524" s="38"/>
      <c r="Q524" s="38"/>
      <c r="S524" s="14"/>
    </row>
    <row r="525" spans="1:19" x14ac:dyDescent="0.2">
      <c r="A525" s="37"/>
      <c r="B525" s="8"/>
      <c r="E525" s="38"/>
      <c r="H525" s="38"/>
      <c r="K525" s="38"/>
      <c r="N525" s="38"/>
      <c r="Q525" s="38"/>
      <c r="S525" s="14"/>
    </row>
    <row r="526" spans="1:19" x14ac:dyDescent="0.2">
      <c r="A526" s="37"/>
      <c r="B526" s="8"/>
      <c r="E526" s="38"/>
      <c r="H526" s="38"/>
      <c r="K526" s="38"/>
      <c r="N526" s="38"/>
      <c r="Q526" s="38"/>
      <c r="S526" s="14"/>
    </row>
    <row r="527" spans="1:19" x14ac:dyDescent="0.2">
      <c r="A527" s="37"/>
      <c r="B527" s="8"/>
      <c r="E527" s="38"/>
      <c r="H527" s="38"/>
      <c r="K527" s="38"/>
      <c r="N527" s="38"/>
      <c r="Q527" s="38"/>
      <c r="S527" s="14"/>
    </row>
    <row r="528" spans="1:19" x14ac:dyDescent="0.2">
      <c r="A528" s="37"/>
      <c r="B528" s="8"/>
      <c r="E528" s="38"/>
      <c r="H528" s="38"/>
      <c r="K528" s="38"/>
      <c r="N528" s="38"/>
      <c r="Q528" s="38"/>
      <c r="S528" s="14"/>
    </row>
    <row r="529" spans="1:19" x14ac:dyDescent="0.2">
      <c r="A529" s="37"/>
      <c r="B529" s="8"/>
      <c r="E529" s="38"/>
      <c r="H529" s="38"/>
      <c r="K529" s="38"/>
      <c r="N529" s="38"/>
      <c r="Q529" s="38"/>
      <c r="S529" s="14"/>
    </row>
    <row r="530" spans="1:19" x14ac:dyDescent="0.2">
      <c r="A530" s="37"/>
      <c r="B530" s="8"/>
      <c r="E530" s="38"/>
      <c r="H530" s="38"/>
      <c r="K530" s="38"/>
      <c r="N530" s="38"/>
      <c r="Q530" s="38"/>
      <c r="S530" s="14"/>
    </row>
    <row r="531" spans="1:19" x14ac:dyDescent="0.2">
      <c r="A531" s="37"/>
      <c r="B531" s="8"/>
      <c r="E531" s="38"/>
      <c r="H531" s="38"/>
      <c r="K531" s="38"/>
      <c r="N531" s="38"/>
      <c r="Q531" s="38"/>
      <c r="S531" s="14"/>
    </row>
    <row r="532" spans="1:19" x14ac:dyDescent="0.2">
      <c r="A532" s="37"/>
      <c r="B532" s="8"/>
      <c r="E532" s="38"/>
      <c r="H532" s="38"/>
      <c r="K532" s="38"/>
      <c r="N532" s="38"/>
      <c r="Q532" s="38"/>
      <c r="S532" s="14"/>
    </row>
    <row r="533" spans="1:19" x14ac:dyDescent="0.2">
      <c r="A533" s="37"/>
      <c r="B533" s="8"/>
      <c r="E533" s="38"/>
      <c r="H533" s="38"/>
      <c r="K533" s="38"/>
      <c r="N533" s="38"/>
      <c r="Q533" s="38"/>
      <c r="S533" s="14"/>
    </row>
    <row r="534" spans="1:19" x14ac:dyDescent="0.2">
      <c r="A534" s="37"/>
      <c r="B534" s="8"/>
      <c r="E534" s="38"/>
      <c r="H534" s="38"/>
      <c r="K534" s="38"/>
      <c r="N534" s="38"/>
      <c r="Q534" s="38"/>
      <c r="S534" s="14"/>
    </row>
    <row r="535" spans="1:19" x14ac:dyDescent="0.2">
      <c r="A535" s="37"/>
      <c r="B535" s="8"/>
      <c r="E535" s="38"/>
      <c r="H535" s="38"/>
      <c r="K535" s="38"/>
      <c r="N535" s="38"/>
      <c r="Q535" s="38"/>
      <c r="S535" s="14"/>
    </row>
    <row r="536" spans="1:19" x14ac:dyDescent="0.2">
      <c r="A536" s="37"/>
      <c r="B536" s="8"/>
      <c r="E536" s="38"/>
      <c r="H536" s="38"/>
      <c r="K536" s="38"/>
      <c r="N536" s="38"/>
      <c r="Q536" s="38"/>
      <c r="S536" s="14"/>
    </row>
    <row r="537" spans="1:19" x14ac:dyDescent="0.2">
      <c r="A537" s="37"/>
      <c r="B537" s="8"/>
      <c r="E537" s="38"/>
      <c r="H537" s="38"/>
      <c r="K537" s="38"/>
      <c r="N537" s="38"/>
      <c r="Q537" s="38"/>
      <c r="S537" s="14"/>
    </row>
    <row r="538" spans="1:19" x14ac:dyDescent="0.2">
      <c r="A538" s="37"/>
      <c r="B538" s="8"/>
      <c r="E538" s="38"/>
      <c r="H538" s="38"/>
      <c r="K538" s="38"/>
      <c r="N538" s="38"/>
      <c r="Q538" s="38"/>
      <c r="S538" s="14"/>
    </row>
    <row r="539" spans="1:19" x14ac:dyDescent="0.2">
      <c r="A539" s="37"/>
      <c r="B539" s="8"/>
      <c r="E539" s="38"/>
      <c r="H539" s="38"/>
      <c r="K539" s="38"/>
      <c r="N539" s="38"/>
      <c r="Q539" s="38"/>
      <c r="S539" s="14"/>
    </row>
    <row r="540" spans="1:19" x14ac:dyDescent="0.2">
      <c r="A540" s="37"/>
      <c r="B540" s="8"/>
      <c r="E540" s="38"/>
      <c r="H540" s="38"/>
      <c r="K540" s="38"/>
      <c r="N540" s="38"/>
      <c r="Q540" s="38"/>
      <c r="S540" s="14"/>
    </row>
    <row r="541" spans="1:19" x14ac:dyDescent="0.2">
      <c r="A541" s="37"/>
      <c r="B541" s="8"/>
      <c r="E541" s="38"/>
      <c r="H541" s="38"/>
      <c r="K541" s="38"/>
      <c r="N541" s="38"/>
      <c r="Q541" s="38"/>
      <c r="S541" s="14"/>
    </row>
    <row r="542" spans="1:19" x14ac:dyDescent="0.2">
      <c r="A542" s="37"/>
      <c r="B542" s="8"/>
      <c r="E542" s="38"/>
      <c r="H542" s="38"/>
      <c r="K542" s="38"/>
      <c r="N542" s="38"/>
      <c r="Q542" s="38"/>
      <c r="S542" s="14"/>
    </row>
    <row r="543" spans="1:19" x14ac:dyDescent="0.2">
      <c r="A543" s="37"/>
      <c r="B543" s="8"/>
      <c r="E543" s="38"/>
      <c r="H543" s="38"/>
      <c r="K543" s="38"/>
      <c r="N543" s="38"/>
      <c r="Q543" s="38"/>
      <c r="S543" s="14"/>
    </row>
    <row r="544" spans="1:19" x14ac:dyDescent="0.2">
      <c r="A544" s="37"/>
      <c r="B544" s="8"/>
      <c r="E544" s="38"/>
      <c r="H544" s="38"/>
      <c r="K544" s="38"/>
      <c r="N544" s="38"/>
      <c r="Q544" s="38"/>
      <c r="S544" s="14"/>
    </row>
    <row r="545" spans="1:19" x14ac:dyDescent="0.2">
      <c r="A545" s="37"/>
      <c r="B545" s="8"/>
      <c r="E545" s="38"/>
      <c r="H545" s="38"/>
      <c r="K545" s="38"/>
      <c r="N545" s="38"/>
      <c r="Q545" s="38"/>
      <c r="S545" s="14"/>
    </row>
    <row r="546" spans="1:19" x14ac:dyDescent="0.2">
      <c r="A546" s="37"/>
      <c r="B546" s="8"/>
      <c r="E546" s="38"/>
      <c r="H546" s="38"/>
      <c r="K546" s="38"/>
      <c r="N546" s="38"/>
      <c r="Q546" s="38"/>
      <c r="S546" s="14"/>
    </row>
    <row r="547" spans="1:19" x14ac:dyDescent="0.2">
      <c r="A547" s="37"/>
      <c r="B547" s="8"/>
      <c r="E547" s="38"/>
      <c r="H547" s="38"/>
      <c r="K547" s="38"/>
      <c r="N547" s="38"/>
      <c r="Q547" s="38"/>
      <c r="S547" s="14"/>
    </row>
    <row r="548" spans="1:19" x14ac:dyDescent="0.2">
      <c r="A548" s="37"/>
      <c r="B548" s="8"/>
      <c r="E548" s="38"/>
      <c r="H548" s="38"/>
      <c r="K548" s="38"/>
      <c r="N548" s="38"/>
      <c r="Q548" s="38"/>
      <c r="S548" s="14"/>
    </row>
    <row r="549" spans="1:19" x14ac:dyDescent="0.2">
      <c r="A549" s="37"/>
      <c r="B549" s="8"/>
      <c r="E549" s="38"/>
      <c r="H549" s="38"/>
      <c r="K549" s="38"/>
      <c r="N549" s="38"/>
      <c r="Q549" s="38"/>
      <c r="S549" s="14"/>
    </row>
    <row r="550" spans="1:19" x14ac:dyDescent="0.2">
      <c r="A550" s="37"/>
      <c r="B550" s="8"/>
      <c r="E550" s="38"/>
      <c r="H550" s="38"/>
      <c r="K550" s="38"/>
      <c r="N550" s="38"/>
      <c r="Q550" s="38"/>
      <c r="S550" s="14"/>
    </row>
    <row r="551" spans="1:19" x14ac:dyDescent="0.2">
      <c r="A551" s="37"/>
      <c r="B551" s="8"/>
      <c r="E551" s="38"/>
      <c r="H551" s="38"/>
      <c r="K551" s="38"/>
      <c r="N551" s="38"/>
      <c r="Q551" s="38"/>
      <c r="S551" s="14"/>
    </row>
    <row r="552" spans="1:19" x14ac:dyDescent="0.2">
      <c r="A552" s="37"/>
      <c r="B552" s="8"/>
      <c r="E552" s="38"/>
      <c r="H552" s="38"/>
      <c r="K552" s="38"/>
      <c r="N552" s="38"/>
      <c r="Q552" s="38"/>
      <c r="S552" s="14"/>
    </row>
    <row r="553" spans="1:19" x14ac:dyDescent="0.2">
      <c r="A553" s="37"/>
      <c r="B553" s="8"/>
      <c r="E553" s="38"/>
      <c r="H553" s="38"/>
      <c r="K553" s="38"/>
      <c r="N553" s="38"/>
      <c r="Q553" s="38"/>
      <c r="S553" s="14"/>
    </row>
    <row r="554" spans="1:19" x14ac:dyDescent="0.2">
      <c r="A554" s="37"/>
      <c r="B554" s="8"/>
      <c r="E554" s="38"/>
      <c r="H554" s="38"/>
      <c r="K554" s="38"/>
      <c r="N554" s="38"/>
      <c r="Q554" s="38"/>
      <c r="S554" s="14"/>
    </row>
    <row r="555" spans="1:19" x14ac:dyDescent="0.2">
      <c r="A555" s="37"/>
      <c r="B555" s="8"/>
      <c r="E555" s="38"/>
      <c r="H555" s="38"/>
      <c r="K555" s="38"/>
      <c r="N555" s="38"/>
      <c r="Q555" s="38"/>
      <c r="S555" s="14"/>
    </row>
    <row r="556" spans="1:19" x14ac:dyDescent="0.2">
      <c r="A556" s="37"/>
      <c r="B556" s="8"/>
      <c r="E556" s="38"/>
      <c r="H556" s="38"/>
      <c r="K556" s="38"/>
      <c r="N556" s="38"/>
      <c r="Q556" s="38"/>
      <c r="S556" s="14"/>
    </row>
    <row r="557" spans="1:19" x14ac:dyDescent="0.2">
      <c r="A557" s="37"/>
      <c r="B557" s="8"/>
      <c r="E557" s="38"/>
      <c r="H557" s="38"/>
      <c r="K557" s="38"/>
      <c r="N557" s="38"/>
      <c r="Q557" s="38"/>
      <c r="S557" s="14"/>
    </row>
    <row r="558" spans="1:19" x14ac:dyDescent="0.2">
      <c r="A558" s="37"/>
      <c r="B558" s="8"/>
      <c r="E558" s="38"/>
      <c r="H558" s="38"/>
      <c r="K558" s="38"/>
      <c r="N558" s="38"/>
      <c r="Q558" s="38"/>
      <c r="S558" s="14"/>
    </row>
    <row r="559" spans="1:19" x14ac:dyDescent="0.2">
      <c r="A559" s="37"/>
      <c r="B559" s="8"/>
      <c r="E559" s="38"/>
      <c r="H559" s="38"/>
      <c r="K559" s="38"/>
      <c r="N559" s="38"/>
      <c r="Q559" s="38"/>
      <c r="S559" s="14"/>
    </row>
    <row r="560" spans="1:19" x14ac:dyDescent="0.2">
      <c r="A560" s="37"/>
      <c r="B560" s="8"/>
      <c r="E560" s="38"/>
      <c r="H560" s="38"/>
      <c r="K560" s="38"/>
      <c r="N560" s="38"/>
      <c r="Q560" s="38"/>
      <c r="S560" s="14"/>
    </row>
    <row r="561" spans="1:19" x14ac:dyDescent="0.2">
      <c r="A561" s="37"/>
      <c r="B561" s="8"/>
      <c r="E561" s="38"/>
      <c r="H561" s="38"/>
      <c r="K561" s="38"/>
      <c r="N561" s="38"/>
      <c r="Q561" s="38"/>
      <c r="S561" s="14"/>
    </row>
    <row r="562" spans="1:19" x14ac:dyDescent="0.2">
      <c r="A562" s="37"/>
      <c r="B562" s="8"/>
      <c r="E562" s="38"/>
      <c r="H562" s="38"/>
      <c r="K562" s="38"/>
      <c r="N562" s="38"/>
      <c r="Q562" s="38"/>
      <c r="S562" s="14"/>
    </row>
    <row r="563" spans="1:19" x14ac:dyDescent="0.2">
      <c r="A563" s="37"/>
      <c r="B563" s="8"/>
      <c r="E563" s="38"/>
      <c r="H563" s="38"/>
      <c r="K563" s="38"/>
      <c r="N563" s="38"/>
      <c r="Q563" s="38"/>
      <c r="S563" s="14"/>
    </row>
    <row r="564" spans="1:19" x14ac:dyDescent="0.2">
      <c r="A564" s="37"/>
      <c r="B564" s="8"/>
      <c r="E564" s="38"/>
      <c r="H564" s="38"/>
      <c r="K564" s="38"/>
      <c r="N564" s="38"/>
      <c r="Q564" s="38"/>
      <c r="S564" s="14"/>
    </row>
    <row r="565" spans="1:19" x14ac:dyDescent="0.2">
      <c r="A565" s="37"/>
      <c r="B565" s="8"/>
      <c r="E565" s="38"/>
      <c r="H565" s="38"/>
      <c r="K565" s="38"/>
      <c r="N565" s="38"/>
      <c r="Q565" s="38"/>
      <c r="S565" s="14"/>
    </row>
    <row r="566" spans="1:19" x14ac:dyDescent="0.2">
      <c r="A566" s="37"/>
      <c r="B566" s="8"/>
      <c r="E566" s="38"/>
      <c r="H566" s="38"/>
      <c r="K566" s="38"/>
      <c r="N566" s="38"/>
      <c r="Q566" s="38"/>
      <c r="S566" s="14"/>
    </row>
    <row r="567" spans="1:19" x14ac:dyDescent="0.2">
      <c r="A567" s="37"/>
      <c r="B567" s="8"/>
      <c r="E567" s="38"/>
      <c r="H567" s="38"/>
      <c r="K567" s="38"/>
      <c r="N567" s="38"/>
      <c r="Q567" s="38"/>
      <c r="S567" s="14"/>
    </row>
    <row r="568" spans="1:19" x14ac:dyDescent="0.2">
      <c r="A568" s="37"/>
      <c r="B568" s="8"/>
      <c r="E568" s="38"/>
      <c r="H568" s="38"/>
      <c r="K568" s="38"/>
      <c r="N568" s="38"/>
      <c r="Q568" s="38"/>
      <c r="S568" s="14"/>
    </row>
    <row r="569" spans="1:19" x14ac:dyDescent="0.2">
      <c r="A569" s="37"/>
      <c r="B569" s="8"/>
      <c r="E569" s="38"/>
      <c r="H569" s="38"/>
      <c r="K569" s="38"/>
      <c r="N569" s="38"/>
      <c r="Q569" s="38"/>
      <c r="S569" s="14"/>
    </row>
    <row r="570" spans="1:19" x14ac:dyDescent="0.2">
      <c r="A570" s="37"/>
      <c r="B570" s="8"/>
      <c r="E570" s="38"/>
      <c r="H570" s="38"/>
      <c r="K570" s="38"/>
      <c r="N570" s="38"/>
      <c r="Q570" s="38"/>
      <c r="S570" s="14"/>
    </row>
    <row r="571" spans="1:19" x14ac:dyDescent="0.2">
      <c r="A571" s="37"/>
      <c r="B571" s="8"/>
      <c r="E571" s="38"/>
      <c r="H571" s="38"/>
      <c r="K571" s="38"/>
      <c r="N571" s="38"/>
      <c r="Q571" s="38"/>
      <c r="S571" s="14"/>
    </row>
    <row r="572" spans="1:19" x14ac:dyDescent="0.2">
      <c r="A572" s="37"/>
      <c r="B572" s="8"/>
      <c r="E572" s="38"/>
      <c r="H572" s="38"/>
      <c r="K572" s="38"/>
      <c r="N572" s="38"/>
      <c r="Q572" s="38"/>
      <c r="S572" s="14"/>
    </row>
    <row r="573" spans="1:19" x14ac:dyDescent="0.2">
      <c r="A573" s="37"/>
      <c r="B573" s="8"/>
      <c r="E573" s="38"/>
      <c r="H573" s="38"/>
      <c r="K573" s="38"/>
      <c r="N573" s="38"/>
      <c r="Q573" s="38"/>
      <c r="S573" s="14"/>
    </row>
    <row r="574" spans="1:19" x14ac:dyDescent="0.2">
      <c r="A574" s="37"/>
      <c r="B574" s="8"/>
      <c r="E574" s="38"/>
      <c r="H574" s="38"/>
      <c r="K574" s="38"/>
      <c r="N574" s="38"/>
      <c r="Q574" s="38"/>
      <c r="S574" s="14"/>
    </row>
    <row r="575" spans="1:19" x14ac:dyDescent="0.2">
      <c r="A575" s="37"/>
      <c r="B575" s="8"/>
      <c r="E575" s="38"/>
      <c r="H575" s="38"/>
      <c r="K575" s="38"/>
      <c r="N575" s="38"/>
      <c r="Q575" s="38"/>
      <c r="S575" s="14"/>
    </row>
    <row r="576" spans="1:19" x14ac:dyDescent="0.2">
      <c r="A576" s="37"/>
      <c r="B576" s="8"/>
      <c r="E576" s="38"/>
      <c r="H576" s="38"/>
      <c r="K576" s="38"/>
      <c r="N576" s="38"/>
      <c r="Q576" s="38"/>
      <c r="S576" s="14"/>
    </row>
    <row r="577" spans="1:19" x14ac:dyDescent="0.2">
      <c r="A577" s="37"/>
      <c r="B577" s="8"/>
      <c r="E577" s="38"/>
      <c r="H577" s="38"/>
      <c r="K577" s="38"/>
      <c r="N577" s="38"/>
      <c r="Q577" s="38"/>
      <c r="S577" s="14"/>
    </row>
    <row r="578" spans="1:19" x14ac:dyDescent="0.2">
      <c r="A578" s="37"/>
      <c r="B578" s="8"/>
      <c r="E578" s="38"/>
      <c r="H578" s="38"/>
      <c r="K578" s="38"/>
      <c r="N578" s="38"/>
      <c r="Q578" s="38"/>
      <c r="S578" s="14"/>
    </row>
    <row r="579" spans="1:19" x14ac:dyDescent="0.2">
      <c r="A579" s="37"/>
      <c r="B579" s="8"/>
      <c r="E579" s="38"/>
      <c r="H579" s="38"/>
      <c r="K579" s="38"/>
      <c r="N579" s="38"/>
      <c r="Q579" s="38"/>
      <c r="S579" s="14"/>
    </row>
    <row r="580" spans="1:19" x14ac:dyDescent="0.2">
      <c r="A580" s="37"/>
      <c r="B580" s="8"/>
      <c r="E580" s="38"/>
      <c r="H580" s="38"/>
      <c r="K580" s="38"/>
      <c r="N580" s="38"/>
      <c r="Q580" s="38"/>
      <c r="S580" s="14"/>
    </row>
    <row r="581" spans="1:19" x14ac:dyDescent="0.2">
      <c r="A581" s="37"/>
      <c r="B581" s="8"/>
      <c r="E581" s="38"/>
      <c r="H581" s="38"/>
      <c r="K581" s="38"/>
      <c r="N581" s="38"/>
      <c r="Q581" s="38"/>
      <c r="S581" s="14"/>
    </row>
    <row r="582" spans="1:19" x14ac:dyDescent="0.2">
      <c r="A582" s="37"/>
      <c r="B582" s="8"/>
      <c r="E582" s="38"/>
      <c r="H582" s="38"/>
      <c r="K582" s="38"/>
      <c r="N582" s="38"/>
      <c r="Q582" s="38"/>
      <c r="S582" s="14"/>
    </row>
    <row r="583" spans="1:19" x14ac:dyDescent="0.2">
      <c r="A583" s="37"/>
      <c r="B583" s="8"/>
      <c r="E583" s="38"/>
      <c r="H583" s="38"/>
      <c r="K583" s="38"/>
      <c r="N583" s="38"/>
      <c r="Q583" s="38"/>
      <c r="S583" s="14"/>
    </row>
    <row r="584" spans="1:19" x14ac:dyDescent="0.2">
      <c r="A584" s="37"/>
      <c r="B584" s="8"/>
      <c r="E584" s="38"/>
      <c r="H584" s="38"/>
      <c r="K584" s="38"/>
      <c r="N584" s="38"/>
      <c r="Q584" s="38"/>
      <c r="S584" s="14"/>
    </row>
    <row r="585" spans="1:19" x14ac:dyDescent="0.2">
      <c r="A585" s="37"/>
      <c r="B585" s="8"/>
      <c r="E585" s="38"/>
      <c r="H585" s="38"/>
      <c r="K585" s="38"/>
      <c r="N585" s="38"/>
      <c r="Q585" s="38"/>
      <c r="S585" s="14"/>
    </row>
    <row r="586" spans="1:19" x14ac:dyDescent="0.2">
      <c r="A586" s="37"/>
      <c r="B586" s="8"/>
      <c r="E586" s="38"/>
      <c r="H586" s="38"/>
      <c r="K586" s="38"/>
      <c r="N586" s="38"/>
      <c r="Q586" s="38"/>
      <c r="S586" s="14"/>
    </row>
    <row r="587" spans="1:19" x14ac:dyDescent="0.2">
      <c r="A587" s="37"/>
      <c r="B587" s="8"/>
      <c r="E587" s="38"/>
      <c r="H587" s="38"/>
      <c r="K587" s="38"/>
      <c r="N587" s="38"/>
      <c r="Q587" s="38"/>
      <c r="S587" s="14"/>
    </row>
    <row r="588" spans="1:19" x14ac:dyDescent="0.2">
      <c r="A588" s="37"/>
      <c r="B588" s="8"/>
      <c r="E588" s="38"/>
      <c r="H588" s="38"/>
      <c r="K588" s="38"/>
      <c r="N588" s="38"/>
      <c r="Q588" s="38"/>
      <c r="S588" s="14"/>
    </row>
    <row r="589" spans="1:19" x14ac:dyDescent="0.2">
      <c r="A589" s="37"/>
      <c r="B589" s="8"/>
      <c r="E589" s="38"/>
      <c r="H589" s="38"/>
      <c r="K589" s="38"/>
      <c r="N589" s="38"/>
      <c r="Q589" s="38"/>
      <c r="S589" s="14"/>
    </row>
    <row r="590" spans="1:19" x14ac:dyDescent="0.2">
      <c r="A590" s="37"/>
      <c r="B590" s="8"/>
      <c r="E590" s="38"/>
      <c r="H590" s="38"/>
      <c r="K590" s="38"/>
      <c r="N590" s="38"/>
      <c r="Q590" s="38"/>
      <c r="S590" s="14"/>
    </row>
    <row r="591" spans="1:19" x14ac:dyDescent="0.2">
      <c r="A591" s="37"/>
      <c r="B591" s="8"/>
      <c r="E591" s="38"/>
      <c r="H591" s="38"/>
      <c r="K591" s="38"/>
      <c r="N591" s="38"/>
      <c r="Q591" s="38"/>
      <c r="S591" s="14"/>
    </row>
    <row r="592" spans="1:19" x14ac:dyDescent="0.2">
      <c r="A592" s="37"/>
      <c r="B592" s="8"/>
      <c r="E592" s="38"/>
      <c r="H592" s="38"/>
      <c r="K592" s="38"/>
      <c r="N592" s="38"/>
      <c r="Q592" s="38"/>
      <c r="S592" s="14"/>
    </row>
    <row r="593" spans="1:19" x14ac:dyDescent="0.2">
      <c r="A593" s="37"/>
      <c r="B593" s="8"/>
      <c r="E593" s="38"/>
      <c r="H593" s="38"/>
      <c r="K593" s="38"/>
      <c r="N593" s="38"/>
      <c r="Q593" s="38"/>
      <c r="S593" s="14"/>
    </row>
    <row r="594" spans="1:19" x14ac:dyDescent="0.2">
      <c r="A594" s="37"/>
      <c r="B594" s="8"/>
      <c r="E594" s="38"/>
      <c r="H594" s="38"/>
      <c r="K594" s="38"/>
      <c r="N594" s="38"/>
      <c r="Q594" s="38"/>
      <c r="S594" s="14"/>
    </row>
    <row r="595" spans="1:19" x14ac:dyDescent="0.2">
      <c r="A595" s="37"/>
      <c r="B595" s="8"/>
      <c r="E595" s="38"/>
      <c r="H595" s="38"/>
      <c r="K595" s="38"/>
      <c r="N595" s="38"/>
      <c r="Q595" s="38"/>
      <c r="S595" s="14"/>
    </row>
    <row r="596" spans="1:19" x14ac:dyDescent="0.2">
      <c r="A596" s="37"/>
      <c r="B596" s="8"/>
      <c r="E596" s="38"/>
      <c r="H596" s="38"/>
      <c r="K596" s="38"/>
      <c r="N596" s="38"/>
      <c r="Q596" s="38"/>
      <c r="S596" s="14"/>
    </row>
    <row r="597" spans="1:19" x14ac:dyDescent="0.2">
      <c r="A597" s="37"/>
      <c r="B597" s="8"/>
      <c r="E597" s="38"/>
      <c r="H597" s="38"/>
      <c r="K597" s="38"/>
      <c r="N597" s="38"/>
      <c r="Q597" s="38"/>
      <c r="S597" s="14"/>
    </row>
    <row r="598" spans="1:19" x14ac:dyDescent="0.2">
      <c r="A598" s="37"/>
      <c r="B598" s="8"/>
      <c r="E598" s="38"/>
      <c r="H598" s="38"/>
      <c r="K598" s="38"/>
      <c r="N598" s="38"/>
      <c r="Q598" s="38"/>
      <c r="S598" s="14"/>
    </row>
    <row r="599" spans="1:19" x14ac:dyDescent="0.2">
      <c r="A599" s="37"/>
      <c r="B599" s="8"/>
      <c r="E599" s="38"/>
      <c r="H599" s="38"/>
      <c r="K599" s="38"/>
      <c r="N599" s="38"/>
      <c r="Q599" s="38"/>
      <c r="S599" s="14"/>
    </row>
    <row r="600" spans="1:19" x14ac:dyDescent="0.2">
      <c r="A600" s="37"/>
      <c r="B600" s="8"/>
      <c r="E600" s="38"/>
      <c r="H600" s="38"/>
      <c r="K600" s="38"/>
      <c r="N600" s="38"/>
      <c r="Q600" s="38"/>
      <c r="S600" s="14"/>
    </row>
    <row r="601" spans="1:19" x14ac:dyDescent="0.2">
      <c r="A601" s="37"/>
      <c r="B601" s="8"/>
      <c r="E601" s="38"/>
      <c r="H601" s="38"/>
      <c r="K601" s="38"/>
      <c r="N601" s="38"/>
      <c r="Q601" s="38"/>
      <c r="S601" s="14"/>
    </row>
    <row r="602" spans="1:19" x14ac:dyDescent="0.2">
      <c r="A602" s="37"/>
      <c r="B602" s="8"/>
      <c r="E602" s="38"/>
      <c r="H602" s="38"/>
      <c r="K602" s="38"/>
      <c r="N602" s="38"/>
      <c r="Q602" s="38"/>
      <c r="S602" s="14"/>
    </row>
    <row r="603" spans="1:19" x14ac:dyDescent="0.2">
      <c r="A603" s="37"/>
      <c r="B603" s="8"/>
      <c r="E603" s="38"/>
      <c r="H603" s="38"/>
      <c r="K603" s="38"/>
      <c r="N603" s="38"/>
      <c r="Q603" s="38"/>
      <c r="S603" s="14"/>
    </row>
    <row r="604" spans="1:19" x14ac:dyDescent="0.2">
      <c r="A604" s="37"/>
      <c r="B604" s="8"/>
      <c r="E604" s="38"/>
      <c r="H604" s="38"/>
      <c r="K604" s="38"/>
      <c r="N604" s="38"/>
      <c r="Q604" s="38"/>
      <c r="S604" s="14"/>
    </row>
    <row r="605" spans="1:19" x14ac:dyDescent="0.2">
      <c r="A605" s="37"/>
      <c r="B605" s="8"/>
      <c r="E605" s="38"/>
      <c r="H605" s="38"/>
      <c r="K605" s="38"/>
      <c r="N605" s="38"/>
      <c r="Q605" s="38"/>
      <c r="S605" s="14"/>
    </row>
    <row r="606" spans="1:19" x14ac:dyDescent="0.2">
      <c r="A606" s="37"/>
      <c r="B606" s="8"/>
      <c r="E606" s="38"/>
      <c r="H606" s="38"/>
      <c r="K606" s="38"/>
      <c r="N606" s="38"/>
      <c r="Q606" s="38"/>
      <c r="S606" s="14"/>
    </row>
    <row r="607" spans="1:19" x14ac:dyDescent="0.2">
      <c r="A607" s="37"/>
      <c r="B607" s="8"/>
      <c r="E607" s="38"/>
      <c r="H607" s="38"/>
      <c r="K607" s="38"/>
      <c r="N607" s="38"/>
      <c r="Q607" s="38"/>
      <c r="S607" s="14"/>
    </row>
    <row r="608" spans="1:19" x14ac:dyDescent="0.2">
      <c r="A608" s="37"/>
      <c r="B608" s="8"/>
      <c r="E608" s="38"/>
      <c r="H608" s="38"/>
      <c r="K608" s="38"/>
      <c r="N608" s="38"/>
      <c r="Q608" s="38"/>
      <c r="S608" s="14"/>
    </row>
    <row r="609" spans="1:19" x14ac:dyDescent="0.2">
      <c r="A609" s="37"/>
      <c r="B609" s="8"/>
      <c r="E609" s="38"/>
      <c r="H609" s="38"/>
      <c r="K609" s="38"/>
      <c r="N609" s="38"/>
      <c r="Q609" s="38"/>
      <c r="S609" s="14"/>
    </row>
    <row r="610" spans="1:19" x14ac:dyDescent="0.2">
      <c r="A610" s="37"/>
      <c r="B610" s="8"/>
      <c r="E610" s="38"/>
      <c r="H610" s="38"/>
      <c r="K610" s="38"/>
      <c r="N610" s="38"/>
      <c r="Q610" s="38"/>
      <c r="S610" s="14"/>
    </row>
    <row r="611" spans="1:19" x14ac:dyDescent="0.2">
      <c r="A611" s="37"/>
      <c r="B611" s="8"/>
      <c r="E611" s="38"/>
      <c r="H611" s="38"/>
      <c r="K611" s="38"/>
      <c r="N611" s="38"/>
      <c r="Q611" s="38"/>
      <c r="S611" s="14"/>
    </row>
    <row r="612" spans="1:19" x14ac:dyDescent="0.2">
      <c r="A612" s="37"/>
      <c r="B612" s="8"/>
      <c r="E612" s="38"/>
      <c r="H612" s="38"/>
      <c r="K612" s="38"/>
      <c r="N612" s="38"/>
      <c r="Q612" s="38"/>
      <c r="S612" s="14"/>
    </row>
    <row r="613" spans="1:19" x14ac:dyDescent="0.2">
      <c r="A613" s="37"/>
      <c r="B613" s="8"/>
      <c r="E613" s="38"/>
      <c r="H613" s="38"/>
      <c r="K613" s="38"/>
      <c r="N613" s="38"/>
      <c r="Q613" s="38"/>
      <c r="S613" s="14"/>
    </row>
    <row r="614" spans="1:19" x14ac:dyDescent="0.2">
      <c r="A614" s="37"/>
      <c r="B614" s="8"/>
      <c r="E614" s="38"/>
      <c r="H614" s="38"/>
      <c r="K614" s="38"/>
      <c r="N614" s="38"/>
      <c r="Q614" s="38"/>
      <c r="S614" s="14"/>
    </row>
    <row r="615" spans="1:19" x14ac:dyDescent="0.2">
      <c r="A615" s="37"/>
      <c r="B615" s="8"/>
      <c r="E615" s="38"/>
      <c r="H615" s="38"/>
      <c r="K615" s="38"/>
      <c r="N615" s="38"/>
      <c r="Q615" s="38"/>
      <c r="S615" s="14"/>
    </row>
    <row r="616" spans="1:19" x14ac:dyDescent="0.2">
      <c r="A616" s="37"/>
      <c r="B616" s="8"/>
      <c r="E616" s="38"/>
      <c r="H616" s="38"/>
      <c r="K616" s="38"/>
      <c r="N616" s="38"/>
      <c r="Q616" s="38"/>
      <c r="S616" s="14"/>
    </row>
    <row r="617" spans="1:19" x14ac:dyDescent="0.2">
      <c r="A617" s="37"/>
      <c r="B617" s="8"/>
      <c r="E617" s="38"/>
      <c r="H617" s="38"/>
      <c r="K617" s="38"/>
      <c r="N617" s="38"/>
      <c r="Q617" s="38"/>
      <c r="S617" s="14"/>
    </row>
    <row r="618" spans="1:19" x14ac:dyDescent="0.2">
      <c r="A618" s="37"/>
      <c r="B618" s="8"/>
      <c r="E618" s="38"/>
      <c r="H618" s="38"/>
      <c r="K618" s="38"/>
      <c r="N618" s="38"/>
      <c r="Q618" s="38"/>
      <c r="S618" s="14"/>
    </row>
    <row r="619" spans="1:19" x14ac:dyDescent="0.2">
      <c r="A619" s="37"/>
      <c r="B619" s="8"/>
      <c r="E619" s="38"/>
      <c r="H619" s="38"/>
      <c r="K619" s="38"/>
      <c r="N619" s="38"/>
      <c r="Q619" s="38"/>
      <c r="S619" s="14"/>
    </row>
    <row r="620" spans="1:19" x14ac:dyDescent="0.2">
      <c r="A620" s="37"/>
      <c r="B620" s="8"/>
      <c r="E620" s="38"/>
      <c r="H620" s="38"/>
      <c r="K620" s="38"/>
      <c r="N620" s="38"/>
      <c r="Q620" s="38"/>
      <c r="S620" s="14"/>
    </row>
    <row r="621" spans="1:19" x14ac:dyDescent="0.2">
      <c r="A621" s="37"/>
      <c r="B621" s="8"/>
      <c r="E621" s="38"/>
      <c r="H621" s="38"/>
      <c r="K621" s="38"/>
      <c r="N621" s="38"/>
      <c r="Q621" s="38"/>
      <c r="S621" s="14"/>
    </row>
    <row r="622" spans="1:19" x14ac:dyDescent="0.2">
      <c r="A622" s="37"/>
      <c r="B622" s="8"/>
      <c r="E622" s="38"/>
      <c r="H622" s="38"/>
      <c r="K622" s="38"/>
      <c r="N622" s="38"/>
      <c r="Q622" s="38"/>
      <c r="S622" s="14"/>
    </row>
    <row r="623" spans="1:19" x14ac:dyDescent="0.2">
      <c r="A623" s="37"/>
      <c r="B623" s="8"/>
      <c r="E623" s="38"/>
      <c r="H623" s="38"/>
      <c r="K623" s="38"/>
      <c r="N623" s="38"/>
      <c r="Q623" s="38"/>
      <c r="S623" s="14"/>
    </row>
    <row r="624" spans="1:19" x14ac:dyDescent="0.2">
      <c r="A624" s="37"/>
      <c r="B624" s="8"/>
      <c r="E624" s="38"/>
      <c r="H624" s="38"/>
      <c r="K624" s="38"/>
      <c r="N624" s="38"/>
      <c r="Q624" s="38"/>
      <c r="S624" s="14"/>
    </row>
    <row r="625" spans="1:19" x14ac:dyDescent="0.2">
      <c r="A625" s="37"/>
      <c r="B625" s="8"/>
      <c r="E625" s="38"/>
      <c r="H625" s="38"/>
      <c r="K625" s="38"/>
      <c r="N625" s="38"/>
      <c r="Q625" s="38"/>
      <c r="S625" s="14"/>
    </row>
    <row r="626" spans="1:19" x14ac:dyDescent="0.2">
      <c r="A626" s="37"/>
      <c r="B626" s="8"/>
      <c r="E626" s="38"/>
      <c r="H626" s="38"/>
      <c r="K626" s="38"/>
      <c r="N626" s="38"/>
      <c r="Q626" s="38"/>
      <c r="S626" s="14"/>
    </row>
    <row r="627" spans="1:19" x14ac:dyDescent="0.2">
      <c r="A627" s="37"/>
      <c r="B627" s="8"/>
      <c r="E627" s="38"/>
      <c r="H627" s="38"/>
      <c r="K627" s="38"/>
      <c r="N627" s="38"/>
      <c r="Q627" s="38"/>
      <c r="S627" s="14"/>
    </row>
    <row r="628" spans="1:19" x14ac:dyDescent="0.2">
      <c r="A628" s="37"/>
      <c r="B628" s="8"/>
      <c r="E628" s="38"/>
      <c r="H628" s="38"/>
      <c r="K628" s="38"/>
      <c r="N628" s="38"/>
      <c r="Q628" s="38"/>
      <c r="S628" s="14"/>
    </row>
    <row r="629" spans="1:19" x14ac:dyDescent="0.2">
      <c r="A629" s="37"/>
      <c r="B629" s="8"/>
      <c r="E629" s="38"/>
      <c r="H629" s="38"/>
      <c r="K629" s="38"/>
      <c r="N629" s="38"/>
      <c r="Q629" s="38"/>
      <c r="S629" s="14"/>
    </row>
    <row r="630" spans="1:19" x14ac:dyDescent="0.2">
      <c r="A630" s="37"/>
      <c r="B630" s="8"/>
      <c r="E630" s="38"/>
      <c r="H630" s="38"/>
      <c r="K630" s="38"/>
      <c r="N630" s="38"/>
      <c r="Q630" s="38"/>
      <c r="S630" s="14"/>
    </row>
    <row r="631" spans="1:19" x14ac:dyDescent="0.2">
      <c r="A631" s="37"/>
      <c r="B631" s="8"/>
      <c r="E631" s="38"/>
      <c r="H631" s="38"/>
      <c r="K631" s="38"/>
      <c r="N631" s="38"/>
      <c r="Q631" s="38"/>
      <c r="S631" s="14"/>
    </row>
    <row r="632" spans="1:19" x14ac:dyDescent="0.2">
      <c r="A632" s="37"/>
      <c r="B632" s="8"/>
      <c r="E632" s="38"/>
      <c r="H632" s="38"/>
      <c r="K632" s="38"/>
      <c r="N632" s="38"/>
      <c r="Q632" s="38"/>
      <c r="S632" s="14"/>
    </row>
    <row r="633" spans="1:19" x14ac:dyDescent="0.2">
      <c r="A633" s="37"/>
      <c r="B633" s="8"/>
      <c r="E633" s="38"/>
      <c r="H633" s="38"/>
      <c r="K633" s="38"/>
      <c r="N633" s="38"/>
      <c r="Q633" s="38"/>
      <c r="S633" s="14"/>
    </row>
    <row r="634" spans="1:19" x14ac:dyDescent="0.2">
      <c r="A634" s="37"/>
      <c r="B634" s="8"/>
      <c r="E634" s="38"/>
      <c r="H634" s="38"/>
      <c r="K634" s="38"/>
      <c r="N634" s="38"/>
      <c r="Q634" s="38"/>
      <c r="S634" s="14"/>
    </row>
    <row r="635" spans="1:19" x14ac:dyDescent="0.2">
      <c r="A635" s="37"/>
      <c r="B635" s="8"/>
      <c r="E635" s="38"/>
      <c r="H635" s="38"/>
      <c r="K635" s="38"/>
      <c r="N635" s="38"/>
      <c r="Q635" s="38"/>
      <c r="S635" s="14"/>
    </row>
    <row r="636" spans="1:19" x14ac:dyDescent="0.2">
      <c r="A636" s="37"/>
      <c r="B636" s="8"/>
      <c r="E636" s="38"/>
      <c r="H636" s="38"/>
      <c r="K636" s="38"/>
      <c r="N636" s="38"/>
      <c r="Q636" s="38"/>
      <c r="S636" s="14"/>
    </row>
    <row r="637" spans="1:19" x14ac:dyDescent="0.2">
      <c r="A637" s="37"/>
      <c r="B637" s="8"/>
      <c r="E637" s="38"/>
      <c r="H637" s="38"/>
      <c r="K637" s="38"/>
      <c r="N637" s="38"/>
      <c r="Q637" s="38"/>
      <c r="S637" s="14"/>
    </row>
    <row r="638" spans="1:19" x14ac:dyDescent="0.2">
      <c r="A638" s="37"/>
      <c r="B638" s="8"/>
      <c r="E638" s="38"/>
      <c r="H638" s="38"/>
      <c r="K638" s="38"/>
      <c r="N638" s="38"/>
      <c r="Q638" s="38"/>
      <c r="S638" s="14"/>
    </row>
    <row r="639" spans="1:19" x14ac:dyDescent="0.2">
      <c r="A639" s="37"/>
      <c r="B639" s="8"/>
      <c r="E639" s="38"/>
      <c r="H639" s="38"/>
      <c r="K639" s="38"/>
      <c r="N639" s="38"/>
      <c r="Q639" s="38"/>
      <c r="S639" s="14"/>
    </row>
    <row r="640" spans="1:19" x14ac:dyDescent="0.2">
      <c r="A640" s="37"/>
      <c r="B640" s="8"/>
      <c r="E640" s="38"/>
      <c r="H640" s="38"/>
      <c r="K640" s="38"/>
      <c r="N640" s="38"/>
      <c r="Q640" s="38"/>
      <c r="S640" s="14"/>
    </row>
    <row r="641" spans="1:19" x14ac:dyDescent="0.2">
      <c r="A641" s="37"/>
      <c r="B641" s="8"/>
      <c r="E641" s="38"/>
      <c r="H641" s="38"/>
      <c r="K641" s="38"/>
      <c r="N641" s="38"/>
      <c r="Q641" s="38"/>
      <c r="S641" s="14"/>
    </row>
    <row r="642" spans="1:19" x14ac:dyDescent="0.2">
      <c r="A642" s="37"/>
      <c r="B642" s="8"/>
      <c r="E642" s="38"/>
      <c r="H642" s="38"/>
      <c r="K642" s="38"/>
      <c r="N642" s="38"/>
      <c r="Q642" s="38"/>
      <c r="S642" s="14"/>
    </row>
    <row r="643" spans="1:19" x14ac:dyDescent="0.2">
      <c r="A643" s="37"/>
      <c r="B643" s="8"/>
      <c r="E643" s="38"/>
      <c r="H643" s="38"/>
      <c r="K643" s="38"/>
      <c r="N643" s="38"/>
      <c r="Q643" s="38"/>
      <c r="S643" s="14"/>
    </row>
    <row r="644" spans="1:19" x14ac:dyDescent="0.2">
      <c r="A644" s="37"/>
      <c r="B644" s="8"/>
      <c r="E644" s="38"/>
      <c r="H644" s="38"/>
      <c r="K644" s="38"/>
      <c r="N644" s="38"/>
      <c r="Q644" s="38"/>
      <c r="S644" s="14"/>
    </row>
    <row r="645" spans="1:19" x14ac:dyDescent="0.2">
      <c r="A645" s="37"/>
      <c r="B645" s="8"/>
      <c r="E645" s="38"/>
      <c r="H645" s="38"/>
      <c r="K645" s="38"/>
      <c r="N645" s="38"/>
      <c r="Q645" s="38"/>
      <c r="S645" s="14"/>
    </row>
    <row r="646" spans="1:19" x14ac:dyDescent="0.2">
      <c r="A646" s="37"/>
      <c r="B646" s="8"/>
      <c r="E646" s="38"/>
      <c r="H646" s="38"/>
      <c r="K646" s="38"/>
      <c r="N646" s="38"/>
      <c r="Q646" s="38"/>
      <c r="S646" s="14"/>
    </row>
    <row r="647" spans="1:19" x14ac:dyDescent="0.2">
      <c r="A647" s="37"/>
      <c r="B647" s="8"/>
      <c r="E647" s="38"/>
      <c r="H647" s="38"/>
      <c r="K647" s="38"/>
      <c r="N647" s="38"/>
      <c r="Q647" s="38"/>
      <c r="S647" s="14"/>
    </row>
    <row r="648" spans="1:19" x14ac:dyDescent="0.2">
      <c r="A648" s="37"/>
      <c r="B648" s="8"/>
      <c r="E648" s="38"/>
      <c r="H648" s="38"/>
      <c r="K648" s="38"/>
      <c r="N648" s="38"/>
      <c r="Q648" s="38"/>
      <c r="S648" s="14"/>
    </row>
    <row r="649" spans="1:19" x14ac:dyDescent="0.2">
      <c r="A649" s="37"/>
      <c r="B649" s="8"/>
      <c r="E649" s="38"/>
      <c r="H649" s="38"/>
      <c r="K649" s="38"/>
      <c r="N649" s="38"/>
      <c r="Q649" s="38"/>
      <c r="S649" s="14"/>
    </row>
    <row r="650" spans="1:19" x14ac:dyDescent="0.2">
      <c r="A650" s="37"/>
      <c r="B650" s="8"/>
      <c r="E650" s="38"/>
      <c r="H650" s="38"/>
      <c r="K650" s="38"/>
      <c r="N650" s="38"/>
      <c r="Q650" s="38"/>
      <c r="S650" s="14"/>
    </row>
    <row r="651" spans="1:19" x14ac:dyDescent="0.2">
      <c r="A651" s="37"/>
      <c r="B651" s="8"/>
      <c r="E651" s="38"/>
      <c r="H651" s="38"/>
      <c r="K651" s="38"/>
      <c r="N651" s="38"/>
      <c r="Q651" s="38"/>
      <c r="S651" s="14"/>
    </row>
    <row r="652" spans="1:19" x14ac:dyDescent="0.2">
      <c r="A652" s="37"/>
      <c r="B652" s="8"/>
      <c r="E652" s="38"/>
      <c r="H652" s="38"/>
      <c r="K652" s="38"/>
      <c r="N652" s="38"/>
      <c r="Q652" s="38"/>
      <c r="S652" s="14"/>
    </row>
    <row r="653" spans="1:19" x14ac:dyDescent="0.2">
      <c r="A653" s="37"/>
      <c r="B653" s="8"/>
      <c r="E653" s="38"/>
      <c r="H653" s="38"/>
      <c r="K653" s="38"/>
      <c r="N653" s="38"/>
      <c r="Q653" s="38"/>
      <c r="S653" s="14"/>
    </row>
    <row r="654" spans="1:19" x14ac:dyDescent="0.2">
      <c r="A654" s="37"/>
      <c r="B654" s="8"/>
      <c r="E654" s="38"/>
      <c r="H654" s="38"/>
      <c r="K654" s="38"/>
      <c r="N654" s="38"/>
      <c r="Q654" s="38"/>
      <c r="S654" s="14"/>
    </row>
    <row r="655" spans="1:19" x14ac:dyDescent="0.2">
      <c r="A655" s="37"/>
      <c r="B655" s="8"/>
      <c r="E655" s="38"/>
      <c r="H655" s="38"/>
      <c r="K655" s="38"/>
      <c r="N655" s="38"/>
      <c r="Q655" s="38"/>
      <c r="S655" s="14"/>
    </row>
    <row r="656" spans="1:19" x14ac:dyDescent="0.2">
      <c r="A656" s="37"/>
      <c r="B656" s="8"/>
      <c r="E656" s="38"/>
      <c r="H656" s="38"/>
      <c r="K656" s="38"/>
      <c r="N656" s="38"/>
      <c r="Q656" s="38"/>
      <c r="S656" s="14"/>
    </row>
    <row r="657" spans="1:19" x14ac:dyDescent="0.2">
      <c r="A657" s="37"/>
      <c r="B657" s="8"/>
      <c r="E657" s="38"/>
      <c r="H657" s="38"/>
      <c r="K657" s="38"/>
      <c r="N657" s="38"/>
      <c r="Q657" s="38"/>
      <c r="S657" s="14"/>
    </row>
    <row r="658" spans="1:19" x14ac:dyDescent="0.2">
      <c r="A658" s="37"/>
      <c r="B658" s="8"/>
      <c r="E658" s="38"/>
      <c r="H658" s="38"/>
      <c r="K658" s="38"/>
      <c r="N658" s="38"/>
      <c r="Q658" s="38"/>
      <c r="S658" s="14"/>
    </row>
    <row r="659" spans="1:19" x14ac:dyDescent="0.2">
      <c r="A659" s="37"/>
      <c r="B659" s="8"/>
      <c r="E659" s="38"/>
      <c r="H659" s="38"/>
      <c r="K659" s="38"/>
      <c r="N659" s="38"/>
      <c r="Q659" s="38"/>
      <c r="S659" s="14"/>
    </row>
    <row r="660" spans="1:19" x14ac:dyDescent="0.2">
      <c r="A660" s="37"/>
      <c r="B660" s="8"/>
      <c r="E660" s="38"/>
      <c r="H660" s="38"/>
      <c r="K660" s="38"/>
      <c r="N660" s="38"/>
      <c r="Q660" s="38"/>
      <c r="S660" s="14"/>
    </row>
    <row r="661" spans="1:19" x14ac:dyDescent="0.2">
      <c r="A661" s="37"/>
      <c r="B661" s="8"/>
      <c r="E661" s="38"/>
      <c r="H661" s="38"/>
      <c r="K661" s="38"/>
      <c r="N661" s="38"/>
      <c r="Q661" s="38"/>
      <c r="S661" s="14"/>
    </row>
    <row r="662" spans="1:19" x14ac:dyDescent="0.2">
      <c r="A662" s="37"/>
      <c r="B662" s="8"/>
      <c r="E662" s="38"/>
      <c r="H662" s="38"/>
      <c r="K662" s="38"/>
      <c r="N662" s="38"/>
      <c r="Q662" s="38"/>
      <c r="S662" s="14"/>
    </row>
    <row r="663" spans="1:19" x14ac:dyDescent="0.2">
      <c r="A663" s="37"/>
      <c r="B663" s="8"/>
      <c r="E663" s="38"/>
      <c r="H663" s="38"/>
      <c r="K663" s="38"/>
      <c r="N663" s="38"/>
      <c r="Q663" s="38"/>
      <c r="S663" s="14"/>
    </row>
    <row r="664" spans="1:19" x14ac:dyDescent="0.2">
      <c r="A664" s="37"/>
      <c r="B664" s="8"/>
      <c r="E664" s="38"/>
      <c r="H664" s="38"/>
      <c r="K664" s="38"/>
      <c r="N664" s="38"/>
      <c r="Q664" s="38"/>
      <c r="S664" s="14"/>
    </row>
    <row r="665" spans="1:19" x14ac:dyDescent="0.2">
      <c r="A665" s="37"/>
      <c r="B665" s="8"/>
      <c r="E665" s="38"/>
      <c r="H665" s="38"/>
      <c r="K665" s="38"/>
      <c r="N665" s="38"/>
      <c r="Q665" s="38"/>
      <c r="S665" s="14"/>
    </row>
    <row r="666" spans="1:19" x14ac:dyDescent="0.2">
      <c r="A666" s="37"/>
      <c r="B666" s="8"/>
      <c r="E666" s="38"/>
      <c r="H666" s="38"/>
      <c r="K666" s="38"/>
      <c r="N666" s="38"/>
      <c r="Q666" s="38"/>
      <c r="S666" s="14"/>
    </row>
    <row r="667" spans="1:19" x14ac:dyDescent="0.2">
      <c r="A667" s="37"/>
      <c r="B667" s="8"/>
      <c r="E667" s="38"/>
      <c r="H667" s="38"/>
      <c r="K667" s="38"/>
      <c r="N667" s="38"/>
      <c r="Q667" s="38"/>
      <c r="S667" s="14"/>
    </row>
    <row r="668" spans="1:19" x14ac:dyDescent="0.2">
      <c r="A668" s="37"/>
      <c r="B668" s="8"/>
      <c r="E668" s="38"/>
      <c r="H668" s="38"/>
      <c r="K668" s="38"/>
      <c r="N668" s="38"/>
      <c r="Q668" s="38"/>
      <c r="S668" s="14"/>
    </row>
    <row r="669" spans="1:19" x14ac:dyDescent="0.2">
      <c r="A669" s="37"/>
      <c r="B669" s="8"/>
      <c r="E669" s="38"/>
      <c r="H669" s="38"/>
      <c r="K669" s="38"/>
      <c r="N669" s="38"/>
      <c r="Q669" s="38"/>
      <c r="S669" s="14"/>
    </row>
    <row r="670" spans="1:19" x14ac:dyDescent="0.2">
      <c r="A670" s="37"/>
      <c r="B670" s="8"/>
      <c r="E670" s="38"/>
      <c r="H670" s="38"/>
      <c r="K670" s="38"/>
      <c r="N670" s="38"/>
      <c r="Q670" s="38"/>
      <c r="S670" s="14"/>
    </row>
    <row r="671" spans="1:19" x14ac:dyDescent="0.2">
      <c r="A671" s="37"/>
      <c r="B671" s="8"/>
      <c r="E671" s="38"/>
      <c r="H671" s="38"/>
      <c r="K671" s="38"/>
      <c r="N671" s="38"/>
      <c r="Q671" s="38"/>
      <c r="S671" s="14"/>
    </row>
    <row r="672" spans="1:19" x14ac:dyDescent="0.2">
      <c r="A672" s="37"/>
      <c r="B672" s="8"/>
      <c r="E672" s="38"/>
      <c r="H672" s="38"/>
      <c r="K672" s="38"/>
      <c r="N672" s="38"/>
      <c r="Q672" s="38"/>
      <c r="S672" s="14"/>
    </row>
    <row r="673" spans="1:19" x14ac:dyDescent="0.2">
      <c r="A673" s="37"/>
      <c r="B673" s="8"/>
      <c r="E673" s="38"/>
      <c r="H673" s="38"/>
      <c r="K673" s="38"/>
      <c r="N673" s="38"/>
      <c r="Q673" s="38"/>
      <c r="S673" s="14"/>
    </row>
    <row r="674" spans="1:19" x14ac:dyDescent="0.2">
      <c r="A674" s="37"/>
      <c r="B674" s="8"/>
      <c r="E674" s="38"/>
      <c r="H674" s="38"/>
      <c r="K674" s="38"/>
      <c r="N674" s="38"/>
      <c r="Q674" s="38"/>
      <c r="S674" s="14"/>
    </row>
    <row r="675" spans="1:19" x14ac:dyDescent="0.2">
      <c r="A675" s="37"/>
      <c r="B675" s="8"/>
      <c r="E675" s="38"/>
      <c r="H675" s="38"/>
      <c r="K675" s="38"/>
      <c r="N675" s="38"/>
      <c r="Q675" s="38"/>
      <c r="S675" s="14"/>
    </row>
    <row r="676" spans="1:19" x14ac:dyDescent="0.2">
      <c r="A676" s="37"/>
      <c r="B676" s="8"/>
      <c r="E676" s="38"/>
      <c r="H676" s="38"/>
      <c r="K676" s="38"/>
      <c r="N676" s="38"/>
      <c r="Q676" s="38"/>
      <c r="S676" s="14"/>
    </row>
    <row r="677" spans="1:19" x14ac:dyDescent="0.2">
      <c r="A677" s="37"/>
      <c r="B677" s="8"/>
      <c r="E677" s="38"/>
      <c r="H677" s="38"/>
      <c r="K677" s="38"/>
      <c r="N677" s="38"/>
      <c r="Q677" s="38"/>
      <c r="S677" s="14"/>
    </row>
    <row r="678" spans="1:19" x14ac:dyDescent="0.2">
      <c r="A678" s="37"/>
      <c r="B678" s="8"/>
      <c r="E678" s="38"/>
      <c r="H678" s="38"/>
      <c r="K678" s="38"/>
      <c r="N678" s="38"/>
      <c r="Q678" s="38"/>
      <c r="S678" s="14"/>
    </row>
    <row r="679" spans="1:19" x14ac:dyDescent="0.2">
      <c r="A679" s="37"/>
      <c r="B679" s="8"/>
      <c r="E679" s="38"/>
      <c r="H679" s="38"/>
      <c r="K679" s="38"/>
      <c r="N679" s="38"/>
      <c r="Q679" s="38"/>
      <c r="S679" s="14"/>
    </row>
    <row r="680" spans="1:19" x14ac:dyDescent="0.2">
      <c r="A680" s="37"/>
      <c r="B680" s="8"/>
      <c r="E680" s="38"/>
      <c r="H680" s="38"/>
      <c r="K680" s="38"/>
      <c r="N680" s="38"/>
      <c r="Q680" s="38"/>
      <c r="S680" s="14"/>
    </row>
    <row r="681" spans="1:19" x14ac:dyDescent="0.2">
      <c r="A681" s="37"/>
      <c r="B681" s="8"/>
      <c r="E681" s="38"/>
      <c r="H681" s="38"/>
      <c r="K681" s="38"/>
      <c r="N681" s="38"/>
      <c r="Q681" s="38"/>
      <c r="S681" s="14"/>
    </row>
    <row r="682" spans="1:19" x14ac:dyDescent="0.2">
      <c r="A682" s="37"/>
      <c r="B682" s="8"/>
      <c r="E682" s="38"/>
      <c r="H682" s="38"/>
      <c r="K682" s="38"/>
      <c r="N682" s="38"/>
      <c r="Q682" s="38"/>
      <c r="S682" s="14"/>
    </row>
    <row r="683" spans="1:19" x14ac:dyDescent="0.2">
      <c r="A683" s="37"/>
      <c r="B683" s="8"/>
      <c r="E683" s="38"/>
      <c r="H683" s="38"/>
      <c r="K683" s="38"/>
      <c r="N683" s="38"/>
      <c r="Q683" s="38"/>
      <c r="S683" s="14"/>
    </row>
    <row r="684" spans="1:19" x14ac:dyDescent="0.2">
      <c r="A684" s="37"/>
      <c r="B684" s="8"/>
      <c r="E684" s="38"/>
      <c r="H684" s="38"/>
      <c r="K684" s="38"/>
      <c r="N684" s="38"/>
      <c r="Q684" s="38"/>
      <c r="S684" s="14"/>
    </row>
    <row r="685" spans="1:19" x14ac:dyDescent="0.2">
      <c r="A685" s="37"/>
      <c r="B685" s="8"/>
      <c r="E685" s="38"/>
      <c r="H685" s="38"/>
      <c r="K685" s="38"/>
      <c r="N685" s="38"/>
      <c r="Q685" s="38"/>
      <c r="S685" s="14"/>
    </row>
    <row r="686" spans="1:19" x14ac:dyDescent="0.2">
      <c r="A686" s="37"/>
      <c r="B686" s="8"/>
      <c r="E686" s="38"/>
      <c r="H686" s="38"/>
      <c r="K686" s="38"/>
      <c r="N686" s="38"/>
      <c r="Q686" s="38"/>
      <c r="S686" s="14"/>
    </row>
    <row r="687" spans="1:19" x14ac:dyDescent="0.2">
      <c r="A687" s="37"/>
      <c r="B687" s="8"/>
      <c r="E687" s="38"/>
      <c r="H687" s="38"/>
      <c r="K687" s="38"/>
      <c r="N687" s="38"/>
      <c r="Q687" s="38"/>
      <c r="S687" s="14"/>
    </row>
    <row r="688" spans="1:19" x14ac:dyDescent="0.2">
      <c r="A688" s="37"/>
      <c r="B688" s="8"/>
      <c r="E688" s="38"/>
      <c r="H688" s="38"/>
      <c r="K688" s="38"/>
      <c r="N688" s="38"/>
      <c r="Q688" s="38"/>
      <c r="S688" s="14"/>
    </row>
    <row r="689" spans="1:19" x14ac:dyDescent="0.2">
      <c r="A689" s="37"/>
      <c r="B689" s="8"/>
      <c r="E689" s="38"/>
      <c r="H689" s="38"/>
      <c r="K689" s="38"/>
      <c r="N689" s="38"/>
      <c r="Q689" s="38"/>
      <c r="S689" s="14"/>
    </row>
    <row r="690" spans="1:19" x14ac:dyDescent="0.2">
      <c r="A690" s="37"/>
      <c r="B690" s="8"/>
      <c r="E690" s="38"/>
      <c r="H690" s="38"/>
      <c r="K690" s="38"/>
      <c r="N690" s="38"/>
      <c r="Q690" s="38"/>
      <c r="S690" s="14"/>
    </row>
    <row r="691" spans="1:19" x14ac:dyDescent="0.2">
      <c r="A691" s="37"/>
      <c r="B691" s="8"/>
      <c r="E691" s="38"/>
      <c r="H691" s="38"/>
      <c r="K691" s="38"/>
      <c r="N691" s="38"/>
      <c r="Q691" s="38"/>
      <c r="S691" s="14"/>
    </row>
    <row r="692" spans="1:19" x14ac:dyDescent="0.2">
      <c r="A692" s="37"/>
      <c r="B692" s="8"/>
      <c r="E692" s="38"/>
      <c r="H692" s="38"/>
      <c r="K692" s="38"/>
      <c r="N692" s="38"/>
      <c r="Q692" s="38"/>
      <c r="S692" s="14"/>
    </row>
    <row r="693" spans="1:19" x14ac:dyDescent="0.2">
      <c r="A693" s="37"/>
      <c r="B693" s="8"/>
      <c r="E693" s="38"/>
      <c r="H693" s="38"/>
      <c r="K693" s="38"/>
      <c r="N693" s="38"/>
      <c r="Q693" s="38"/>
      <c r="S693" s="14"/>
    </row>
    <row r="694" spans="1:19" x14ac:dyDescent="0.2">
      <c r="A694" s="37"/>
      <c r="B694" s="8"/>
      <c r="E694" s="38"/>
      <c r="H694" s="38"/>
      <c r="K694" s="38"/>
      <c r="N694" s="38"/>
      <c r="Q694" s="38"/>
      <c r="S694" s="14"/>
    </row>
    <row r="695" spans="1:19" x14ac:dyDescent="0.2">
      <c r="A695" s="37"/>
      <c r="B695" s="8"/>
      <c r="E695" s="38"/>
      <c r="H695" s="38"/>
      <c r="K695" s="38"/>
      <c r="N695" s="38"/>
      <c r="Q695" s="38"/>
      <c r="S695" s="14"/>
    </row>
    <row r="696" spans="1:19" x14ac:dyDescent="0.2">
      <c r="A696" s="37"/>
      <c r="B696" s="8"/>
      <c r="E696" s="38"/>
      <c r="H696" s="38"/>
      <c r="K696" s="38"/>
      <c r="N696" s="38"/>
      <c r="Q696" s="38"/>
      <c r="S696" s="14"/>
    </row>
    <row r="697" spans="1:19" x14ac:dyDescent="0.2">
      <c r="A697" s="37"/>
      <c r="B697" s="8"/>
      <c r="E697" s="38"/>
      <c r="H697" s="38"/>
      <c r="K697" s="38"/>
      <c r="N697" s="38"/>
      <c r="Q697" s="38"/>
      <c r="S697" s="14"/>
    </row>
    <row r="698" spans="1:19" x14ac:dyDescent="0.2">
      <c r="A698" s="37"/>
      <c r="B698" s="8"/>
      <c r="E698" s="38"/>
      <c r="H698" s="38"/>
      <c r="K698" s="38"/>
      <c r="N698" s="38"/>
      <c r="Q698" s="38"/>
      <c r="S698" s="14"/>
    </row>
    <row r="699" spans="1:19" x14ac:dyDescent="0.2">
      <c r="A699" s="37"/>
      <c r="B699" s="8"/>
      <c r="E699" s="38"/>
      <c r="H699" s="38"/>
      <c r="K699" s="38"/>
      <c r="N699" s="38"/>
      <c r="Q699" s="38"/>
      <c r="S699" s="14"/>
    </row>
    <row r="700" spans="1:19" x14ac:dyDescent="0.2">
      <c r="A700" s="37"/>
      <c r="B700" s="8"/>
      <c r="E700" s="38"/>
      <c r="H700" s="38"/>
      <c r="K700" s="38"/>
      <c r="N700" s="38"/>
      <c r="Q700" s="38"/>
      <c r="S700" s="14"/>
    </row>
    <row r="701" spans="1:19" x14ac:dyDescent="0.2">
      <c r="A701" s="37"/>
      <c r="B701" s="8"/>
      <c r="E701" s="38"/>
      <c r="H701" s="38"/>
      <c r="K701" s="38"/>
      <c r="N701" s="38"/>
      <c r="Q701" s="38"/>
      <c r="S701" s="14"/>
    </row>
    <row r="702" spans="1:19" x14ac:dyDescent="0.2">
      <c r="A702" s="37"/>
      <c r="B702" s="8"/>
      <c r="E702" s="38"/>
      <c r="H702" s="38"/>
      <c r="K702" s="38"/>
      <c r="N702" s="38"/>
      <c r="Q702" s="38"/>
      <c r="S702" s="14"/>
    </row>
    <row r="703" spans="1:19" x14ac:dyDescent="0.2">
      <c r="A703" s="37"/>
      <c r="B703" s="8"/>
      <c r="E703" s="38"/>
      <c r="H703" s="38"/>
      <c r="K703" s="38"/>
      <c r="N703" s="38"/>
      <c r="Q703" s="38"/>
      <c r="S703" s="14"/>
    </row>
    <row r="704" spans="1:19" x14ac:dyDescent="0.2">
      <c r="A704" s="37"/>
      <c r="B704" s="8"/>
      <c r="E704" s="38"/>
      <c r="H704" s="38"/>
      <c r="K704" s="38"/>
      <c r="N704" s="38"/>
      <c r="Q704" s="38"/>
      <c r="S704" s="14"/>
    </row>
    <row r="705" spans="1:19" x14ac:dyDescent="0.2">
      <c r="A705" s="37"/>
      <c r="B705" s="8"/>
      <c r="E705" s="38"/>
      <c r="H705" s="38"/>
      <c r="K705" s="38"/>
      <c r="N705" s="38"/>
      <c r="Q705" s="38"/>
      <c r="S705" s="14"/>
    </row>
    <row r="706" spans="1:19" x14ac:dyDescent="0.2">
      <c r="A706" s="37"/>
      <c r="B706" s="8"/>
      <c r="E706" s="38"/>
      <c r="H706" s="38"/>
      <c r="K706" s="38"/>
      <c r="N706" s="38"/>
      <c r="Q706" s="38"/>
      <c r="S706" s="14"/>
    </row>
    <row r="707" spans="1:19" x14ac:dyDescent="0.2">
      <c r="A707" s="37"/>
      <c r="B707" s="8"/>
      <c r="E707" s="38"/>
      <c r="H707" s="38"/>
      <c r="K707" s="38"/>
      <c r="N707" s="38"/>
      <c r="Q707" s="38"/>
      <c r="S707" s="14"/>
    </row>
    <row r="708" spans="1:19" x14ac:dyDescent="0.2">
      <c r="A708" s="37"/>
      <c r="B708" s="8"/>
      <c r="E708" s="38"/>
      <c r="H708" s="38"/>
      <c r="K708" s="38"/>
      <c r="N708" s="38"/>
      <c r="Q708" s="38"/>
      <c r="S708" s="14"/>
    </row>
    <row r="709" spans="1:19" x14ac:dyDescent="0.2">
      <c r="A709" s="37"/>
      <c r="B709" s="8"/>
      <c r="E709" s="38"/>
      <c r="H709" s="38"/>
      <c r="K709" s="38"/>
      <c r="N709" s="38"/>
      <c r="Q709" s="38"/>
      <c r="S709" s="14"/>
    </row>
    <row r="710" spans="1:19" x14ac:dyDescent="0.2">
      <c r="A710" s="37"/>
      <c r="B710" s="8"/>
      <c r="E710" s="38"/>
      <c r="H710" s="38"/>
      <c r="K710" s="38"/>
      <c r="N710" s="38"/>
      <c r="Q710" s="38"/>
      <c r="S710" s="14"/>
    </row>
    <row r="711" spans="1:19" x14ac:dyDescent="0.2">
      <c r="A711" s="37"/>
      <c r="B711" s="8"/>
      <c r="E711" s="38"/>
      <c r="H711" s="38"/>
      <c r="K711" s="38"/>
      <c r="N711" s="38"/>
      <c r="Q711" s="38"/>
      <c r="S711" s="14"/>
    </row>
    <row r="712" spans="1:19" x14ac:dyDescent="0.2">
      <c r="A712" s="37"/>
      <c r="B712" s="8"/>
      <c r="E712" s="38"/>
      <c r="H712" s="38"/>
      <c r="K712" s="38"/>
      <c r="N712" s="38"/>
      <c r="Q712" s="38"/>
      <c r="S712" s="14"/>
    </row>
    <row r="713" spans="1:19" x14ac:dyDescent="0.2">
      <c r="A713" s="37"/>
      <c r="B713" s="8"/>
      <c r="E713" s="38"/>
      <c r="H713" s="38"/>
      <c r="K713" s="38"/>
      <c r="N713" s="38"/>
      <c r="Q713" s="38"/>
      <c r="S713" s="14"/>
    </row>
    <row r="714" spans="1:19" x14ac:dyDescent="0.2">
      <c r="A714" s="37"/>
      <c r="B714" s="8"/>
      <c r="E714" s="38"/>
      <c r="H714" s="38"/>
      <c r="K714" s="38"/>
      <c r="N714" s="38"/>
      <c r="Q714" s="38"/>
      <c r="S714" s="14"/>
    </row>
    <row r="715" spans="1:19" x14ac:dyDescent="0.2">
      <c r="A715" s="37"/>
      <c r="B715" s="8"/>
      <c r="E715" s="38"/>
      <c r="H715" s="38"/>
      <c r="K715" s="38"/>
      <c r="N715" s="38"/>
      <c r="Q715" s="38"/>
      <c r="S715" s="14"/>
    </row>
    <row r="716" spans="1:19" x14ac:dyDescent="0.2">
      <c r="A716" s="37"/>
      <c r="B716" s="8"/>
      <c r="E716" s="38"/>
      <c r="H716" s="38"/>
      <c r="K716" s="38"/>
      <c r="N716" s="38"/>
      <c r="Q716" s="38"/>
      <c r="S716" s="14"/>
    </row>
    <row r="717" spans="1:19" x14ac:dyDescent="0.2">
      <c r="A717" s="37"/>
      <c r="B717" s="8"/>
      <c r="E717" s="38"/>
      <c r="H717" s="38"/>
      <c r="K717" s="38"/>
      <c r="N717" s="38"/>
      <c r="Q717" s="38"/>
      <c r="S717" s="14"/>
    </row>
    <row r="718" spans="1:19" x14ac:dyDescent="0.2">
      <c r="A718" s="37"/>
      <c r="B718" s="8"/>
      <c r="E718" s="38"/>
      <c r="H718" s="38"/>
      <c r="K718" s="38"/>
      <c r="N718" s="38"/>
      <c r="Q718" s="38"/>
      <c r="S718" s="14"/>
    </row>
    <row r="719" spans="1:19" x14ac:dyDescent="0.2">
      <c r="A719" s="37"/>
      <c r="B719" s="8"/>
      <c r="E719" s="38"/>
      <c r="H719" s="38"/>
      <c r="K719" s="38"/>
      <c r="N719" s="38"/>
      <c r="Q719" s="38"/>
      <c r="S719" s="14"/>
    </row>
    <row r="720" spans="1:19" x14ac:dyDescent="0.2">
      <c r="A720" s="37"/>
      <c r="B720" s="8"/>
      <c r="E720" s="38"/>
      <c r="H720" s="38"/>
      <c r="K720" s="38"/>
      <c r="N720" s="38"/>
      <c r="Q720" s="38"/>
      <c r="S720" s="14"/>
    </row>
    <row r="721" spans="1:19" x14ac:dyDescent="0.2">
      <c r="A721" s="37"/>
      <c r="B721" s="8"/>
      <c r="E721" s="38"/>
      <c r="H721" s="38"/>
      <c r="K721" s="38"/>
      <c r="N721" s="38"/>
      <c r="Q721" s="38"/>
      <c r="S721" s="14"/>
    </row>
    <row r="722" spans="1:19" x14ac:dyDescent="0.2">
      <c r="A722" s="37"/>
      <c r="B722" s="8"/>
      <c r="E722" s="38"/>
      <c r="H722" s="38"/>
      <c r="K722" s="38"/>
      <c r="N722" s="38"/>
      <c r="Q722" s="38"/>
      <c r="S722" s="14"/>
    </row>
    <row r="723" spans="1:19" x14ac:dyDescent="0.2">
      <c r="A723" s="37"/>
      <c r="B723" s="8"/>
      <c r="E723" s="38"/>
      <c r="H723" s="38"/>
      <c r="K723" s="38"/>
      <c r="N723" s="38"/>
      <c r="Q723" s="38"/>
      <c r="S723" s="14"/>
    </row>
    <row r="724" spans="1:19" x14ac:dyDescent="0.2">
      <c r="A724" s="37"/>
      <c r="B724" s="8"/>
      <c r="E724" s="38"/>
      <c r="H724" s="38"/>
      <c r="K724" s="38"/>
      <c r="N724" s="38"/>
      <c r="Q724" s="38"/>
      <c r="S724" s="14"/>
    </row>
    <row r="725" spans="1:19" x14ac:dyDescent="0.2">
      <c r="A725" s="37"/>
      <c r="B725" s="8"/>
      <c r="E725" s="38"/>
      <c r="H725" s="38"/>
      <c r="K725" s="38"/>
      <c r="N725" s="38"/>
      <c r="Q725" s="38"/>
      <c r="S725" s="14"/>
    </row>
    <row r="726" spans="1:19" x14ac:dyDescent="0.2">
      <c r="A726" s="37"/>
      <c r="B726" s="8"/>
      <c r="E726" s="38"/>
      <c r="H726" s="38"/>
      <c r="K726" s="38"/>
      <c r="N726" s="38"/>
      <c r="Q726" s="38"/>
      <c r="S726" s="14"/>
    </row>
    <row r="727" spans="1:19" x14ac:dyDescent="0.2">
      <c r="A727" s="37"/>
      <c r="B727" s="8"/>
      <c r="E727" s="38"/>
      <c r="H727" s="38"/>
      <c r="K727" s="38"/>
      <c r="N727" s="38"/>
      <c r="Q727" s="38"/>
      <c r="S727" s="14"/>
    </row>
    <row r="728" spans="1:19" x14ac:dyDescent="0.2">
      <c r="A728" s="37"/>
      <c r="B728" s="8"/>
      <c r="E728" s="38"/>
      <c r="H728" s="38"/>
      <c r="K728" s="38"/>
      <c r="N728" s="38"/>
      <c r="Q728" s="38"/>
      <c r="S728" s="14"/>
    </row>
    <row r="729" spans="1:19" x14ac:dyDescent="0.2">
      <c r="A729" s="37"/>
      <c r="B729" s="8"/>
      <c r="E729" s="38"/>
      <c r="H729" s="38"/>
      <c r="K729" s="38"/>
      <c r="N729" s="38"/>
      <c r="Q729" s="38"/>
      <c r="S729" s="14"/>
    </row>
    <row r="730" spans="1:19" x14ac:dyDescent="0.2">
      <c r="A730" s="37"/>
      <c r="B730" s="8"/>
      <c r="E730" s="38"/>
      <c r="H730" s="38"/>
      <c r="K730" s="38"/>
      <c r="N730" s="38"/>
      <c r="Q730" s="38"/>
      <c r="S730" s="14"/>
    </row>
    <row r="731" spans="1:19" x14ac:dyDescent="0.2">
      <c r="A731" s="37"/>
      <c r="B731" s="8"/>
      <c r="E731" s="38"/>
      <c r="H731" s="38"/>
      <c r="K731" s="38"/>
      <c r="N731" s="38"/>
      <c r="Q731" s="38"/>
      <c r="S731" s="14"/>
    </row>
    <row r="732" spans="1:19" x14ac:dyDescent="0.2">
      <c r="A732" s="37"/>
      <c r="B732" s="8"/>
      <c r="E732" s="38"/>
      <c r="H732" s="38"/>
      <c r="K732" s="38"/>
      <c r="N732" s="38"/>
      <c r="Q732" s="38"/>
      <c r="S732" s="14"/>
    </row>
    <row r="733" spans="1:19" x14ac:dyDescent="0.2">
      <c r="A733" s="37"/>
      <c r="B733" s="8"/>
      <c r="E733" s="38"/>
      <c r="H733" s="38"/>
      <c r="K733" s="38"/>
      <c r="N733" s="38"/>
      <c r="Q733" s="38"/>
      <c r="S733" s="14"/>
    </row>
    <row r="734" spans="1:19" x14ac:dyDescent="0.2">
      <c r="A734" s="37"/>
      <c r="B734" s="8"/>
      <c r="E734" s="38"/>
      <c r="H734" s="38"/>
      <c r="K734" s="38"/>
      <c r="N734" s="38"/>
      <c r="Q734" s="38"/>
      <c r="S734" s="14"/>
    </row>
    <row r="735" spans="1:19" x14ac:dyDescent="0.2">
      <c r="A735" s="37"/>
      <c r="B735" s="8"/>
      <c r="E735" s="38"/>
      <c r="H735" s="38"/>
      <c r="K735" s="38"/>
      <c r="N735" s="38"/>
      <c r="Q735" s="38"/>
      <c r="S735" s="14"/>
    </row>
    <row r="736" spans="1:19" x14ac:dyDescent="0.2">
      <c r="A736" s="37"/>
      <c r="B736" s="8"/>
      <c r="E736" s="38"/>
      <c r="H736" s="38"/>
      <c r="K736" s="38"/>
      <c r="N736" s="38"/>
      <c r="Q736" s="38"/>
      <c r="S736" s="14"/>
    </row>
    <row r="737" spans="1:19" x14ac:dyDescent="0.2">
      <c r="A737" s="37"/>
      <c r="B737" s="8"/>
      <c r="E737" s="38"/>
      <c r="H737" s="38"/>
      <c r="K737" s="38"/>
      <c r="N737" s="38"/>
      <c r="Q737" s="38"/>
      <c r="S737" s="14"/>
    </row>
    <row r="738" spans="1:19" x14ac:dyDescent="0.2">
      <c r="A738" s="37"/>
      <c r="B738" s="8"/>
      <c r="E738" s="38"/>
      <c r="H738" s="38"/>
      <c r="K738" s="38"/>
      <c r="N738" s="38"/>
      <c r="Q738" s="38"/>
      <c r="S738" s="14"/>
    </row>
    <row r="739" spans="1:19" x14ac:dyDescent="0.2">
      <c r="A739" s="37"/>
      <c r="B739" s="8"/>
      <c r="E739" s="38"/>
      <c r="H739" s="38"/>
      <c r="K739" s="38"/>
      <c r="N739" s="38"/>
      <c r="Q739" s="38"/>
      <c r="S739" s="14"/>
    </row>
    <row r="740" spans="1:19" x14ac:dyDescent="0.2">
      <c r="A740" s="37"/>
      <c r="B740" s="8"/>
      <c r="E740" s="38"/>
      <c r="H740" s="38"/>
      <c r="K740" s="38"/>
      <c r="N740" s="38"/>
      <c r="Q740" s="38"/>
      <c r="S740" s="14"/>
    </row>
    <row r="741" spans="1:19" x14ac:dyDescent="0.2">
      <c r="A741" s="37"/>
      <c r="B741" s="8"/>
      <c r="E741" s="38"/>
      <c r="H741" s="38"/>
      <c r="K741" s="38"/>
      <c r="N741" s="38"/>
      <c r="Q741" s="38"/>
      <c r="S741" s="14"/>
    </row>
    <row r="742" spans="1:19" x14ac:dyDescent="0.2">
      <c r="A742" s="37"/>
      <c r="B742" s="8"/>
      <c r="E742" s="38"/>
      <c r="H742" s="38"/>
      <c r="K742" s="38"/>
      <c r="N742" s="38"/>
      <c r="Q742" s="38"/>
      <c r="S742" s="14"/>
    </row>
    <row r="743" spans="1:19" x14ac:dyDescent="0.2">
      <c r="A743" s="37"/>
      <c r="B743" s="8"/>
      <c r="E743" s="38"/>
      <c r="H743" s="38"/>
      <c r="K743" s="38"/>
      <c r="N743" s="38"/>
      <c r="Q743" s="38"/>
      <c r="S743" s="14"/>
    </row>
    <row r="744" spans="1:19" x14ac:dyDescent="0.2">
      <c r="A744" s="37"/>
      <c r="B744" s="8"/>
      <c r="E744" s="38"/>
      <c r="H744" s="38"/>
      <c r="K744" s="38"/>
      <c r="N744" s="38"/>
      <c r="Q744" s="38"/>
      <c r="S744" s="14"/>
    </row>
    <row r="745" spans="1:19" x14ac:dyDescent="0.2">
      <c r="A745" s="37"/>
      <c r="B745" s="8"/>
      <c r="E745" s="38"/>
      <c r="H745" s="38"/>
      <c r="K745" s="38"/>
      <c r="N745" s="38"/>
      <c r="Q745" s="38"/>
      <c r="S745" s="14"/>
    </row>
    <row r="746" spans="1:19" x14ac:dyDescent="0.2">
      <c r="A746" s="37"/>
      <c r="B746" s="8"/>
      <c r="E746" s="38"/>
      <c r="H746" s="38"/>
      <c r="K746" s="38"/>
      <c r="N746" s="38"/>
      <c r="Q746" s="38"/>
      <c r="S746" s="14"/>
    </row>
    <row r="747" spans="1:19" x14ac:dyDescent="0.2">
      <c r="A747" s="37"/>
      <c r="B747" s="8"/>
      <c r="E747" s="38"/>
      <c r="H747" s="38"/>
      <c r="K747" s="38"/>
      <c r="N747" s="38"/>
      <c r="Q747" s="38"/>
      <c r="S747" s="14"/>
    </row>
    <row r="748" spans="1:19" x14ac:dyDescent="0.2">
      <c r="A748" s="37"/>
      <c r="B748" s="8"/>
      <c r="E748" s="38"/>
      <c r="H748" s="38"/>
      <c r="K748" s="38"/>
      <c r="N748" s="38"/>
      <c r="Q748" s="38"/>
      <c r="S748" s="14"/>
    </row>
    <row r="749" spans="1:19" x14ac:dyDescent="0.2">
      <c r="A749" s="37"/>
      <c r="B749" s="8"/>
      <c r="E749" s="38"/>
      <c r="H749" s="38"/>
      <c r="K749" s="38"/>
      <c r="N749" s="38"/>
      <c r="Q749" s="38"/>
      <c r="S749" s="14"/>
    </row>
    <row r="750" spans="1:19" x14ac:dyDescent="0.2">
      <c r="A750" s="37"/>
      <c r="B750" s="8"/>
      <c r="E750" s="38"/>
      <c r="H750" s="38"/>
      <c r="K750" s="38"/>
      <c r="N750" s="38"/>
      <c r="Q750" s="38"/>
      <c r="S750" s="14"/>
    </row>
    <row r="751" spans="1:19" x14ac:dyDescent="0.2">
      <c r="A751" s="37"/>
      <c r="B751" s="8"/>
      <c r="E751" s="38"/>
      <c r="H751" s="38"/>
      <c r="K751" s="38"/>
      <c r="N751" s="38"/>
      <c r="Q751" s="38"/>
      <c r="S751" s="14"/>
    </row>
    <row r="752" spans="1:19" x14ac:dyDescent="0.2">
      <c r="A752" s="37"/>
      <c r="B752" s="8"/>
      <c r="E752" s="38"/>
      <c r="H752" s="38"/>
      <c r="K752" s="38"/>
      <c r="N752" s="38"/>
      <c r="Q752" s="38"/>
      <c r="S752" s="14"/>
    </row>
    <row r="753" spans="1:19" x14ac:dyDescent="0.2">
      <c r="A753" s="37"/>
      <c r="B753" s="8"/>
      <c r="E753" s="38"/>
      <c r="H753" s="38"/>
      <c r="K753" s="38"/>
      <c r="N753" s="38"/>
      <c r="Q753" s="38"/>
      <c r="S753" s="14"/>
    </row>
    <row r="754" spans="1:19" x14ac:dyDescent="0.2">
      <c r="A754" s="37"/>
      <c r="B754" s="8"/>
      <c r="E754" s="38"/>
      <c r="H754" s="38"/>
      <c r="K754" s="38"/>
      <c r="N754" s="38"/>
      <c r="Q754" s="38"/>
      <c r="S754" s="14"/>
    </row>
    <row r="755" spans="1:19" x14ac:dyDescent="0.2">
      <c r="A755" s="37"/>
      <c r="B755" s="8"/>
      <c r="E755" s="38"/>
      <c r="H755" s="38"/>
      <c r="K755" s="38"/>
      <c r="N755" s="38"/>
      <c r="Q755" s="38"/>
      <c r="S755" s="14"/>
    </row>
    <row r="756" spans="1:19" x14ac:dyDescent="0.2">
      <c r="A756" s="37"/>
      <c r="B756" s="8"/>
      <c r="E756" s="38"/>
      <c r="H756" s="38"/>
      <c r="K756" s="38"/>
      <c r="N756" s="38"/>
      <c r="Q756" s="38"/>
      <c r="S756" s="14"/>
    </row>
    <row r="757" spans="1:19" x14ac:dyDescent="0.2">
      <c r="A757" s="37"/>
      <c r="B757" s="8"/>
      <c r="E757" s="38"/>
      <c r="H757" s="38"/>
      <c r="K757" s="38"/>
      <c r="N757" s="38"/>
      <c r="Q757" s="38"/>
      <c r="S757" s="14"/>
    </row>
    <row r="758" spans="1:19" x14ac:dyDescent="0.2">
      <c r="A758" s="37"/>
      <c r="B758" s="8"/>
      <c r="E758" s="38"/>
      <c r="H758" s="38"/>
      <c r="K758" s="38"/>
      <c r="N758" s="38"/>
      <c r="Q758" s="38"/>
      <c r="S758" s="14"/>
    </row>
    <row r="759" spans="1:19" x14ac:dyDescent="0.2">
      <c r="A759" s="37"/>
      <c r="B759" s="8"/>
      <c r="E759" s="38"/>
      <c r="H759" s="38"/>
      <c r="K759" s="38"/>
      <c r="N759" s="38"/>
      <c r="Q759" s="38"/>
      <c r="S759" s="14"/>
    </row>
    <row r="760" spans="1:19" x14ac:dyDescent="0.2">
      <c r="A760" s="37"/>
      <c r="B760" s="8"/>
      <c r="E760" s="38"/>
      <c r="H760" s="38"/>
      <c r="K760" s="38"/>
      <c r="N760" s="38"/>
      <c r="Q760" s="38"/>
      <c r="S760" s="14"/>
    </row>
    <row r="761" spans="1:19" x14ac:dyDescent="0.2">
      <c r="A761" s="37"/>
      <c r="B761" s="8"/>
      <c r="E761" s="38"/>
      <c r="H761" s="38"/>
      <c r="K761" s="38"/>
      <c r="N761" s="38"/>
      <c r="Q761" s="38"/>
      <c r="S761" s="14"/>
    </row>
    <row r="762" spans="1:19" x14ac:dyDescent="0.2">
      <c r="A762" s="37"/>
      <c r="B762" s="8"/>
      <c r="E762" s="38"/>
      <c r="H762" s="38"/>
      <c r="K762" s="38"/>
      <c r="N762" s="38"/>
      <c r="Q762" s="38"/>
      <c r="S762" s="14"/>
    </row>
    <row r="763" spans="1:19" x14ac:dyDescent="0.2">
      <c r="A763" s="37"/>
      <c r="B763" s="8"/>
      <c r="E763" s="38"/>
      <c r="H763" s="38"/>
      <c r="K763" s="38"/>
      <c r="N763" s="38"/>
      <c r="Q763" s="38"/>
      <c r="S763" s="14"/>
    </row>
    <row r="764" spans="1:19" x14ac:dyDescent="0.2">
      <c r="A764" s="37"/>
      <c r="B764" s="8"/>
      <c r="E764" s="38"/>
      <c r="H764" s="38"/>
      <c r="K764" s="38"/>
      <c r="N764" s="38"/>
      <c r="Q764" s="38"/>
      <c r="S764" s="14"/>
    </row>
    <row r="765" spans="1:19" x14ac:dyDescent="0.2">
      <c r="A765" s="37"/>
      <c r="B765" s="8"/>
      <c r="E765" s="38"/>
      <c r="H765" s="38"/>
      <c r="K765" s="38"/>
      <c r="N765" s="38"/>
      <c r="Q765" s="38"/>
      <c r="S765" s="14"/>
    </row>
    <row r="766" spans="1:19" x14ac:dyDescent="0.2">
      <c r="A766" s="37"/>
      <c r="B766" s="8"/>
      <c r="E766" s="38"/>
      <c r="H766" s="38"/>
      <c r="K766" s="38"/>
      <c r="N766" s="38"/>
      <c r="Q766" s="38"/>
      <c r="S766" s="14"/>
    </row>
    <row r="767" spans="1:19" x14ac:dyDescent="0.2">
      <c r="A767" s="37"/>
      <c r="B767" s="8"/>
      <c r="E767" s="38"/>
      <c r="H767" s="38"/>
      <c r="K767" s="38"/>
      <c r="N767" s="38"/>
      <c r="Q767" s="38"/>
      <c r="S767" s="14"/>
    </row>
    <row r="768" spans="1:19" x14ac:dyDescent="0.2">
      <c r="A768" s="37"/>
      <c r="B768" s="8"/>
      <c r="E768" s="38"/>
      <c r="H768" s="38"/>
      <c r="K768" s="38"/>
      <c r="N768" s="38"/>
      <c r="Q768" s="38"/>
      <c r="S768" s="14"/>
    </row>
    <row r="769" spans="1:19" x14ac:dyDescent="0.2">
      <c r="A769" s="37"/>
      <c r="B769" s="8"/>
      <c r="E769" s="38"/>
      <c r="H769" s="38"/>
      <c r="K769" s="38"/>
      <c r="N769" s="38"/>
      <c r="Q769" s="38"/>
      <c r="S769" s="14"/>
    </row>
    <row r="770" spans="1:19" x14ac:dyDescent="0.2">
      <c r="A770" s="37"/>
      <c r="B770" s="8"/>
      <c r="E770" s="38"/>
      <c r="H770" s="38"/>
      <c r="K770" s="38"/>
      <c r="N770" s="38"/>
      <c r="Q770" s="38"/>
      <c r="S770" s="14"/>
    </row>
    <row r="771" spans="1:19" x14ac:dyDescent="0.2">
      <c r="A771" s="37"/>
      <c r="B771" s="8"/>
      <c r="E771" s="38"/>
      <c r="H771" s="38"/>
      <c r="K771" s="38"/>
      <c r="N771" s="38"/>
      <c r="Q771" s="38"/>
      <c r="S771" s="14"/>
    </row>
    <row r="772" spans="1:19" x14ac:dyDescent="0.2">
      <c r="A772" s="37"/>
      <c r="B772" s="8"/>
      <c r="E772" s="38"/>
      <c r="H772" s="38"/>
      <c r="K772" s="38"/>
      <c r="N772" s="38"/>
      <c r="Q772" s="38"/>
      <c r="S772" s="14"/>
    </row>
    <row r="773" spans="1:19" x14ac:dyDescent="0.2">
      <c r="A773" s="37"/>
      <c r="B773" s="8"/>
      <c r="E773" s="38"/>
      <c r="H773" s="38"/>
      <c r="K773" s="38"/>
      <c r="N773" s="38"/>
      <c r="Q773" s="38"/>
      <c r="S773" s="14"/>
    </row>
    <row r="774" spans="1:19" x14ac:dyDescent="0.2">
      <c r="A774" s="37"/>
      <c r="B774" s="8"/>
      <c r="E774" s="38"/>
      <c r="H774" s="38"/>
      <c r="K774" s="38"/>
      <c r="N774" s="38"/>
      <c r="Q774" s="38"/>
      <c r="S774" s="14"/>
    </row>
    <row r="775" spans="1:19" x14ac:dyDescent="0.2">
      <c r="A775" s="37"/>
      <c r="B775" s="8"/>
      <c r="E775" s="38"/>
      <c r="H775" s="38"/>
      <c r="K775" s="38"/>
      <c r="N775" s="38"/>
      <c r="Q775" s="38"/>
      <c r="S775" s="14"/>
    </row>
    <row r="776" spans="1:19" x14ac:dyDescent="0.2">
      <c r="A776" s="37"/>
      <c r="B776" s="8"/>
      <c r="E776" s="38"/>
      <c r="H776" s="38"/>
      <c r="K776" s="38"/>
      <c r="N776" s="38"/>
      <c r="Q776" s="38"/>
      <c r="S776" s="14"/>
    </row>
    <row r="777" spans="1:19" x14ac:dyDescent="0.2">
      <c r="A777" s="37"/>
      <c r="B777" s="8"/>
      <c r="E777" s="38"/>
      <c r="H777" s="38"/>
      <c r="K777" s="38"/>
      <c r="N777" s="38"/>
      <c r="Q777" s="38"/>
      <c r="S777" s="14"/>
    </row>
    <row r="778" spans="1:19" x14ac:dyDescent="0.2">
      <c r="A778" s="37"/>
      <c r="B778" s="8"/>
      <c r="E778" s="38"/>
      <c r="H778" s="38"/>
      <c r="K778" s="38"/>
      <c r="N778" s="38"/>
      <c r="Q778" s="38"/>
      <c r="S778" s="14"/>
    </row>
    <row r="779" spans="1:19" x14ac:dyDescent="0.2">
      <c r="A779" s="37"/>
      <c r="B779" s="8"/>
      <c r="E779" s="38"/>
      <c r="H779" s="38"/>
      <c r="K779" s="38"/>
      <c r="N779" s="38"/>
      <c r="Q779" s="38"/>
      <c r="S779" s="14"/>
    </row>
    <row r="780" spans="1:19" x14ac:dyDescent="0.2">
      <c r="A780" s="37"/>
      <c r="B780" s="8"/>
      <c r="E780" s="38"/>
      <c r="H780" s="38"/>
      <c r="K780" s="38"/>
      <c r="N780" s="38"/>
      <c r="Q780" s="38"/>
      <c r="S780" s="14"/>
    </row>
    <row r="781" spans="1:19" x14ac:dyDescent="0.2">
      <c r="A781" s="37"/>
      <c r="B781" s="8"/>
      <c r="E781" s="38"/>
      <c r="H781" s="38"/>
      <c r="K781" s="38"/>
      <c r="N781" s="38"/>
      <c r="Q781" s="38"/>
      <c r="S781" s="14"/>
    </row>
    <row r="782" spans="1:19" x14ac:dyDescent="0.2">
      <c r="A782" s="37"/>
      <c r="B782" s="8"/>
      <c r="E782" s="38"/>
      <c r="H782" s="38"/>
      <c r="K782" s="38"/>
      <c r="N782" s="38"/>
      <c r="Q782" s="38"/>
      <c r="S782" s="14"/>
    </row>
    <row r="783" spans="1:19" x14ac:dyDescent="0.2">
      <c r="A783" s="37"/>
      <c r="B783" s="8"/>
      <c r="E783" s="38"/>
      <c r="H783" s="38"/>
      <c r="K783" s="38"/>
      <c r="N783" s="38"/>
      <c r="Q783" s="38"/>
      <c r="S783" s="14"/>
    </row>
    <row r="784" spans="1:19" x14ac:dyDescent="0.2">
      <c r="A784" s="37"/>
      <c r="B784" s="8"/>
      <c r="E784" s="38"/>
      <c r="H784" s="38"/>
      <c r="K784" s="38"/>
      <c r="N784" s="38"/>
      <c r="Q784" s="38"/>
      <c r="S784" s="14"/>
    </row>
    <row r="785" spans="1:19" x14ac:dyDescent="0.2">
      <c r="A785" s="37"/>
      <c r="B785" s="8"/>
      <c r="E785" s="38"/>
      <c r="H785" s="38"/>
      <c r="K785" s="38"/>
      <c r="N785" s="38"/>
      <c r="Q785" s="38"/>
      <c r="S785" s="14"/>
    </row>
    <row r="786" spans="1:19" x14ac:dyDescent="0.2">
      <c r="A786" s="37"/>
      <c r="B786" s="8"/>
      <c r="E786" s="38"/>
      <c r="H786" s="38"/>
      <c r="K786" s="38"/>
      <c r="N786" s="38"/>
      <c r="Q786" s="38"/>
      <c r="S786" s="14"/>
    </row>
    <row r="787" spans="1:19" x14ac:dyDescent="0.2">
      <c r="A787" s="37"/>
      <c r="B787" s="8"/>
      <c r="E787" s="38"/>
      <c r="H787" s="38"/>
      <c r="K787" s="38"/>
      <c r="N787" s="38"/>
      <c r="Q787" s="38"/>
      <c r="S787" s="14"/>
    </row>
    <row r="788" spans="1:19" x14ac:dyDescent="0.2">
      <c r="A788" s="37"/>
      <c r="B788" s="8"/>
      <c r="E788" s="38"/>
      <c r="H788" s="38"/>
      <c r="K788" s="38"/>
      <c r="N788" s="38"/>
      <c r="Q788" s="38"/>
      <c r="S788" s="14"/>
    </row>
    <row r="789" spans="1:19" x14ac:dyDescent="0.2">
      <c r="A789" s="37"/>
      <c r="B789" s="8"/>
      <c r="E789" s="38"/>
      <c r="H789" s="38"/>
      <c r="K789" s="38"/>
      <c r="N789" s="38"/>
      <c r="Q789" s="38"/>
      <c r="S789" s="14"/>
    </row>
    <row r="790" spans="1:19" x14ac:dyDescent="0.2">
      <c r="A790" s="37"/>
      <c r="B790" s="8"/>
      <c r="E790" s="38"/>
      <c r="H790" s="38"/>
      <c r="K790" s="38"/>
      <c r="N790" s="38"/>
      <c r="Q790" s="38"/>
      <c r="S790" s="14"/>
    </row>
    <row r="791" spans="1:19" x14ac:dyDescent="0.2">
      <c r="A791" s="37"/>
      <c r="B791" s="8"/>
      <c r="E791" s="38"/>
      <c r="H791" s="38"/>
      <c r="K791" s="38"/>
      <c r="N791" s="38"/>
      <c r="Q791" s="38"/>
      <c r="S791" s="14"/>
    </row>
    <row r="792" spans="1:19" x14ac:dyDescent="0.2">
      <c r="A792" s="37"/>
      <c r="B792" s="8"/>
      <c r="E792" s="38"/>
      <c r="H792" s="38"/>
      <c r="K792" s="38"/>
      <c r="N792" s="38"/>
      <c r="Q792" s="38"/>
      <c r="S792" s="14"/>
    </row>
    <row r="793" spans="1:19" x14ac:dyDescent="0.2">
      <c r="A793" s="37"/>
      <c r="B793" s="8"/>
      <c r="E793" s="38"/>
      <c r="H793" s="38"/>
      <c r="K793" s="38"/>
      <c r="N793" s="38"/>
      <c r="Q793" s="38"/>
      <c r="S793" s="14"/>
    </row>
    <row r="794" spans="1:19" x14ac:dyDescent="0.2">
      <c r="A794" s="37"/>
      <c r="B794" s="8"/>
      <c r="E794" s="38"/>
      <c r="H794" s="38"/>
      <c r="K794" s="38"/>
      <c r="N794" s="38"/>
      <c r="Q794" s="38"/>
      <c r="S794" s="14"/>
    </row>
    <row r="795" spans="1:19" x14ac:dyDescent="0.2">
      <c r="A795" s="37"/>
      <c r="B795" s="8"/>
      <c r="E795" s="38"/>
      <c r="H795" s="38"/>
      <c r="K795" s="38"/>
      <c r="N795" s="38"/>
      <c r="Q795" s="38"/>
      <c r="S795" s="14"/>
    </row>
    <row r="796" spans="1:19" x14ac:dyDescent="0.2">
      <c r="A796" s="37"/>
      <c r="B796" s="8"/>
      <c r="E796" s="38"/>
      <c r="H796" s="38"/>
      <c r="K796" s="38"/>
      <c r="N796" s="38"/>
      <c r="Q796" s="38"/>
      <c r="S796" s="14"/>
    </row>
    <row r="797" spans="1:19" x14ac:dyDescent="0.2">
      <c r="A797" s="37"/>
      <c r="B797" s="8"/>
      <c r="E797" s="38"/>
      <c r="H797" s="38"/>
      <c r="K797" s="38"/>
      <c r="N797" s="38"/>
      <c r="Q797" s="38"/>
      <c r="S797" s="14"/>
    </row>
    <row r="798" spans="1:19" x14ac:dyDescent="0.2">
      <c r="A798" s="37"/>
      <c r="B798" s="8"/>
      <c r="E798" s="38"/>
      <c r="H798" s="38"/>
      <c r="K798" s="38"/>
      <c r="N798" s="38"/>
      <c r="Q798" s="38"/>
      <c r="S798" s="14"/>
    </row>
    <row r="799" spans="1:19" x14ac:dyDescent="0.2">
      <c r="A799" s="37"/>
      <c r="B799" s="8"/>
      <c r="E799" s="38"/>
      <c r="H799" s="38"/>
      <c r="K799" s="38"/>
      <c r="N799" s="38"/>
      <c r="Q799" s="38"/>
      <c r="S799" s="14"/>
    </row>
    <row r="800" spans="1:19" x14ac:dyDescent="0.2">
      <c r="A800" s="37"/>
      <c r="B800" s="8"/>
      <c r="E800" s="38"/>
      <c r="H800" s="38"/>
      <c r="K800" s="38"/>
      <c r="N800" s="38"/>
      <c r="Q800" s="38"/>
      <c r="S800" s="14"/>
    </row>
    <row r="801" spans="1:19" x14ac:dyDescent="0.2">
      <c r="A801" s="37"/>
      <c r="B801" s="8"/>
      <c r="E801" s="38"/>
      <c r="H801" s="38"/>
      <c r="K801" s="38"/>
      <c r="N801" s="38"/>
      <c r="Q801" s="38"/>
      <c r="S801" s="14"/>
    </row>
    <row r="802" spans="1:19" x14ac:dyDescent="0.2">
      <c r="A802" s="37"/>
      <c r="B802" s="8"/>
      <c r="E802" s="38"/>
      <c r="H802" s="38"/>
      <c r="K802" s="38"/>
      <c r="N802" s="38"/>
      <c r="Q802" s="38"/>
      <c r="S802" s="14"/>
    </row>
    <row r="803" spans="1:19" x14ac:dyDescent="0.2">
      <c r="A803" s="37"/>
      <c r="B803" s="8"/>
      <c r="E803" s="38"/>
      <c r="H803" s="38"/>
      <c r="K803" s="38"/>
      <c r="N803" s="38"/>
      <c r="Q803" s="38"/>
      <c r="S803" s="14"/>
    </row>
    <row r="804" spans="1:19" x14ac:dyDescent="0.2">
      <c r="A804" s="37"/>
      <c r="B804" s="8"/>
      <c r="E804" s="38"/>
      <c r="H804" s="38"/>
      <c r="K804" s="38"/>
      <c r="N804" s="38"/>
      <c r="Q804" s="38"/>
      <c r="S804" s="14"/>
    </row>
    <row r="805" spans="1:19" x14ac:dyDescent="0.2">
      <c r="A805" s="37"/>
      <c r="B805" s="8"/>
      <c r="E805" s="38"/>
      <c r="H805" s="38"/>
      <c r="K805" s="38"/>
      <c r="N805" s="38"/>
      <c r="Q805" s="38"/>
      <c r="S805" s="14"/>
    </row>
    <row r="806" spans="1:19" x14ac:dyDescent="0.2">
      <c r="A806" s="37"/>
      <c r="B806" s="8"/>
      <c r="E806" s="38"/>
      <c r="H806" s="38"/>
      <c r="K806" s="38"/>
      <c r="N806" s="38"/>
      <c r="Q806" s="38"/>
      <c r="S806" s="14"/>
    </row>
    <row r="807" spans="1:19" x14ac:dyDescent="0.2">
      <c r="A807" s="37"/>
      <c r="B807" s="8"/>
      <c r="E807" s="38"/>
      <c r="H807" s="38"/>
      <c r="K807" s="38"/>
      <c r="N807" s="38"/>
      <c r="Q807" s="38"/>
      <c r="S807" s="14"/>
    </row>
    <row r="808" spans="1:19" x14ac:dyDescent="0.2">
      <c r="A808" s="37"/>
      <c r="B808" s="8"/>
      <c r="E808" s="38"/>
      <c r="H808" s="38"/>
      <c r="K808" s="38"/>
      <c r="N808" s="38"/>
      <c r="Q808" s="38"/>
      <c r="S808" s="14"/>
    </row>
    <row r="809" spans="1:19" x14ac:dyDescent="0.2">
      <c r="A809" s="37"/>
      <c r="B809" s="8"/>
      <c r="E809" s="38"/>
      <c r="H809" s="38"/>
      <c r="K809" s="38"/>
      <c r="N809" s="38"/>
      <c r="Q809" s="38"/>
      <c r="S809" s="14"/>
    </row>
    <row r="810" spans="1:19" x14ac:dyDescent="0.2">
      <c r="A810" s="37"/>
      <c r="B810" s="8"/>
      <c r="E810" s="38"/>
      <c r="H810" s="38"/>
      <c r="K810" s="38"/>
      <c r="N810" s="38"/>
      <c r="Q810" s="38"/>
      <c r="S810" s="14"/>
    </row>
    <row r="811" spans="1:19" x14ac:dyDescent="0.2">
      <c r="A811" s="37"/>
      <c r="B811" s="8"/>
      <c r="E811" s="38"/>
      <c r="H811" s="38"/>
      <c r="K811" s="38"/>
      <c r="N811" s="38"/>
      <c r="Q811" s="38"/>
      <c r="S811" s="14"/>
    </row>
    <row r="812" spans="1:19" x14ac:dyDescent="0.2">
      <c r="A812" s="37"/>
      <c r="B812" s="8"/>
      <c r="E812" s="38"/>
      <c r="H812" s="38"/>
      <c r="K812" s="38"/>
      <c r="N812" s="38"/>
      <c r="Q812" s="38"/>
      <c r="S812" s="14"/>
    </row>
    <row r="813" spans="1:19" x14ac:dyDescent="0.2">
      <c r="A813" s="37"/>
      <c r="B813" s="8"/>
      <c r="E813" s="38"/>
      <c r="H813" s="38"/>
      <c r="K813" s="38"/>
      <c r="N813" s="38"/>
      <c r="Q813" s="38"/>
      <c r="S813" s="14"/>
    </row>
    <row r="814" spans="1:19" x14ac:dyDescent="0.2">
      <c r="A814" s="37"/>
      <c r="B814" s="8"/>
      <c r="E814" s="38"/>
      <c r="H814" s="38"/>
      <c r="K814" s="38"/>
      <c r="N814" s="38"/>
      <c r="Q814" s="38"/>
      <c r="S814" s="14"/>
    </row>
    <row r="815" spans="1:19" x14ac:dyDescent="0.2">
      <c r="A815" s="37"/>
      <c r="B815" s="8"/>
      <c r="E815" s="38"/>
      <c r="H815" s="38"/>
      <c r="K815" s="38"/>
      <c r="N815" s="38"/>
      <c r="Q815" s="38"/>
      <c r="S815" s="14"/>
    </row>
    <row r="816" spans="1:19" x14ac:dyDescent="0.2">
      <c r="A816" s="37"/>
      <c r="B816" s="8"/>
      <c r="E816" s="38"/>
      <c r="H816" s="38"/>
      <c r="K816" s="38"/>
      <c r="N816" s="38"/>
      <c r="Q816" s="38"/>
      <c r="S816" s="14"/>
    </row>
    <row r="817" spans="1:19" x14ac:dyDescent="0.2">
      <c r="A817" s="37"/>
      <c r="B817" s="8"/>
      <c r="E817" s="38"/>
      <c r="H817" s="38"/>
      <c r="K817" s="38"/>
      <c r="N817" s="38"/>
      <c r="Q817" s="38"/>
      <c r="S817" s="14"/>
    </row>
    <row r="818" spans="1:19" x14ac:dyDescent="0.2">
      <c r="A818" s="37"/>
      <c r="B818" s="8"/>
      <c r="E818" s="38"/>
      <c r="H818" s="38"/>
      <c r="K818" s="38"/>
      <c r="N818" s="38"/>
      <c r="Q818" s="38"/>
      <c r="S818" s="14"/>
    </row>
    <row r="819" spans="1:19" x14ac:dyDescent="0.2">
      <c r="A819" s="37"/>
      <c r="B819" s="8"/>
      <c r="E819" s="38"/>
      <c r="H819" s="38"/>
      <c r="K819" s="38"/>
      <c r="N819" s="38"/>
      <c r="Q819" s="38"/>
      <c r="S819" s="14"/>
    </row>
    <row r="820" spans="1:19" x14ac:dyDescent="0.2">
      <c r="A820" s="37"/>
      <c r="B820" s="8"/>
      <c r="E820" s="38"/>
      <c r="H820" s="38"/>
      <c r="K820" s="38"/>
      <c r="N820" s="38"/>
      <c r="Q820" s="38"/>
      <c r="S820" s="14"/>
    </row>
    <row r="821" spans="1:19" x14ac:dyDescent="0.2">
      <c r="A821" s="37"/>
      <c r="B821" s="8"/>
      <c r="E821" s="38"/>
      <c r="H821" s="38"/>
      <c r="K821" s="38"/>
      <c r="N821" s="38"/>
      <c r="Q821" s="38"/>
      <c r="S821" s="14"/>
    </row>
    <row r="822" spans="1:19" x14ac:dyDescent="0.2">
      <c r="A822" s="37"/>
      <c r="B822" s="8"/>
      <c r="E822" s="38"/>
      <c r="H822" s="38"/>
      <c r="K822" s="38"/>
      <c r="N822" s="38"/>
      <c r="Q822" s="38"/>
      <c r="S822" s="14"/>
    </row>
    <row r="823" spans="1:19" x14ac:dyDescent="0.2">
      <c r="A823" s="37"/>
      <c r="B823" s="8"/>
      <c r="E823" s="38"/>
      <c r="H823" s="38"/>
      <c r="K823" s="38"/>
      <c r="N823" s="38"/>
      <c r="Q823" s="38"/>
      <c r="S823" s="14"/>
    </row>
    <row r="824" spans="1:19" x14ac:dyDescent="0.2">
      <c r="A824" s="37"/>
      <c r="B824" s="8"/>
      <c r="E824" s="38"/>
      <c r="H824" s="38"/>
      <c r="K824" s="38"/>
      <c r="N824" s="38"/>
      <c r="Q824" s="38"/>
      <c r="S824" s="14"/>
    </row>
    <row r="825" spans="1:19" x14ac:dyDescent="0.2">
      <c r="A825" s="37"/>
      <c r="B825" s="8"/>
      <c r="E825" s="38"/>
      <c r="H825" s="38"/>
      <c r="K825" s="38"/>
      <c r="N825" s="38"/>
      <c r="Q825" s="38"/>
      <c r="S825" s="14"/>
    </row>
    <row r="826" spans="1:19" x14ac:dyDescent="0.2">
      <c r="A826" s="37"/>
      <c r="B826" s="8"/>
      <c r="E826" s="38"/>
      <c r="H826" s="38"/>
      <c r="K826" s="38"/>
      <c r="N826" s="38"/>
      <c r="Q826" s="38"/>
      <c r="S826" s="14"/>
    </row>
    <row r="827" spans="1:19" x14ac:dyDescent="0.2">
      <c r="A827" s="37"/>
      <c r="B827" s="8"/>
      <c r="E827" s="38"/>
      <c r="H827" s="38"/>
      <c r="K827" s="38"/>
      <c r="N827" s="38"/>
      <c r="Q827" s="38"/>
      <c r="S827" s="14"/>
    </row>
    <row r="828" spans="1:19" x14ac:dyDescent="0.2">
      <c r="A828" s="37"/>
      <c r="B828" s="8"/>
      <c r="E828" s="38"/>
      <c r="H828" s="38"/>
      <c r="K828" s="38"/>
      <c r="N828" s="38"/>
      <c r="Q828" s="38"/>
      <c r="S828" s="14"/>
    </row>
    <row r="829" spans="1:19" x14ac:dyDescent="0.2">
      <c r="A829" s="37"/>
      <c r="B829" s="8"/>
      <c r="E829" s="38"/>
      <c r="H829" s="38"/>
      <c r="K829" s="38"/>
      <c r="N829" s="38"/>
      <c r="Q829" s="38"/>
      <c r="S829" s="14"/>
    </row>
    <row r="830" spans="1:19" x14ac:dyDescent="0.2">
      <c r="A830" s="37"/>
      <c r="B830" s="8"/>
      <c r="E830" s="38"/>
      <c r="H830" s="38"/>
      <c r="K830" s="38"/>
      <c r="N830" s="38"/>
      <c r="Q830" s="38"/>
      <c r="S830" s="14"/>
    </row>
    <row r="831" spans="1:19" x14ac:dyDescent="0.2">
      <c r="A831" s="37"/>
      <c r="B831" s="8"/>
      <c r="E831" s="38"/>
      <c r="H831" s="38"/>
      <c r="K831" s="38"/>
      <c r="N831" s="38"/>
      <c r="Q831" s="38"/>
      <c r="S831" s="14"/>
    </row>
    <row r="832" spans="1:19" x14ac:dyDescent="0.2">
      <c r="A832" s="37"/>
      <c r="B832" s="8"/>
      <c r="E832" s="38"/>
      <c r="H832" s="38"/>
      <c r="K832" s="38"/>
      <c r="N832" s="38"/>
      <c r="Q832" s="38"/>
      <c r="S832" s="14"/>
    </row>
    <row r="833" spans="1:19" x14ac:dyDescent="0.2">
      <c r="A833" s="37"/>
      <c r="B833" s="8"/>
      <c r="E833" s="38"/>
      <c r="H833" s="38"/>
      <c r="K833" s="38"/>
      <c r="N833" s="38"/>
      <c r="Q833" s="38"/>
      <c r="S833" s="14"/>
    </row>
    <row r="834" spans="1:19" x14ac:dyDescent="0.2">
      <c r="A834" s="37"/>
      <c r="B834" s="8"/>
      <c r="E834" s="38"/>
      <c r="H834" s="38"/>
      <c r="K834" s="38"/>
      <c r="N834" s="38"/>
      <c r="Q834" s="38"/>
      <c r="S834" s="14"/>
    </row>
    <row r="835" spans="1:19" x14ac:dyDescent="0.2">
      <c r="A835" s="37"/>
      <c r="B835" s="8"/>
      <c r="E835" s="38"/>
      <c r="H835" s="38"/>
      <c r="K835" s="38"/>
      <c r="N835" s="38"/>
      <c r="Q835" s="38"/>
      <c r="S835" s="14"/>
    </row>
    <row r="836" spans="1:19" x14ac:dyDescent="0.2">
      <c r="A836" s="37"/>
      <c r="B836" s="8"/>
      <c r="E836" s="38"/>
      <c r="H836" s="38"/>
      <c r="K836" s="38"/>
      <c r="N836" s="38"/>
      <c r="Q836" s="38"/>
      <c r="S836" s="14"/>
    </row>
    <row r="837" spans="1:19" x14ac:dyDescent="0.2">
      <c r="A837" s="37"/>
      <c r="B837" s="8"/>
      <c r="E837" s="38"/>
      <c r="H837" s="38"/>
      <c r="K837" s="38"/>
      <c r="N837" s="38"/>
      <c r="Q837" s="38"/>
      <c r="S837" s="14"/>
    </row>
    <row r="838" spans="1:19" x14ac:dyDescent="0.2">
      <c r="A838" s="37"/>
      <c r="B838" s="8"/>
      <c r="E838" s="38"/>
      <c r="H838" s="38"/>
      <c r="K838" s="38"/>
      <c r="N838" s="38"/>
      <c r="Q838" s="38"/>
      <c r="S838" s="14"/>
    </row>
    <row r="839" spans="1:19" x14ac:dyDescent="0.2">
      <c r="A839" s="37"/>
      <c r="B839" s="8"/>
      <c r="E839" s="38"/>
      <c r="H839" s="38"/>
      <c r="K839" s="38"/>
      <c r="N839" s="38"/>
      <c r="Q839" s="38"/>
      <c r="S839" s="14"/>
    </row>
    <row r="840" spans="1:19" x14ac:dyDescent="0.2">
      <c r="A840" s="37"/>
      <c r="B840" s="8"/>
      <c r="E840" s="38"/>
      <c r="H840" s="38"/>
      <c r="K840" s="38"/>
      <c r="N840" s="38"/>
      <c r="Q840" s="38"/>
      <c r="S840" s="14"/>
    </row>
    <row r="841" spans="1:19" x14ac:dyDescent="0.2">
      <c r="A841" s="37"/>
      <c r="B841" s="8"/>
      <c r="E841" s="38"/>
      <c r="H841" s="38"/>
      <c r="K841" s="38"/>
      <c r="N841" s="38"/>
      <c r="Q841" s="38"/>
      <c r="S841" s="14"/>
    </row>
    <row r="842" spans="1:19" x14ac:dyDescent="0.2">
      <c r="A842" s="37"/>
      <c r="B842" s="8"/>
      <c r="E842" s="38"/>
      <c r="H842" s="38"/>
      <c r="K842" s="38"/>
      <c r="N842" s="38"/>
      <c r="Q842" s="38"/>
      <c r="S842" s="14"/>
    </row>
    <row r="843" spans="1:19" x14ac:dyDescent="0.2">
      <c r="A843" s="37"/>
      <c r="B843" s="8"/>
      <c r="E843" s="38"/>
      <c r="H843" s="38"/>
      <c r="K843" s="38"/>
      <c r="N843" s="38"/>
      <c r="Q843" s="38"/>
      <c r="S843" s="14"/>
    </row>
    <row r="844" spans="1:19" x14ac:dyDescent="0.2">
      <c r="A844" s="37"/>
      <c r="B844" s="8"/>
      <c r="E844" s="38"/>
      <c r="H844" s="38"/>
      <c r="K844" s="38"/>
      <c r="N844" s="38"/>
      <c r="Q844" s="38"/>
      <c r="S844" s="14"/>
    </row>
    <row r="845" spans="1:19" x14ac:dyDescent="0.2">
      <c r="A845" s="37"/>
      <c r="B845" s="8"/>
      <c r="E845" s="38"/>
      <c r="H845" s="38"/>
      <c r="K845" s="38"/>
      <c r="N845" s="38"/>
      <c r="Q845" s="38"/>
      <c r="S845" s="14"/>
    </row>
    <row r="846" spans="1:19" x14ac:dyDescent="0.2">
      <c r="A846" s="37"/>
      <c r="B846" s="8"/>
      <c r="E846" s="38"/>
      <c r="H846" s="38"/>
      <c r="K846" s="38"/>
      <c r="N846" s="38"/>
      <c r="Q846" s="38"/>
      <c r="S846" s="14"/>
    </row>
    <row r="847" spans="1:19" x14ac:dyDescent="0.2">
      <c r="A847" s="37"/>
      <c r="B847" s="8"/>
      <c r="E847" s="38"/>
      <c r="H847" s="38"/>
      <c r="K847" s="38"/>
      <c r="N847" s="38"/>
      <c r="Q847" s="38"/>
      <c r="S847" s="14"/>
    </row>
    <row r="848" spans="1:19" x14ac:dyDescent="0.2">
      <c r="A848" s="37"/>
      <c r="B848" s="8"/>
      <c r="E848" s="38"/>
      <c r="H848" s="38"/>
      <c r="K848" s="38"/>
      <c r="N848" s="38"/>
      <c r="Q848" s="38"/>
      <c r="S848" s="14"/>
    </row>
    <row r="849" spans="1:19" x14ac:dyDescent="0.2">
      <c r="A849" s="37"/>
      <c r="B849" s="8"/>
      <c r="E849" s="38"/>
      <c r="H849" s="38"/>
      <c r="K849" s="38"/>
      <c r="N849" s="38"/>
      <c r="Q849" s="38"/>
      <c r="S849" s="14"/>
    </row>
    <row r="850" spans="1:19" x14ac:dyDescent="0.2">
      <c r="A850" s="37"/>
      <c r="B850" s="8"/>
      <c r="E850" s="38"/>
      <c r="H850" s="38"/>
      <c r="K850" s="38"/>
      <c r="N850" s="38"/>
      <c r="Q850" s="38"/>
      <c r="S850" s="14"/>
    </row>
    <row r="851" spans="1:19" x14ac:dyDescent="0.2">
      <c r="A851" s="37"/>
      <c r="B851" s="8"/>
      <c r="E851" s="38"/>
      <c r="H851" s="38"/>
      <c r="K851" s="38"/>
      <c r="N851" s="38"/>
      <c r="Q851" s="38"/>
      <c r="S851" s="14"/>
    </row>
    <row r="852" spans="1:19" x14ac:dyDescent="0.2">
      <c r="A852" s="37"/>
      <c r="B852" s="8"/>
      <c r="E852" s="38"/>
      <c r="H852" s="38"/>
      <c r="K852" s="38"/>
      <c r="N852" s="38"/>
      <c r="Q852" s="38"/>
      <c r="S852" s="14"/>
    </row>
    <row r="853" spans="1:19" x14ac:dyDescent="0.2">
      <c r="A853" s="37"/>
      <c r="B853" s="8"/>
      <c r="E853" s="38"/>
      <c r="H853" s="38"/>
      <c r="K853" s="38"/>
      <c r="N853" s="38"/>
      <c r="Q853" s="38"/>
      <c r="S853" s="14"/>
    </row>
    <row r="854" spans="1:19" x14ac:dyDescent="0.2">
      <c r="A854" s="37"/>
      <c r="B854" s="8"/>
      <c r="E854" s="38"/>
      <c r="H854" s="38"/>
      <c r="K854" s="38"/>
      <c r="N854" s="38"/>
      <c r="Q854" s="38"/>
      <c r="S854" s="14"/>
    </row>
    <row r="855" spans="1:19" x14ac:dyDescent="0.2">
      <c r="A855" s="37"/>
      <c r="B855" s="8"/>
      <c r="E855" s="38"/>
      <c r="H855" s="38"/>
      <c r="K855" s="38"/>
      <c r="N855" s="38"/>
      <c r="Q855" s="38"/>
      <c r="S855" s="14"/>
    </row>
    <row r="856" spans="1:19" x14ac:dyDescent="0.2">
      <c r="A856" s="37"/>
      <c r="B856" s="8"/>
      <c r="E856" s="38"/>
      <c r="H856" s="38"/>
      <c r="K856" s="38"/>
      <c r="N856" s="38"/>
      <c r="Q856" s="38"/>
      <c r="S856" s="14"/>
    </row>
    <row r="857" spans="1:19" x14ac:dyDescent="0.2">
      <c r="A857" s="37"/>
      <c r="B857" s="8"/>
      <c r="E857" s="38"/>
      <c r="H857" s="38"/>
      <c r="K857" s="38"/>
      <c r="N857" s="38"/>
      <c r="Q857" s="38"/>
      <c r="S857" s="14"/>
    </row>
    <row r="858" spans="1:19" x14ac:dyDescent="0.2">
      <c r="A858" s="37"/>
      <c r="B858" s="8"/>
      <c r="E858" s="38"/>
      <c r="H858" s="38"/>
      <c r="K858" s="38"/>
      <c r="N858" s="38"/>
      <c r="Q858" s="38"/>
      <c r="S858" s="14"/>
    </row>
    <row r="859" spans="1:19" x14ac:dyDescent="0.2">
      <c r="A859" s="37"/>
      <c r="B859" s="8"/>
      <c r="E859" s="38"/>
      <c r="H859" s="38"/>
      <c r="K859" s="38"/>
      <c r="N859" s="38"/>
      <c r="Q859" s="38"/>
      <c r="S859" s="14"/>
    </row>
    <row r="860" spans="1:19" x14ac:dyDescent="0.2">
      <c r="A860" s="37"/>
      <c r="B860" s="8"/>
      <c r="E860" s="38"/>
      <c r="H860" s="38"/>
      <c r="K860" s="38"/>
      <c r="N860" s="38"/>
      <c r="Q860" s="38"/>
      <c r="S860" s="14"/>
    </row>
    <row r="861" spans="1:19" x14ac:dyDescent="0.2">
      <c r="A861" s="37"/>
      <c r="B861" s="8"/>
      <c r="E861" s="38"/>
      <c r="H861" s="38"/>
      <c r="K861" s="38"/>
      <c r="N861" s="38"/>
      <c r="Q861" s="38"/>
      <c r="S861" s="14"/>
    </row>
    <row r="862" spans="1:19" x14ac:dyDescent="0.2">
      <c r="A862" s="37"/>
      <c r="B862" s="8"/>
      <c r="E862" s="38"/>
      <c r="H862" s="38"/>
      <c r="K862" s="38"/>
      <c r="N862" s="38"/>
      <c r="Q862" s="38"/>
      <c r="S862" s="14"/>
    </row>
    <row r="863" spans="1:19" x14ac:dyDescent="0.2">
      <c r="A863" s="37"/>
      <c r="B863" s="8"/>
      <c r="E863" s="38"/>
      <c r="H863" s="38"/>
      <c r="K863" s="38"/>
      <c r="N863" s="38"/>
      <c r="Q863" s="38"/>
      <c r="S863" s="14"/>
    </row>
    <row r="864" spans="1:19" x14ac:dyDescent="0.2">
      <c r="A864" s="37"/>
      <c r="B864" s="8"/>
      <c r="E864" s="38"/>
      <c r="H864" s="38"/>
      <c r="K864" s="38"/>
      <c r="N864" s="38"/>
      <c r="Q864" s="38"/>
      <c r="S864" s="14"/>
    </row>
    <row r="865" spans="1:19" x14ac:dyDescent="0.2">
      <c r="A865" s="37"/>
      <c r="B865" s="8"/>
      <c r="E865" s="38"/>
      <c r="H865" s="38"/>
      <c r="K865" s="38"/>
      <c r="N865" s="38"/>
      <c r="Q865" s="38"/>
      <c r="S865" s="14"/>
    </row>
    <row r="866" spans="1:19" x14ac:dyDescent="0.2">
      <c r="A866" s="37"/>
      <c r="B866" s="8"/>
      <c r="E866" s="38"/>
      <c r="H866" s="38"/>
      <c r="K866" s="38"/>
      <c r="N866" s="38"/>
      <c r="Q866" s="38"/>
      <c r="S866" s="14"/>
    </row>
    <row r="867" spans="1:19" x14ac:dyDescent="0.2">
      <c r="A867" s="37"/>
      <c r="B867" s="8"/>
      <c r="E867" s="38"/>
      <c r="H867" s="38"/>
      <c r="K867" s="38"/>
      <c r="N867" s="38"/>
      <c r="Q867" s="38"/>
      <c r="S867" s="14"/>
    </row>
    <row r="868" spans="1:19" x14ac:dyDescent="0.2">
      <c r="A868" s="37"/>
      <c r="B868" s="8"/>
      <c r="E868" s="38"/>
      <c r="H868" s="38"/>
      <c r="K868" s="38"/>
      <c r="N868" s="38"/>
      <c r="Q868" s="38"/>
      <c r="S868" s="14"/>
    </row>
    <row r="869" spans="1:19" x14ac:dyDescent="0.2">
      <c r="A869" s="37"/>
      <c r="B869" s="8"/>
      <c r="E869" s="38"/>
      <c r="H869" s="38"/>
      <c r="K869" s="38"/>
      <c r="N869" s="38"/>
      <c r="Q869" s="38"/>
      <c r="S869" s="14"/>
    </row>
    <row r="870" spans="1:19" x14ac:dyDescent="0.2">
      <c r="A870" s="37"/>
      <c r="B870" s="8"/>
      <c r="E870" s="38"/>
      <c r="H870" s="38"/>
      <c r="K870" s="38"/>
      <c r="N870" s="38"/>
      <c r="Q870" s="38"/>
      <c r="S870" s="14"/>
    </row>
    <row r="871" spans="1:19" x14ac:dyDescent="0.2">
      <c r="A871" s="37"/>
      <c r="B871" s="8"/>
      <c r="E871" s="38"/>
      <c r="H871" s="38"/>
      <c r="K871" s="38"/>
      <c r="N871" s="38"/>
      <c r="Q871" s="38"/>
      <c r="S871" s="14"/>
    </row>
    <row r="872" spans="1:19" x14ac:dyDescent="0.2">
      <c r="A872" s="37"/>
      <c r="B872" s="8"/>
      <c r="E872" s="38"/>
      <c r="H872" s="38"/>
      <c r="K872" s="38"/>
      <c r="N872" s="38"/>
      <c r="Q872" s="38"/>
      <c r="S872" s="14"/>
    </row>
    <row r="873" spans="1:19" x14ac:dyDescent="0.2">
      <c r="A873" s="37"/>
      <c r="B873" s="8"/>
      <c r="E873" s="38"/>
      <c r="H873" s="38"/>
      <c r="K873" s="38"/>
      <c r="N873" s="38"/>
      <c r="Q873" s="38"/>
      <c r="S873" s="14"/>
    </row>
    <row r="874" spans="1:19" x14ac:dyDescent="0.2">
      <c r="A874" s="37"/>
      <c r="B874" s="8"/>
      <c r="E874" s="38"/>
      <c r="H874" s="38"/>
      <c r="K874" s="38"/>
      <c r="N874" s="38"/>
      <c r="Q874" s="38"/>
      <c r="S874" s="14"/>
    </row>
    <row r="875" spans="1:19" x14ac:dyDescent="0.2">
      <c r="A875" s="37"/>
      <c r="B875" s="8"/>
      <c r="E875" s="38"/>
      <c r="H875" s="38"/>
      <c r="K875" s="38"/>
      <c r="N875" s="38"/>
      <c r="Q875" s="38"/>
      <c r="S875" s="14"/>
    </row>
    <row r="876" spans="1:19" x14ac:dyDescent="0.2">
      <c r="A876" s="37"/>
      <c r="B876" s="8"/>
      <c r="E876" s="38"/>
      <c r="H876" s="38"/>
      <c r="K876" s="38"/>
      <c r="N876" s="38"/>
      <c r="Q876" s="38"/>
      <c r="S876" s="14"/>
    </row>
    <row r="877" spans="1:19" x14ac:dyDescent="0.2">
      <c r="A877" s="37"/>
      <c r="B877" s="8"/>
      <c r="E877" s="38"/>
      <c r="H877" s="38"/>
      <c r="K877" s="38"/>
      <c r="N877" s="38"/>
      <c r="Q877" s="38"/>
      <c r="S877" s="14"/>
    </row>
    <row r="878" spans="1:19" x14ac:dyDescent="0.2">
      <c r="A878" s="37"/>
      <c r="B878" s="8"/>
      <c r="E878" s="38"/>
      <c r="H878" s="38"/>
      <c r="K878" s="38"/>
      <c r="N878" s="38"/>
      <c r="Q878" s="38"/>
      <c r="S878" s="14"/>
    </row>
    <row r="879" spans="1:19" x14ac:dyDescent="0.2">
      <c r="A879" s="37"/>
      <c r="B879" s="8"/>
      <c r="E879" s="38"/>
      <c r="H879" s="38"/>
      <c r="K879" s="38"/>
      <c r="N879" s="38"/>
      <c r="Q879" s="38"/>
      <c r="S879" s="14"/>
    </row>
    <row r="880" spans="1:19" x14ac:dyDescent="0.2">
      <c r="A880" s="37"/>
      <c r="B880" s="8"/>
      <c r="E880" s="38"/>
      <c r="H880" s="38"/>
      <c r="K880" s="38"/>
      <c r="N880" s="38"/>
      <c r="Q880" s="38"/>
      <c r="S880" s="14"/>
    </row>
    <row r="881" spans="1:19" x14ac:dyDescent="0.2">
      <c r="A881" s="37"/>
      <c r="B881" s="8"/>
      <c r="E881" s="38"/>
      <c r="H881" s="38"/>
      <c r="K881" s="38"/>
      <c r="N881" s="38"/>
      <c r="Q881" s="38"/>
      <c r="S881" s="14"/>
    </row>
    <row r="882" spans="1:19" x14ac:dyDescent="0.2">
      <c r="A882" s="37"/>
      <c r="B882" s="8"/>
      <c r="E882" s="38"/>
      <c r="H882" s="38"/>
      <c r="K882" s="38"/>
      <c r="N882" s="38"/>
      <c r="Q882" s="38"/>
      <c r="S882" s="14"/>
    </row>
    <row r="883" spans="1:19" x14ac:dyDescent="0.2">
      <c r="A883" s="37"/>
      <c r="B883" s="8"/>
      <c r="E883" s="38"/>
      <c r="H883" s="38"/>
      <c r="K883" s="38"/>
      <c r="N883" s="38"/>
      <c r="Q883" s="38"/>
      <c r="S883" s="14"/>
    </row>
    <row r="884" spans="1:19" x14ac:dyDescent="0.2">
      <c r="A884" s="37"/>
      <c r="B884" s="8"/>
      <c r="E884" s="38"/>
      <c r="H884" s="38"/>
      <c r="K884" s="38"/>
      <c r="N884" s="38"/>
      <c r="Q884" s="38"/>
      <c r="S884" s="14"/>
    </row>
    <row r="885" spans="1:19" x14ac:dyDescent="0.2">
      <c r="A885" s="37"/>
      <c r="B885" s="8"/>
      <c r="E885" s="38"/>
      <c r="H885" s="38"/>
      <c r="K885" s="38"/>
      <c r="N885" s="38"/>
      <c r="Q885" s="38"/>
      <c r="S885" s="14"/>
    </row>
    <row r="886" spans="1:19" x14ac:dyDescent="0.2">
      <c r="A886" s="37"/>
      <c r="B886" s="8"/>
      <c r="E886" s="38"/>
      <c r="H886" s="38"/>
      <c r="K886" s="38"/>
      <c r="N886" s="38"/>
      <c r="Q886" s="38"/>
      <c r="S886" s="14"/>
    </row>
    <row r="887" spans="1:19" x14ac:dyDescent="0.2">
      <c r="A887" s="37"/>
      <c r="B887" s="8"/>
      <c r="E887" s="38"/>
      <c r="H887" s="38"/>
      <c r="K887" s="38"/>
      <c r="N887" s="38"/>
      <c r="Q887" s="38"/>
      <c r="S887" s="14"/>
    </row>
    <row r="888" spans="1:19" x14ac:dyDescent="0.2">
      <c r="A888" s="37"/>
      <c r="B888" s="8"/>
      <c r="E888" s="38"/>
      <c r="H888" s="38"/>
      <c r="K888" s="38"/>
      <c r="N888" s="38"/>
      <c r="Q888" s="38"/>
      <c r="S888" s="14"/>
    </row>
    <row r="889" spans="1:19" x14ac:dyDescent="0.2">
      <c r="A889" s="37"/>
      <c r="B889" s="8"/>
      <c r="E889" s="38"/>
      <c r="H889" s="38"/>
      <c r="K889" s="38"/>
      <c r="N889" s="38"/>
      <c r="Q889" s="38"/>
      <c r="S889" s="14"/>
    </row>
    <row r="890" spans="1:19" x14ac:dyDescent="0.2">
      <c r="A890" s="37"/>
      <c r="B890" s="8"/>
      <c r="E890" s="38"/>
      <c r="H890" s="38"/>
      <c r="K890" s="38"/>
      <c r="N890" s="38"/>
      <c r="Q890" s="38"/>
      <c r="S890" s="14"/>
    </row>
    <row r="891" spans="1:19" x14ac:dyDescent="0.2">
      <c r="A891" s="37"/>
      <c r="B891" s="8"/>
      <c r="E891" s="38"/>
      <c r="H891" s="38"/>
      <c r="K891" s="38"/>
      <c r="N891" s="38"/>
      <c r="Q891" s="38"/>
      <c r="S891" s="14"/>
    </row>
    <row r="892" spans="1:19" x14ac:dyDescent="0.2">
      <c r="A892" s="37"/>
      <c r="B892" s="8"/>
      <c r="E892" s="38"/>
      <c r="H892" s="38"/>
      <c r="K892" s="38"/>
      <c r="N892" s="38"/>
      <c r="Q892" s="38"/>
      <c r="S892" s="14"/>
    </row>
    <row r="893" spans="1:19" x14ac:dyDescent="0.2">
      <c r="A893" s="37"/>
      <c r="B893" s="8"/>
      <c r="E893" s="38"/>
      <c r="H893" s="38"/>
      <c r="K893" s="38"/>
      <c r="N893" s="38"/>
      <c r="Q893" s="38"/>
      <c r="S893" s="14"/>
    </row>
    <row r="894" spans="1:19" x14ac:dyDescent="0.2">
      <c r="A894" s="37"/>
      <c r="B894" s="8"/>
      <c r="E894" s="38"/>
      <c r="H894" s="38"/>
      <c r="K894" s="38"/>
      <c r="N894" s="38"/>
      <c r="Q894" s="38"/>
      <c r="S894" s="14"/>
    </row>
    <row r="895" spans="1:19" x14ac:dyDescent="0.2">
      <c r="A895" s="37"/>
      <c r="B895" s="8"/>
      <c r="E895" s="38"/>
      <c r="H895" s="38"/>
      <c r="K895" s="38"/>
      <c r="N895" s="38"/>
      <c r="Q895" s="38"/>
      <c r="S895" s="14"/>
    </row>
    <row r="896" spans="1:19" x14ac:dyDescent="0.2">
      <c r="A896" s="37"/>
      <c r="B896" s="8"/>
      <c r="E896" s="38"/>
      <c r="H896" s="38"/>
      <c r="K896" s="38"/>
      <c r="N896" s="38"/>
      <c r="Q896" s="38"/>
      <c r="S896" s="14"/>
    </row>
    <row r="897" spans="1:19" x14ac:dyDescent="0.2">
      <c r="A897" s="37"/>
      <c r="B897" s="8"/>
      <c r="E897" s="38"/>
      <c r="H897" s="38"/>
      <c r="K897" s="38"/>
      <c r="N897" s="38"/>
      <c r="Q897" s="38"/>
      <c r="S897" s="14"/>
    </row>
    <row r="898" spans="1:19" x14ac:dyDescent="0.2">
      <c r="A898" s="37"/>
      <c r="B898" s="8"/>
      <c r="E898" s="38"/>
      <c r="H898" s="38"/>
      <c r="K898" s="38"/>
      <c r="N898" s="38"/>
      <c r="Q898" s="38"/>
      <c r="S898" s="14"/>
    </row>
    <row r="899" spans="1:19" x14ac:dyDescent="0.2">
      <c r="A899" s="37"/>
      <c r="B899" s="8"/>
      <c r="E899" s="38"/>
      <c r="H899" s="38"/>
      <c r="K899" s="38"/>
      <c r="N899" s="38"/>
      <c r="Q899" s="38"/>
      <c r="S899" s="14"/>
    </row>
    <row r="900" spans="1:19" x14ac:dyDescent="0.2">
      <c r="A900" s="37"/>
      <c r="B900" s="8"/>
      <c r="E900" s="38"/>
      <c r="H900" s="38"/>
      <c r="K900" s="38"/>
      <c r="N900" s="38"/>
      <c r="Q900" s="38"/>
      <c r="S900" s="14"/>
    </row>
    <row r="901" spans="1:19" x14ac:dyDescent="0.2">
      <c r="A901" s="37"/>
      <c r="B901" s="8"/>
      <c r="E901" s="38"/>
      <c r="H901" s="38"/>
      <c r="K901" s="38"/>
      <c r="N901" s="38"/>
      <c r="Q901" s="38"/>
      <c r="S901" s="14"/>
    </row>
    <row r="902" spans="1:19" x14ac:dyDescent="0.2">
      <c r="A902" s="37"/>
      <c r="B902" s="8"/>
      <c r="E902" s="38"/>
      <c r="H902" s="38"/>
      <c r="K902" s="38"/>
      <c r="N902" s="38"/>
      <c r="Q902" s="38"/>
      <c r="S902" s="14"/>
    </row>
    <row r="903" spans="1:19" x14ac:dyDescent="0.2">
      <c r="A903" s="37"/>
      <c r="B903" s="8"/>
      <c r="E903" s="38"/>
      <c r="H903" s="38"/>
      <c r="K903" s="38"/>
      <c r="N903" s="38"/>
      <c r="Q903" s="38"/>
      <c r="S903" s="14"/>
    </row>
    <row r="904" spans="1:19" x14ac:dyDescent="0.2">
      <c r="A904" s="37"/>
      <c r="B904" s="8"/>
      <c r="E904" s="38"/>
      <c r="H904" s="38"/>
      <c r="K904" s="38"/>
      <c r="N904" s="38"/>
      <c r="Q904" s="38"/>
      <c r="S904" s="14"/>
    </row>
    <row r="905" spans="1:19" x14ac:dyDescent="0.2">
      <c r="A905" s="37"/>
      <c r="B905" s="8"/>
      <c r="E905" s="38"/>
      <c r="H905" s="38"/>
      <c r="K905" s="38"/>
      <c r="N905" s="38"/>
      <c r="Q905" s="38"/>
      <c r="S905" s="14"/>
    </row>
    <row r="906" spans="1:19" x14ac:dyDescent="0.2">
      <c r="A906" s="37"/>
      <c r="B906" s="8"/>
      <c r="E906" s="38"/>
      <c r="H906" s="38"/>
      <c r="K906" s="38"/>
      <c r="N906" s="38"/>
      <c r="Q906" s="38"/>
      <c r="S906" s="14"/>
    </row>
    <row r="907" spans="1:19" x14ac:dyDescent="0.2">
      <c r="A907" s="37"/>
      <c r="B907" s="8"/>
      <c r="E907" s="38"/>
      <c r="H907" s="38"/>
      <c r="K907" s="38"/>
      <c r="N907" s="38"/>
      <c r="Q907" s="38"/>
      <c r="S907" s="14"/>
    </row>
    <row r="908" spans="1:19" x14ac:dyDescent="0.2">
      <c r="A908" s="37"/>
      <c r="B908" s="8"/>
      <c r="E908" s="38"/>
      <c r="H908" s="38"/>
      <c r="K908" s="38"/>
      <c r="N908" s="38"/>
      <c r="Q908" s="38"/>
      <c r="S908" s="14"/>
    </row>
    <row r="909" spans="1:19" x14ac:dyDescent="0.2">
      <c r="A909" s="37"/>
      <c r="B909" s="8"/>
      <c r="E909" s="38"/>
      <c r="H909" s="38"/>
      <c r="K909" s="38"/>
      <c r="N909" s="38"/>
      <c r="Q909" s="38"/>
      <c r="S909" s="14"/>
    </row>
    <row r="910" spans="1:19" x14ac:dyDescent="0.2">
      <c r="A910" s="37"/>
      <c r="B910" s="8"/>
      <c r="E910" s="38"/>
      <c r="H910" s="38"/>
      <c r="K910" s="38"/>
      <c r="N910" s="38"/>
      <c r="Q910" s="38"/>
      <c r="S910" s="14"/>
    </row>
    <row r="911" spans="1:19" x14ac:dyDescent="0.2">
      <c r="A911" s="37"/>
      <c r="B911" s="8"/>
      <c r="E911" s="38"/>
      <c r="H911" s="38"/>
      <c r="K911" s="38"/>
      <c r="N911" s="38"/>
      <c r="Q911" s="38"/>
      <c r="S911" s="14"/>
    </row>
    <row r="912" spans="1:19" x14ac:dyDescent="0.2">
      <c r="A912" s="37"/>
      <c r="B912" s="8"/>
      <c r="E912" s="38"/>
      <c r="H912" s="38"/>
      <c r="K912" s="38"/>
      <c r="N912" s="38"/>
      <c r="Q912" s="38"/>
      <c r="S912" s="14"/>
    </row>
    <row r="913" spans="1:19" x14ac:dyDescent="0.2">
      <c r="A913" s="37"/>
      <c r="B913" s="8"/>
      <c r="E913" s="38"/>
      <c r="H913" s="38"/>
      <c r="K913" s="38"/>
      <c r="N913" s="38"/>
      <c r="Q913" s="38"/>
      <c r="S913" s="14"/>
    </row>
    <row r="914" spans="1:19" x14ac:dyDescent="0.2">
      <c r="A914" s="37"/>
      <c r="B914" s="8"/>
      <c r="E914" s="38"/>
      <c r="H914" s="38"/>
      <c r="K914" s="38"/>
      <c r="N914" s="38"/>
      <c r="Q914" s="38"/>
      <c r="S914" s="14"/>
    </row>
    <row r="915" spans="1:19" x14ac:dyDescent="0.2">
      <c r="A915" s="37"/>
      <c r="B915" s="8"/>
      <c r="E915" s="38"/>
      <c r="H915" s="38"/>
      <c r="K915" s="38"/>
      <c r="N915" s="38"/>
      <c r="Q915" s="38"/>
      <c r="S915" s="14"/>
    </row>
    <row r="916" spans="1:19" x14ac:dyDescent="0.2">
      <c r="A916" s="37"/>
      <c r="B916" s="8"/>
      <c r="E916" s="38"/>
      <c r="H916" s="38"/>
      <c r="K916" s="38"/>
      <c r="N916" s="38"/>
      <c r="Q916" s="38"/>
      <c r="S916" s="14"/>
    </row>
    <row r="917" spans="1:19" x14ac:dyDescent="0.2">
      <c r="A917" s="37"/>
      <c r="B917" s="8"/>
      <c r="E917" s="38"/>
      <c r="H917" s="38"/>
      <c r="K917" s="38"/>
      <c r="N917" s="38"/>
      <c r="Q917" s="38"/>
      <c r="S917" s="14"/>
    </row>
    <row r="918" spans="1:19" x14ac:dyDescent="0.2">
      <c r="A918" s="37"/>
      <c r="B918" s="8"/>
      <c r="E918" s="38"/>
      <c r="H918" s="38"/>
      <c r="K918" s="38"/>
      <c r="N918" s="38"/>
      <c r="Q918" s="38"/>
      <c r="S918" s="14"/>
    </row>
    <row r="919" spans="1:19" x14ac:dyDescent="0.2">
      <c r="A919" s="37"/>
      <c r="B919" s="8"/>
      <c r="E919" s="38"/>
      <c r="H919" s="38"/>
      <c r="K919" s="38"/>
      <c r="N919" s="38"/>
      <c r="Q919" s="38"/>
      <c r="S919" s="14"/>
    </row>
    <row r="920" spans="1:19" x14ac:dyDescent="0.2">
      <c r="A920" s="37"/>
      <c r="B920" s="8"/>
      <c r="E920" s="38"/>
      <c r="H920" s="38"/>
      <c r="K920" s="38"/>
      <c r="N920" s="38"/>
      <c r="Q920" s="38"/>
      <c r="S920" s="14"/>
    </row>
    <row r="921" spans="1:19" x14ac:dyDescent="0.2">
      <c r="A921" s="37"/>
      <c r="B921" s="8"/>
      <c r="E921" s="38"/>
      <c r="H921" s="38"/>
      <c r="K921" s="38"/>
      <c r="N921" s="38"/>
      <c r="Q921" s="38"/>
      <c r="S921" s="14"/>
    </row>
    <row r="922" spans="1:19" x14ac:dyDescent="0.2">
      <c r="A922" s="37"/>
      <c r="B922" s="8"/>
      <c r="E922" s="38"/>
      <c r="H922" s="38"/>
      <c r="K922" s="38"/>
      <c r="N922" s="38"/>
      <c r="Q922" s="38"/>
      <c r="S922" s="14"/>
    </row>
    <row r="923" spans="1:19" x14ac:dyDescent="0.2">
      <c r="A923" s="37"/>
      <c r="B923" s="8"/>
      <c r="E923" s="38"/>
      <c r="H923" s="38"/>
      <c r="K923" s="38"/>
      <c r="N923" s="38"/>
      <c r="Q923" s="38"/>
      <c r="S923" s="14"/>
    </row>
    <row r="924" spans="1:19" x14ac:dyDescent="0.2">
      <c r="A924" s="37"/>
      <c r="B924" s="8"/>
      <c r="E924" s="38"/>
      <c r="H924" s="38"/>
      <c r="K924" s="38"/>
      <c r="N924" s="38"/>
      <c r="Q924" s="38"/>
      <c r="S924" s="14"/>
    </row>
    <row r="925" spans="1:19" x14ac:dyDescent="0.2">
      <c r="A925" s="37"/>
      <c r="B925" s="8"/>
      <c r="E925" s="38"/>
      <c r="H925" s="38"/>
      <c r="K925" s="38"/>
      <c r="N925" s="38"/>
      <c r="Q925" s="38"/>
      <c r="S925" s="14"/>
    </row>
    <row r="926" spans="1:19" x14ac:dyDescent="0.2">
      <c r="A926" s="37"/>
      <c r="B926" s="8"/>
      <c r="E926" s="38"/>
      <c r="H926" s="38"/>
      <c r="K926" s="38"/>
      <c r="N926" s="38"/>
      <c r="Q926" s="38"/>
      <c r="S926" s="14"/>
    </row>
    <row r="927" spans="1:19" x14ac:dyDescent="0.2">
      <c r="A927" s="37"/>
      <c r="B927" s="8"/>
      <c r="E927" s="38"/>
      <c r="H927" s="38"/>
      <c r="K927" s="38"/>
      <c r="N927" s="38"/>
      <c r="Q927" s="38"/>
      <c r="S927" s="14"/>
    </row>
    <row r="928" spans="1:19" x14ac:dyDescent="0.2">
      <c r="A928" s="37"/>
      <c r="B928" s="8"/>
      <c r="E928" s="38"/>
      <c r="H928" s="38"/>
      <c r="K928" s="38"/>
      <c r="N928" s="38"/>
      <c r="Q928" s="38"/>
      <c r="S928" s="14"/>
    </row>
    <row r="929" spans="1:19" x14ac:dyDescent="0.2">
      <c r="A929" s="37"/>
      <c r="B929" s="8"/>
      <c r="E929" s="38"/>
      <c r="H929" s="38"/>
      <c r="K929" s="38"/>
      <c r="N929" s="38"/>
      <c r="Q929" s="38"/>
      <c r="S929" s="14"/>
    </row>
    <row r="930" spans="1:19" x14ac:dyDescent="0.2">
      <c r="A930" s="37"/>
      <c r="B930" s="8"/>
      <c r="E930" s="38"/>
      <c r="H930" s="38"/>
      <c r="K930" s="38"/>
      <c r="N930" s="38"/>
      <c r="Q930" s="38"/>
      <c r="S930" s="14"/>
    </row>
    <row r="931" spans="1:19" x14ac:dyDescent="0.2">
      <c r="A931" s="37"/>
      <c r="B931" s="8"/>
      <c r="E931" s="38"/>
      <c r="H931" s="38"/>
      <c r="K931" s="38"/>
      <c r="N931" s="38"/>
      <c r="Q931" s="38"/>
      <c r="S931" s="14"/>
    </row>
    <row r="932" spans="1:19" x14ac:dyDescent="0.2">
      <c r="A932" s="37"/>
      <c r="B932" s="8"/>
      <c r="E932" s="38"/>
      <c r="H932" s="38"/>
      <c r="K932" s="38"/>
      <c r="N932" s="38"/>
      <c r="Q932" s="38"/>
      <c r="S932" s="14"/>
    </row>
    <row r="933" spans="1:19" x14ac:dyDescent="0.2">
      <c r="A933" s="37"/>
      <c r="B933" s="8"/>
      <c r="E933" s="38"/>
      <c r="H933" s="38"/>
      <c r="K933" s="38"/>
      <c r="N933" s="38"/>
      <c r="Q933" s="38"/>
      <c r="S933" s="14"/>
    </row>
    <row r="934" spans="1:19" x14ac:dyDescent="0.2">
      <c r="A934" s="37"/>
      <c r="B934" s="8"/>
      <c r="E934" s="38"/>
      <c r="H934" s="38"/>
      <c r="K934" s="38"/>
      <c r="N934" s="38"/>
      <c r="Q934" s="38"/>
      <c r="S934" s="14"/>
    </row>
    <row r="935" spans="1:19" x14ac:dyDescent="0.2">
      <c r="A935" s="37"/>
      <c r="B935" s="8"/>
      <c r="E935" s="38"/>
      <c r="H935" s="38"/>
      <c r="K935" s="38"/>
      <c r="N935" s="38"/>
      <c r="Q935" s="38"/>
      <c r="S935" s="14"/>
    </row>
    <row r="936" spans="1:19" x14ac:dyDescent="0.2">
      <c r="A936" s="37"/>
      <c r="B936" s="8"/>
      <c r="E936" s="38"/>
      <c r="H936" s="38"/>
      <c r="K936" s="38"/>
      <c r="N936" s="38"/>
      <c r="Q936" s="38"/>
      <c r="S936" s="14"/>
    </row>
    <row r="937" spans="1:19" x14ac:dyDescent="0.2">
      <c r="A937" s="37"/>
      <c r="B937" s="8"/>
      <c r="E937" s="38"/>
      <c r="H937" s="38"/>
      <c r="K937" s="38"/>
      <c r="N937" s="38"/>
      <c r="Q937" s="38"/>
      <c r="S937" s="14"/>
    </row>
    <row r="938" spans="1:19" x14ac:dyDescent="0.2">
      <c r="A938" s="37"/>
      <c r="B938" s="8"/>
      <c r="E938" s="38"/>
      <c r="H938" s="38"/>
      <c r="K938" s="38"/>
      <c r="N938" s="38"/>
      <c r="Q938" s="38"/>
      <c r="S938" s="14"/>
    </row>
    <row r="939" spans="1:19" x14ac:dyDescent="0.2">
      <c r="A939" s="37"/>
      <c r="B939" s="8"/>
      <c r="E939" s="38"/>
      <c r="H939" s="38"/>
      <c r="K939" s="38"/>
      <c r="N939" s="38"/>
      <c r="Q939" s="38"/>
      <c r="S939" s="14"/>
    </row>
    <row r="940" spans="1:19" x14ac:dyDescent="0.2">
      <c r="A940" s="37"/>
      <c r="B940" s="8"/>
      <c r="E940" s="38"/>
      <c r="H940" s="38"/>
      <c r="K940" s="38"/>
      <c r="N940" s="38"/>
      <c r="Q940" s="38"/>
      <c r="S940" s="14"/>
    </row>
    <row r="941" spans="1:19" x14ac:dyDescent="0.2">
      <c r="A941" s="37"/>
      <c r="B941" s="8"/>
      <c r="E941" s="38"/>
      <c r="H941" s="38"/>
      <c r="K941" s="38"/>
      <c r="N941" s="38"/>
      <c r="Q941" s="38"/>
      <c r="S941" s="14"/>
    </row>
    <row r="942" spans="1:19" x14ac:dyDescent="0.2">
      <c r="A942" s="37"/>
      <c r="B942" s="8"/>
      <c r="E942" s="38"/>
      <c r="H942" s="38"/>
      <c r="K942" s="38"/>
      <c r="N942" s="38"/>
      <c r="Q942" s="38"/>
      <c r="S942" s="14"/>
    </row>
    <row r="943" spans="1:19" x14ac:dyDescent="0.2">
      <c r="A943" s="37"/>
      <c r="B943" s="8"/>
      <c r="E943" s="38"/>
      <c r="H943" s="38"/>
      <c r="K943" s="38"/>
      <c r="N943" s="38"/>
      <c r="Q943" s="38"/>
      <c r="S943" s="14"/>
    </row>
    <row r="944" spans="1:19" x14ac:dyDescent="0.2">
      <c r="A944" s="37"/>
      <c r="B944" s="8"/>
      <c r="E944" s="38"/>
      <c r="H944" s="38"/>
      <c r="K944" s="38"/>
      <c r="N944" s="38"/>
      <c r="Q944" s="38"/>
      <c r="S944" s="14"/>
    </row>
    <row r="945" spans="1:19" x14ac:dyDescent="0.2">
      <c r="A945" s="37"/>
      <c r="B945" s="8"/>
      <c r="E945" s="38"/>
      <c r="H945" s="38"/>
      <c r="K945" s="38"/>
      <c r="N945" s="38"/>
      <c r="Q945" s="38"/>
      <c r="S945" s="14"/>
    </row>
    <row r="946" spans="1:19" x14ac:dyDescent="0.2">
      <c r="A946" s="37"/>
      <c r="B946" s="8"/>
      <c r="E946" s="38"/>
      <c r="H946" s="38"/>
      <c r="K946" s="38"/>
      <c r="N946" s="38"/>
      <c r="Q946" s="38"/>
      <c r="S946" s="14"/>
    </row>
    <row r="947" spans="1:19" x14ac:dyDescent="0.2">
      <c r="A947" s="37"/>
      <c r="B947" s="8"/>
      <c r="E947" s="38"/>
      <c r="H947" s="38"/>
      <c r="K947" s="38"/>
      <c r="N947" s="38"/>
      <c r="Q947" s="38"/>
      <c r="S947" s="14"/>
    </row>
    <row r="948" spans="1:19" x14ac:dyDescent="0.2">
      <c r="A948" s="37"/>
      <c r="B948" s="8"/>
      <c r="E948" s="38"/>
      <c r="H948" s="38"/>
      <c r="K948" s="38"/>
      <c r="N948" s="38"/>
      <c r="Q948" s="38"/>
      <c r="S948" s="14"/>
    </row>
    <row r="949" spans="1:19" x14ac:dyDescent="0.2">
      <c r="A949" s="37"/>
      <c r="B949" s="8"/>
      <c r="E949" s="38"/>
      <c r="H949" s="38"/>
      <c r="K949" s="38"/>
      <c r="N949" s="38"/>
      <c r="Q949" s="38"/>
      <c r="S949" s="14"/>
    </row>
    <row r="950" spans="1:19" x14ac:dyDescent="0.2">
      <c r="A950" s="37"/>
      <c r="B950" s="8"/>
      <c r="E950" s="38"/>
      <c r="H950" s="38"/>
      <c r="K950" s="38"/>
      <c r="N950" s="38"/>
      <c r="Q950" s="38"/>
      <c r="S950" s="14"/>
    </row>
    <row r="951" spans="1:19" x14ac:dyDescent="0.2">
      <c r="A951" s="37"/>
      <c r="B951" s="8"/>
      <c r="E951" s="38"/>
      <c r="H951" s="38"/>
      <c r="K951" s="38"/>
      <c r="N951" s="38"/>
      <c r="Q951" s="38"/>
      <c r="S951" s="14"/>
    </row>
    <row r="952" spans="1:19" x14ac:dyDescent="0.2">
      <c r="A952" s="37"/>
      <c r="B952" s="8"/>
      <c r="E952" s="38"/>
      <c r="H952" s="38"/>
      <c r="K952" s="38"/>
      <c r="N952" s="38"/>
      <c r="Q952" s="38"/>
      <c r="S952" s="14"/>
    </row>
    <row r="953" spans="1:19" x14ac:dyDescent="0.2">
      <c r="A953" s="37"/>
      <c r="B953" s="8"/>
      <c r="E953" s="38"/>
      <c r="H953" s="38"/>
      <c r="K953" s="38"/>
      <c r="N953" s="38"/>
      <c r="Q953" s="38"/>
      <c r="S953" s="14"/>
    </row>
    <row r="954" spans="1:19" x14ac:dyDescent="0.2">
      <c r="A954" s="37"/>
      <c r="B954" s="8"/>
      <c r="E954" s="38"/>
      <c r="H954" s="38"/>
      <c r="K954" s="38"/>
      <c r="N954" s="38"/>
      <c r="Q954" s="38"/>
      <c r="S954" s="14"/>
    </row>
    <row r="955" spans="1:19" x14ac:dyDescent="0.2">
      <c r="A955" s="37"/>
      <c r="B955" s="8"/>
      <c r="E955" s="38"/>
      <c r="H955" s="38"/>
      <c r="K955" s="38"/>
      <c r="N955" s="38"/>
      <c r="Q955" s="38"/>
      <c r="S955" s="14"/>
    </row>
    <row r="956" spans="1:19" x14ac:dyDescent="0.2">
      <c r="A956" s="37"/>
      <c r="B956" s="8"/>
      <c r="E956" s="38"/>
      <c r="H956" s="38"/>
      <c r="K956" s="38"/>
      <c r="N956" s="38"/>
      <c r="Q956" s="38"/>
      <c r="S956" s="14"/>
    </row>
    <row r="957" spans="1:19" x14ac:dyDescent="0.2">
      <c r="A957" s="37"/>
      <c r="B957" s="8"/>
      <c r="E957" s="38"/>
      <c r="H957" s="38"/>
      <c r="K957" s="38"/>
      <c r="N957" s="38"/>
      <c r="Q957" s="38"/>
      <c r="S957" s="14"/>
    </row>
    <row r="958" spans="1:19" x14ac:dyDescent="0.2">
      <c r="A958" s="37"/>
      <c r="B958" s="8"/>
      <c r="E958" s="38"/>
      <c r="H958" s="38"/>
      <c r="K958" s="38"/>
      <c r="N958" s="38"/>
      <c r="Q958" s="38"/>
      <c r="S958" s="14"/>
    </row>
    <row r="959" spans="1:19" x14ac:dyDescent="0.2">
      <c r="A959" s="37"/>
      <c r="B959" s="8"/>
      <c r="E959" s="38"/>
      <c r="H959" s="38"/>
      <c r="K959" s="38"/>
      <c r="N959" s="38"/>
      <c r="Q959" s="38"/>
      <c r="S959" s="14"/>
    </row>
    <row r="960" spans="1:19" x14ac:dyDescent="0.2">
      <c r="A960" s="37"/>
      <c r="B960" s="8"/>
      <c r="E960" s="38"/>
      <c r="H960" s="38"/>
      <c r="K960" s="38"/>
      <c r="N960" s="38"/>
      <c r="Q960" s="38"/>
      <c r="S960" s="14"/>
    </row>
    <row r="961" spans="1:19" x14ac:dyDescent="0.2">
      <c r="A961" s="37"/>
      <c r="B961" s="8"/>
      <c r="E961" s="38"/>
      <c r="H961" s="38"/>
      <c r="K961" s="38"/>
      <c r="N961" s="38"/>
      <c r="Q961" s="38"/>
      <c r="S961" s="14"/>
    </row>
    <row r="962" spans="1:19" x14ac:dyDescent="0.2">
      <c r="A962" s="37"/>
      <c r="B962" s="8"/>
      <c r="E962" s="38"/>
      <c r="H962" s="38"/>
      <c r="K962" s="38"/>
      <c r="N962" s="38"/>
      <c r="Q962" s="38"/>
      <c r="S962" s="14"/>
    </row>
    <row r="963" spans="1:19" x14ac:dyDescent="0.2">
      <c r="A963" s="37"/>
      <c r="B963" s="8"/>
      <c r="E963" s="38"/>
      <c r="H963" s="38"/>
      <c r="K963" s="38"/>
      <c r="N963" s="38"/>
      <c r="Q963" s="38"/>
      <c r="S963" s="14"/>
    </row>
    <row r="964" spans="1:19" x14ac:dyDescent="0.2">
      <c r="A964" s="37"/>
      <c r="B964" s="8"/>
      <c r="E964" s="38"/>
      <c r="H964" s="38"/>
      <c r="K964" s="38"/>
      <c r="N964" s="38"/>
      <c r="Q964" s="38"/>
      <c r="S964" s="14"/>
    </row>
    <row r="965" spans="1:19" x14ac:dyDescent="0.2">
      <c r="A965" s="37"/>
      <c r="B965" s="8"/>
      <c r="E965" s="38"/>
      <c r="H965" s="38"/>
      <c r="K965" s="38"/>
      <c r="N965" s="38"/>
      <c r="Q965" s="38"/>
      <c r="S965" s="14"/>
    </row>
    <row r="966" spans="1:19" x14ac:dyDescent="0.2">
      <c r="A966" s="37"/>
      <c r="B966" s="8"/>
      <c r="E966" s="38"/>
      <c r="H966" s="38"/>
      <c r="K966" s="38"/>
      <c r="N966" s="38"/>
      <c r="Q966" s="38"/>
      <c r="S966" s="14"/>
    </row>
    <row r="967" spans="1:19" x14ac:dyDescent="0.2">
      <c r="A967" s="37"/>
      <c r="B967" s="8"/>
      <c r="E967" s="38"/>
      <c r="H967" s="38"/>
      <c r="K967" s="38"/>
      <c r="N967" s="38"/>
      <c r="Q967" s="38"/>
      <c r="S967" s="14"/>
    </row>
    <row r="968" spans="1:19" x14ac:dyDescent="0.2">
      <c r="A968" s="37"/>
      <c r="B968" s="8"/>
      <c r="E968" s="38"/>
      <c r="H968" s="38"/>
      <c r="K968" s="38"/>
      <c r="N968" s="38"/>
      <c r="Q968" s="38"/>
      <c r="S968" s="14"/>
    </row>
    <row r="969" spans="1:19" x14ac:dyDescent="0.2">
      <c r="A969" s="37"/>
      <c r="B969" s="8"/>
      <c r="E969" s="38"/>
      <c r="H969" s="38"/>
      <c r="K969" s="38"/>
      <c r="N969" s="38"/>
      <c r="Q969" s="38"/>
      <c r="S969" s="14"/>
    </row>
    <row r="970" spans="1:19" x14ac:dyDescent="0.2">
      <c r="A970" s="37"/>
      <c r="B970" s="8"/>
      <c r="E970" s="38"/>
      <c r="H970" s="38"/>
      <c r="K970" s="38"/>
      <c r="N970" s="38"/>
      <c r="Q970" s="38"/>
      <c r="S970" s="14"/>
    </row>
    <row r="971" spans="1:19" x14ac:dyDescent="0.2">
      <c r="A971" s="37"/>
      <c r="B971" s="8"/>
      <c r="E971" s="38"/>
      <c r="H971" s="38"/>
      <c r="K971" s="38"/>
      <c r="N971" s="38"/>
      <c r="Q971" s="38"/>
      <c r="S971" s="14"/>
    </row>
    <row r="972" spans="1:19" x14ac:dyDescent="0.2">
      <c r="A972" s="37"/>
      <c r="B972" s="8"/>
      <c r="E972" s="38"/>
      <c r="H972" s="38"/>
      <c r="K972" s="38"/>
      <c r="N972" s="38"/>
      <c r="Q972" s="38"/>
      <c r="S972" s="14"/>
    </row>
    <row r="973" spans="1:19" x14ac:dyDescent="0.2">
      <c r="A973" s="37"/>
      <c r="B973" s="8"/>
      <c r="E973" s="38"/>
      <c r="H973" s="38"/>
      <c r="K973" s="38"/>
      <c r="N973" s="38"/>
      <c r="Q973" s="38"/>
      <c r="S973" s="14"/>
    </row>
    <row r="974" spans="1:19" x14ac:dyDescent="0.2">
      <c r="A974" s="37"/>
      <c r="B974" s="8"/>
      <c r="E974" s="38"/>
      <c r="H974" s="38"/>
      <c r="K974" s="38"/>
      <c r="N974" s="38"/>
      <c r="Q974" s="38"/>
      <c r="S974" s="14"/>
    </row>
    <row r="975" spans="1:19" x14ac:dyDescent="0.2">
      <c r="A975" s="37"/>
      <c r="B975" s="8"/>
      <c r="E975" s="38"/>
      <c r="H975" s="38"/>
      <c r="K975" s="38"/>
      <c r="N975" s="38"/>
      <c r="Q975" s="38"/>
      <c r="S975" s="14"/>
    </row>
    <row r="976" spans="1:19" x14ac:dyDescent="0.2">
      <c r="A976" s="37"/>
      <c r="B976" s="8"/>
      <c r="E976" s="38"/>
      <c r="H976" s="38"/>
      <c r="K976" s="38"/>
      <c r="N976" s="38"/>
      <c r="Q976" s="38"/>
      <c r="S976" s="14"/>
    </row>
    <row r="977" spans="1:19" x14ac:dyDescent="0.2">
      <c r="A977" s="37"/>
      <c r="B977" s="8"/>
      <c r="E977" s="38"/>
      <c r="H977" s="38"/>
      <c r="K977" s="38"/>
      <c r="N977" s="38"/>
      <c r="Q977" s="38"/>
      <c r="S977" s="14"/>
    </row>
    <row r="978" spans="1:19" x14ac:dyDescent="0.2">
      <c r="A978" s="37"/>
      <c r="B978" s="8"/>
      <c r="E978" s="38"/>
      <c r="H978" s="38"/>
      <c r="K978" s="38"/>
      <c r="N978" s="38"/>
      <c r="Q978" s="38"/>
      <c r="S978" s="14"/>
    </row>
    <row r="979" spans="1:19" x14ac:dyDescent="0.2">
      <c r="A979" s="37"/>
      <c r="B979" s="8"/>
      <c r="E979" s="38"/>
      <c r="H979" s="38"/>
      <c r="K979" s="38"/>
      <c r="N979" s="38"/>
      <c r="Q979" s="38"/>
      <c r="S979" s="14"/>
    </row>
    <row r="980" spans="1:19" x14ac:dyDescent="0.2">
      <c r="A980" s="37"/>
      <c r="B980" s="8"/>
      <c r="E980" s="38"/>
      <c r="H980" s="38"/>
      <c r="K980" s="38"/>
      <c r="N980" s="38"/>
      <c r="Q980" s="38"/>
      <c r="S980" s="14"/>
    </row>
    <row r="981" spans="1:19" x14ac:dyDescent="0.2">
      <c r="A981" s="37"/>
      <c r="B981" s="8"/>
      <c r="E981" s="38"/>
      <c r="H981" s="38"/>
      <c r="K981" s="38"/>
      <c r="N981" s="38"/>
      <c r="Q981" s="38"/>
      <c r="S981" s="14"/>
    </row>
    <row r="982" spans="1:19" x14ac:dyDescent="0.2">
      <c r="A982" s="37"/>
      <c r="B982" s="8"/>
      <c r="E982" s="38"/>
      <c r="H982" s="38"/>
      <c r="K982" s="38"/>
      <c r="N982" s="38"/>
      <c r="Q982" s="38"/>
      <c r="S982" s="14"/>
    </row>
    <row r="983" spans="1:19" x14ac:dyDescent="0.2">
      <c r="A983" s="37"/>
      <c r="B983" s="8"/>
      <c r="E983" s="38"/>
      <c r="H983" s="38"/>
      <c r="K983" s="38"/>
      <c r="N983" s="38"/>
      <c r="Q983" s="38"/>
      <c r="S983" s="14"/>
    </row>
    <row r="984" spans="1:19" x14ac:dyDescent="0.2">
      <c r="A984" s="37"/>
      <c r="B984" s="8"/>
      <c r="E984" s="38"/>
      <c r="H984" s="38"/>
      <c r="K984" s="38"/>
      <c r="N984" s="38"/>
      <c r="Q984" s="38"/>
      <c r="S984" s="14"/>
    </row>
    <row r="985" spans="1:19" x14ac:dyDescent="0.2">
      <c r="A985" s="37"/>
      <c r="B985" s="8"/>
      <c r="E985" s="38"/>
      <c r="H985" s="38"/>
      <c r="K985" s="38"/>
      <c r="N985" s="38"/>
      <c r="Q985" s="38"/>
      <c r="S985" s="14"/>
    </row>
    <row r="986" spans="1:19" x14ac:dyDescent="0.2">
      <c r="A986" s="37"/>
      <c r="B986" s="8"/>
      <c r="E986" s="38"/>
      <c r="H986" s="38"/>
      <c r="K986" s="38"/>
      <c r="N986" s="38"/>
      <c r="Q986" s="38"/>
      <c r="S986" s="14"/>
    </row>
    <row r="987" spans="1:19" x14ac:dyDescent="0.2">
      <c r="A987" s="37"/>
      <c r="B987" s="8"/>
      <c r="E987" s="38"/>
      <c r="H987" s="38"/>
      <c r="K987" s="38"/>
      <c r="N987" s="38"/>
      <c r="Q987" s="38"/>
      <c r="S987" s="14"/>
    </row>
    <row r="988" spans="1:19" x14ac:dyDescent="0.2">
      <c r="A988" s="37"/>
      <c r="B988" s="8"/>
      <c r="E988" s="38"/>
      <c r="H988" s="38"/>
      <c r="K988" s="38"/>
      <c r="N988" s="38"/>
      <c r="Q988" s="38"/>
      <c r="S988" s="14"/>
    </row>
    <row r="989" spans="1:19" x14ac:dyDescent="0.2">
      <c r="A989" s="37"/>
      <c r="B989" s="8"/>
      <c r="E989" s="38"/>
      <c r="H989" s="38"/>
      <c r="K989" s="38"/>
      <c r="N989" s="38"/>
      <c r="Q989" s="38"/>
      <c r="S989" s="14"/>
    </row>
    <row r="990" spans="1:19" x14ac:dyDescent="0.2">
      <c r="A990" s="37"/>
      <c r="B990" s="8"/>
      <c r="E990" s="38"/>
      <c r="H990" s="38"/>
      <c r="K990" s="38"/>
      <c r="N990" s="38"/>
      <c r="Q990" s="38"/>
      <c r="S990" s="14"/>
    </row>
    <row r="991" spans="1:19" x14ac:dyDescent="0.2">
      <c r="A991" s="37"/>
      <c r="B991" s="8"/>
      <c r="E991" s="38"/>
      <c r="H991" s="38"/>
      <c r="K991" s="38"/>
      <c r="N991" s="38"/>
      <c r="Q991" s="38"/>
      <c r="S991" s="14"/>
    </row>
    <row r="992" spans="1:19" x14ac:dyDescent="0.2">
      <c r="A992" s="37"/>
      <c r="B992" s="8"/>
      <c r="E992" s="38"/>
      <c r="H992" s="38"/>
      <c r="K992" s="38"/>
      <c r="N992" s="38"/>
      <c r="Q992" s="38"/>
      <c r="S992" s="14"/>
    </row>
    <row r="993" spans="1:19" x14ac:dyDescent="0.2">
      <c r="A993" s="37"/>
      <c r="B993" s="8"/>
      <c r="E993" s="38"/>
      <c r="H993" s="38"/>
      <c r="K993" s="38"/>
      <c r="N993" s="38"/>
      <c r="Q993" s="38"/>
      <c r="S993" s="14"/>
    </row>
    <row r="994" spans="1:19" x14ac:dyDescent="0.2">
      <c r="A994" s="37"/>
      <c r="B994" s="8"/>
      <c r="E994" s="38"/>
      <c r="H994" s="38"/>
      <c r="K994" s="38"/>
      <c r="N994" s="38"/>
      <c r="Q994" s="38"/>
      <c r="S994" s="14"/>
    </row>
    <row r="995" spans="1:19" x14ac:dyDescent="0.2">
      <c r="A995" s="37"/>
      <c r="B995" s="8"/>
      <c r="E995" s="38"/>
      <c r="H995" s="38"/>
      <c r="K995" s="38"/>
      <c r="N995" s="38"/>
      <c r="Q995" s="38"/>
      <c r="S995" s="14"/>
    </row>
    <row r="996" spans="1:19" x14ac:dyDescent="0.2">
      <c r="A996" s="37"/>
      <c r="B996" s="8"/>
      <c r="E996" s="38"/>
      <c r="H996" s="38"/>
      <c r="K996" s="38"/>
      <c r="N996" s="38"/>
      <c r="Q996" s="38"/>
      <c r="S996" s="14"/>
    </row>
    <row r="997" spans="1:19" x14ac:dyDescent="0.2">
      <c r="A997" s="37"/>
      <c r="B997" s="8"/>
      <c r="E997" s="38"/>
      <c r="H997" s="38"/>
      <c r="K997" s="38"/>
      <c r="N997" s="38"/>
      <c r="Q997" s="38"/>
      <c r="S997" s="14"/>
    </row>
    <row r="998" spans="1:19" x14ac:dyDescent="0.2">
      <c r="A998" s="37"/>
      <c r="B998" s="8"/>
      <c r="E998" s="38"/>
      <c r="H998" s="38"/>
      <c r="K998" s="38"/>
      <c r="N998" s="38"/>
      <c r="Q998" s="38"/>
      <c r="S998" s="14"/>
    </row>
    <row r="999" spans="1:19" x14ac:dyDescent="0.2">
      <c r="A999" s="37"/>
      <c r="B999" s="8"/>
      <c r="E999" s="38"/>
      <c r="H999" s="38"/>
      <c r="K999" s="38"/>
      <c r="N999" s="38"/>
      <c r="Q999" s="38"/>
      <c r="S999" s="14"/>
    </row>
    <row r="1000" spans="1:19" x14ac:dyDescent="0.2">
      <c r="A1000" s="37"/>
      <c r="B1000" s="8"/>
      <c r="E1000" s="38"/>
      <c r="H1000" s="38"/>
      <c r="K1000" s="38"/>
      <c r="N1000" s="38"/>
      <c r="Q1000" s="38"/>
      <c r="S1000" s="14"/>
    </row>
    <row r="1001" spans="1:19" x14ac:dyDescent="0.2">
      <c r="A1001" s="37"/>
      <c r="B1001" s="8"/>
      <c r="E1001" s="38"/>
      <c r="H1001" s="38"/>
      <c r="K1001" s="38"/>
      <c r="N1001" s="38"/>
      <c r="Q1001" s="38"/>
      <c r="S1001" s="14"/>
    </row>
    <row r="1002" spans="1:19" x14ac:dyDescent="0.2">
      <c r="A1002" s="37"/>
      <c r="B1002" s="8"/>
      <c r="E1002" s="38"/>
      <c r="H1002" s="38"/>
      <c r="K1002" s="38"/>
      <c r="N1002" s="38"/>
      <c r="Q1002" s="38"/>
      <c r="S1002" s="14"/>
    </row>
    <row r="1003" spans="1:19" x14ac:dyDescent="0.2">
      <c r="A1003" s="37"/>
      <c r="B1003" s="8"/>
      <c r="E1003" s="38"/>
      <c r="H1003" s="38"/>
      <c r="K1003" s="38"/>
      <c r="N1003" s="38"/>
      <c r="Q1003" s="38"/>
      <c r="S1003" s="14"/>
    </row>
    <row r="1004" spans="1:19" x14ac:dyDescent="0.2">
      <c r="A1004" s="37"/>
      <c r="B1004" s="8"/>
      <c r="E1004" s="38"/>
      <c r="H1004" s="38"/>
      <c r="K1004" s="38"/>
      <c r="N1004" s="38"/>
      <c r="Q1004" s="38"/>
      <c r="S1004" s="14"/>
    </row>
    <row r="1005" spans="1:19" x14ac:dyDescent="0.2">
      <c r="A1005" s="37"/>
      <c r="B1005" s="8"/>
      <c r="E1005" s="38"/>
      <c r="H1005" s="38"/>
      <c r="K1005" s="38"/>
      <c r="N1005" s="38"/>
      <c r="Q1005" s="38"/>
      <c r="S1005" s="14"/>
    </row>
    <row r="1006" spans="1:19" x14ac:dyDescent="0.2">
      <c r="A1006" s="37"/>
      <c r="B1006" s="8"/>
      <c r="E1006" s="38"/>
      <c r="H1006" s="38"/>
      <c r="K1006" s="38"/>
      <c r="N1006" s="38"/>
      <c r="Q1006" s="38"/>
      <c r="S1006" s="14"/>
    </row>
    <row r="1007" spans="1:19" x14ac:dyDescent="0.2">
      <c r="A1007" s="37"/>
      <c r="B1007" s="8"/>
      <c r="E1007" s="38"/>
      <c r="H1007" s="38"/>
      <c r="K1007" s="38"/>
      <c r="N1007" s="38"/>
      <c r="Q1007" s="38"/>
      <c r="S1007" s="14"/>
    </row>
    <row r="1008" spans="1:19" x14ac:dyDescent="0.2">
      <c r="A1008" s="37"/>
      <c r="B1008" s="8"/>
      <c r="E1008" s="38"/>
      <c r="H1008" s="38"/>
      <c r="K1008" s="38"/>
      <c r="N1008" s="38"/>
      <c r="Q1008" s="38"/>
      <c r="S1008" s="14"/>
    </row>
    <row r="1009" spans="1:19" x14ac:dyDescent="0.2">
      <c r="A1009" s="37"/>
      <c r="B1009" s="8"/>
      <c r="E1009" s="38"/>
      <c r="H1009" s="38"/>
      <c r="K1009" s="38"/>
      <c r="N1009" s="38"/>
      <c r="Q1009" s="38"/>
      <c r="S1009" s="14"/>
    </row>
    <row r="1010" spans="1:19" x14ac:dyDescent="0.2">
      <c r="A1010" s="37"/>
      <c r="B1010" s="8"/>
      <c r="E1010" s="38"/>
      <c r="H1010" s="38"/>
      <c r="K1010" s="38"/>
      <c r="N1010" s="38"/>
      <c r="Q1010" s="38"/>
      <c r="S1010" s="14"/>
    </row>
    <row r="1011" spans="1:19" x14ac:dyDescent="0.2">
      <c r="A1011" s="37"/>
      <c r="B1011" s="8"/>
      <c r="E1011" s="38"/>
      <c r="H1011" s="38"/>
      <c r="K1011" s="38"/>
      <c r="N1011" s="38"/>
      <c r="Q1011" s="38"/>
      <c r="S1011" s="14"/>
    </row>
    <row r="1012" spans="1:19" x14ac:dyDescent="0.2">
      <c r="A1012" s="37"/>
      <c r="B1012" s="8"/>
      <c r="E1012" s="38"/>
      <c r="H1012" s="38"/>
      <c r="K1012" s="38"/>
      <c r="N1012" s="38"/>
      <c r="Q1012" s="38"/>
      <c r="S1012" s="14"/>
    </row>
    <row r="1013" spans="1:19" x14ac:dyDescent="0.2">
      <c r="A1013" s="37"/>
      <c r="B1013" s="8"/>
      <c r="E1013" s="38"/>
      <c r="H1013" s="38"/>
      <c r="K1013" s="38"/>
      <c r="N1013" s="38"/>
      <c r="Q1013" s="38"/>
      <c r="S1013" s="14"/>
    </row>
    <row r="1014" spans="1:19" x14ac:dyDescent="0.2">
      <c r="A1014" s="37"/>
      <c r="B1014" s="8"/>
      <c r="E1014" s="38"/>
      <c r="H1014" s="38"/>
      <c r="K1014" s="38"/>
      <c r="N1014" s="38"/>
      <c r="Q1014" s="38"/>
      <c r="S1014" s="14"/>
    </row>
    <row r="1015" spans="1:19" x14ac:dyDescent="0.2">
      <c r="A1015" s="37"/>
      <c r="B1015" s="8"/>
      <c r="E1015" s="38"/>
      <c r="H1015" s="38"/>
      <c r="K1015" s="38"/>
      <c r="N1015" s="38"/>
      <c r="Q1015" s="38"/>
      <c r="S1015" s="14"/>
    </row>
    <row r="1016" spans="1:19" x14ac:dyDescent="0.2">
      <c r="A1016" s="37"/>
      <c r="B1016" s="8"/>
      <c r="E1016" s="38"/>
      <c r="H1016" s="38"/>
      <c r="K1016" s="38"/>
      <c r="N1016" s="38"/>
      <c r="Q1016" s="38"/>
      <c r="S1016" s="14"/>
    </row>
    <row r="1017" spans="1:19" x14ac:dyDescent="0.2">
      <c r="A1017" s="37"/>
      <c r="B1017" s="8"/>
      <c r="E1017" s="38"/>
      <c r="H1017" s="38"/>
      <c r="K1017" s="38"/>
      <c r="N1017" s="38"/>
      <c r="Q1017" s="38"/>
      <c r="S1017" s="14"/>
    </row>
    <row r="1018" spans="1:19" x14ac:dyDescent="0.2">
      <c r="A1018" s="37"/>
      <c r="B1018" s="8"/>
      <c r="E1018" s="38"/>
      <c r="H1018" s="38"/>
      <c r="K1018" s="38"/>
      <c r="N1018" s="38"/>
      <c r="Q1018" s="38"/>
      <c r="S1018" s="14"/>
    </row>
    <row r="1019" spans="1:19" x14ac:dyDescent="0.2">
      <c r="A1019" s="37"/>
      <c r="B1019" s="8"/>
      <c r="E1019" s="38"/>
      <c r="H1019" s="38"/>
      <c r="K1019" s="38"/>
      <c r="N1019" s="38"/>
      <c r="Q1019" s="38"/>
      <c r="S1019" s="14"/>
    </row>
    <row r="1020" spans="1:19" x14ac:dyDescent="0.2">
      <c r="A1020" s="37"/>
      <c r="B1020" s="8"/>
      <c r="E1020" s="38"/>
      <c r="H1020" s="38"/>
      <c r="K1020" s="38"/>
      <c r="N1020" s="38"/>
      <c r="Q1020" s="38"/>
      <c r="S1020" s="14"/>
    </row>
    <row r="1021" spans="1:19" x14ac:dyDescent="0.2">
      <c r="A1021" s="37"/>
      <c r="B1021" s="8"/>
      <c r="E1021" s="38"/>
      <c r="H1021" s="38"/>
      <c r="K1021" s="38"/>
      <c r="N1021" s="38"/>
      <c r="Q1021" s="38"/>
      <c r="S1021" s="14"/>
    </row>
    <row r="1022" spans="1:19" x14ac:dyDescent="0.2">
      <c r="A1022" s="37"/>
      <c r="B1022" s="8"/>
      <c r="E1022" s="38"/>
      <c r="H1022" s="38"/>
      <c r="K1022" s="38"/>
      <c r="N1022" s="38"/>
      <c r="Q1022" s="38"/>
      <c r="S1022" s="14"/>
    </row>
    <row r="1023" spans="1:19" x14ac:dyDescent="0.2">
      <c r="A1023" s="37"/>
      <c r="B1023" s="8"/>
      <c r="E1023" s="38"/>
      <c r="H1023" s="38"/>
      <c r="K1023" s="38"/>
      <c r="N1023" s="38"/>
      <c r="Q1023" s="38"/>
      <c r="S1023" s="14"/>
    </row>
    <row r="1024" spans="1:19" x14ac:dyDescent="0.2">
      <c r="A1024" s="37"/>
      <c r="B1024" s="8"/>
      <c r="E1024" s="38"/>
      <c r="H1024" s="38"/>
      <c r="K1024" s="38"/>
      <c r="N1024" s="38"/>
      <c r="Q1024" s="38"/>
      <c r="S1024" s="14"/>
    </row>
    <row r="1025" spans="1:19" x14ac:dyDescent="0.2">
      <c r="A1025" s="37"/>
      <c r="B1025" s="8"/>
      <c r="E1025" s="38"/>
      <c r="H1025" s="38"/>
      <c r="K1025" s="38"/>
      <c r="N1025" s="38"/>
      <c r="Q1025" s="38"/>
      <c r="S1025" s="14"/>
    </row>
    <row r="1026" spans="1:19" x14ac:dyDescent="0.2">
      <c r="A1026" s="37"/>
      <c r="B1026" s="8"/>
      <c r="E1026" s="38"/>
      <c r="H1026" s="38"/>
      <c r="K1026" s="38"/>
      <c r="N1026" s="38"/>
      <c r="Q1026" s="38"/>
      <c r="S1026" s="14"/>
    </row>
    <row r="1027" spans="1:19" x14ac:dyDescent="0.2">
      <c r="A1027" s="37"/>
      <c r="B1027" s="8"/>
      <c r="E1027" s="38"/>
      <c r="H1027" s="38"/>
      <c r="K1027" s="38"/>
      <c r="N1027" s="38"/>
      <c r="Q1027" s="38"/>
      <c r="S1027" s="14"/>
    </row>
    <row r="1028" spans="1:19" x14ac:dyDescent="0.2">
      <c r="A1028" s="37"/>
      <c r="B1028" s="8"/>
      <c r="E1028" s="38"/>
      <c r="H1028" s="38"/>
      <c r="K1028" s="38"/>
      <c r="N1028" s="38"/>
      <c r="Q1028" s="38"/>
      <c r="S1028" s="14"/>
    </row>
    <row r="1029" spans="1:19" x14ac:dyDescent="0.2">
      <c r="A1029" s="37"/>
      <c r="B1029" s="8"/>
      <c r="E1029" s="38"/>
      <c r="H1029" s="38"/>
      <c r="K1029" s="38"/>
      <c r="N1029" s="38"/>
      <c r="Q1029" s="38"/>
      <c r="S1029" s="14"/>
    </row>
    <row r="1030" spans="1:19" x14ac:dyDescent="0.2">
      <c r="A1030" s="37"/>
      <c r="B1030" s="8"/>
      <c r="E1030" s="38"/>
      <c r="H1030" s="38"/>
      <c r="K1030" s="38"/>
      <c r="N1030" s="38"/>
      <c r="Q1030" s="38"/>
      <c r="S1030" s="14"/>
    </row>
    <row r="1031" spans="1:19" x14ac:dyDescent="0.2">
      <c r="A1031" s="37"/>
      <c r="B1031" s="8"/>
      <c r="E1031" s="38"/>
      <c r="H1031" s="38"/>
      <c r="K1031" s="38"/>
      <c r="N1031" s="38"/>
      <c r="Q1031" s="38"/>
      <c r="S1031" s="14"/>
    </row>
    <row r="1032" spans="1:19" x14ac:dyDescent="0.2">
      <c r="A1032" s="37"/>
      <c r="B1032" s="8"/>
      <c r="E1032" s="38"/>
      <c r="H1032" s="38"/>
      <c r="K1032" s="38"/>
      <c r="N1032" s="38"/>
      <c r="Q1032" s="38"/>
      <c r="S1032" s="14"/>
    </row>
    <row r="1033" spans="1:19" x14ac:dyDescent="0.2">
      <c r="A1033" s="37"/>
      <c r="B1033" s="8"/>
      <c r="E1033" s="38"/>
      <c r="H1033" s="38"/>
      <c r="K1033" s="38"/>
      <c r="N1033" s="38"/>
      <c r="Q1033" s="38"/>
      <c r="S1033" s="14"/>
    </row>
    <row r="1034" spans="1:19" x14ac:dyDescent="0.2">
      <c r="A1034" s="37"/>
      <c r="B1034" s="8"/>
      <c r="E1034" s="38"/>
      <c r="H1034" s="38"/>
      <c r="K1034" s="38"/>
      <c r="N1034" s="38"/>
      <c r="Q1034" s="38"/>
      <c r="S1034" s="14"/>
    </row>
    <row r="1035" spans="1:19" x14ac:dyDescent="0.2">
      <c r="A1035" s="37"/>
      <c r="B1035" s="8"/>
      <c r="E1035" s="38"/>
      <c r="H1035" s="38"/>
      <c r="K1035" s="38"/>
      <c r="N1035" s="38"/>
      <c r="Q1035" s="38"/>
      <c r="S1035" s="14"/>
    </row>
    <row r="1036" spans="1:19" x14ac:dyDescent="0.2">
      <c r="A1036" s="37"/>
      <c r="B1036" s="8"/>
      <c r="E1036" s="38"/>
      <c r="H1036" s="38"/>
      <c r="K1036" s="38"/>
      <c r="N1036" s="38"/>
      <c r="Q1036" s="38"/>
      <c r="S1036" s="14"/>
    </row>
    <row r="1037" spans="1:19" x14ac:dyDescent="0.2">
      <c r="A1037" s="37"/>
      <c r="B1037" s="8"/>
      <c r="E1037" s="38"/>
      <c r="H1037" s="38"/>
      <c r="K1037" s="38"/>
      <c r="N1037" s="38"/>
      <c r="Q1037" s="38"/>
      <c r="S1037" s="14"/>
    </row>
    <row r="1038" spans="1:19" x14ac:dyDescent="0.2">
      <c r="A1038" s="37"/>
      <c r="B1038" s="8"/>
      <c r="E1038" s="38"/>
      <c r="H1038" s="38"/>
      <c r="K1038" s="38"/>
      <c r="N1038" s="38"/>
      <c r="Q1038" s="38"/>
      <c r="S1038" s="14"/>
    </row>
    <row r="1039" spans="1:19" x14ac:dyDescent="0.2">
      <c r="A1039" s="37"/>
      <c r="B1039" s="8"/>
      <c r="E1039" s="38"/>
      <c r="H1039" s="38"/>
      <c r="K1039" s="38"/>
      <c r="N1039" s="38"/>
      <c r="Q1039" s="38"/>
      <c r="S1039" s="14"/>
    </row>
    <row r="1040" spans="1:19" x14ac:dyDescent="0.2">
      <c r="A1040" s="37"/>
      <c r="B1040" s="8"/>
      <c r="E1040" s="38"/>
      <c r="H1040" s="38"/>
      <c r="K1040" s="38"/>
      <c r="N1040" s="38"/>
      <c r="Q1040" s="38"/>
      <c r="S1040" s="14"/>
    </row>
    <row r="1041" spans="1:19" x14ac:dyDescent="0.2">
      <c r="A1041" s="37"/>
      <c r="B1041" s="8"/>
      <c r="E1041" s="38"/>
      <c r="H1041" s="38"/>
      <c r="K1041" s="38"/>
      <c r="N1041" s="38"/>
      <c r="Q1041" s="38"/>
      <c r="S1041" s="14"/>
    </row>
  </sheetData>
  <mergeCells count="1">
    <mergeCell ref="C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14"/>
  <sheetViews>
    <sheetView workbookViewId="0">
      <selection activeCell="A17" sqref="A17"/>
    </sheetView>
  </sheetViews>
  <sheetFormatPr defaultColWidth="14.42578125" defaultRowHeight="12.75" x14ac:dyDescent="0.2"/>
  <cols>
    <col min="1" max="1" width="14.42578125" style="47"/>
    <col min="2" max="2" width="11.85546875" style="47" customWidth="1"/>
    <col min="3" max="3" width="14.42578125" style="47"/>
    <col min="4" max="4" width="17.140625" style="47" customWidth="1"/>
    <col min="5" max="5" width="17.42578125" style="47" customWidth="1"/>
    <col min="6" max="6" width="18.42578125" style="47" customWidth="1"/>
    <col min="7" max="7" width="7" style="47" customWidth="1"/>
    <col min="8" max="9" width="15.140625" style="47" customWidth="1"/>
    <col min="10" max="10" width="16.5703125" style="47" customWidth="1"/>
    <col min="11" max="11" width="14.42578125" style="47"/>
    <col min="12" max="12" width="15.42578125" style="47" customWidth="1"/>
    <col min="13" max="13" width="18.28515625" style="47" customWidth="1"/>
    <col min="14" max="14" width="16.7109375" style="47" customWidth="1"/>
    <col min="15" max="15" width="17.42578125" style="47" customWidth="1"/>
    <col min="16" max="17" width="12.28515625" style="47" customWidth="1"/>
    <col min="18" max="16384" width="14.42578125" style="47"/>
  </cols>
  <sheetData>
    <row r="1" spans="1:12" ht="48" customHeight="1" x14ac:dyDescent="0.2">
      <c r="A1" s="40" t="s">
        <v>0</v>
      </c>
      <c r="B1" s="40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/>
      <c r="H1" s="40" t="s">
        <v>6</v>
      </c>
      <c r="I1" s="40" t="s">
        <v>7</v>
      </c>
      <c r="J1" s="40" t="s">
        <v>8</v>
      </c>
      <c r="K1" s="40" t="s">
        <v>9</v>
      </c>
      <c r="L1" s="40" t="s">
        <v>10</v>
      </c>
    </row>
    <row r="2" spans="1:12" x14ac:dyDescent="0.2">
      <c r="A2" s="41" t="s">
        <v>15</v>
      </c>
      <c r="B2" s="41">
        <v>3</v>
      </c>
      <c r="C2" s="41">
        <v>14.870859374999997</v>
      </c>
      <c r="D2" s="43">
        <v>2</v>
      </c>
      <c r="E2" s="46">
        <v>8.18</v>
      </c>
      <c r="F2" s="41">
        <v>4</v>
      </c>
      <c r="G2" s="41"/>
      <c r="H2" s="41">
        <v>2.5359375E-2</v>
      </c>
      <c r="I2" s="41">
        <v>0.21864062500000003</v>
      </c>
      <c r="J2" s="41">
        <v>-8.1906250000000007</v>
      </c>
      <c r="K2" s="41">
        <v>10.959031250000001</v>
      </c>
      <c r="L2" s="41">
        <v>-0.18107812499999998</v>
      </c>
    </row>
    <row r="3" spans="1:12" x14ac:dyDescent="0.2">
      <c r="A3" s="42" t="s">
        <v>15</v>
      </c>
      <c r="B3" s="42">
        <v>3</v>
      </c>
      <c r="C3" s="42">
        <v>17.576281250000005</v>
      </c>
      <c r="D3" s="44">
        <v>1</v>
      </c>
      <c r="E3" s="44">
        <v>14.06</v>
      </c>
      <c r="F3" s="42">
        <v>3</v>
      </c>
      <c r="G3" s="42"/>
      <c r="H3" s="42">
        <v>3.2250000000000001E-2</v>
      </c>
      <c r="I3" s="42">
        <v>0.22485937500000006</v>
      </c>
      <c r="J3" s="42">
        <v>-4.6484374999999991</v>
      </c>
      <c r="K3" s="42">
        <v>14.558828125000003</v>
      </c>
      <c r="L3" s="42">
        <v>-0.16029687500000001</v>
      </c>
    </row>
    <row r="4" spans="1:12" x14ac:dyDescent="0.2">
      <c r="A4" s="41" t="s">
        <v>15</v>
      </c>
      <c r="B4" s="41">
        <v>3</v>
      </c>
      <c r="C4" s="41">
        <v>14.879859374999999</v>
      </c>
      <c r="D4" s="43">
        <v>0</v>
      </c>
      <c r="E4" s="43">
        <v>8.65</v>
      </c>
      <c r="F4" s="41">
        <v>3</v>
      </c>
      <c r="G4" s="41"/>
      <c r="H4" s="41">
        <v>4.8953125E-2</v>
      </c>
      <c r="I4" s="41">
        <v>0.180140625</v>
      </c>
      <c r="J4" s="41">
        <v>-10.221874999999995</v>
      </c>
      <c r="K4" s="41">
        <v>47.627171874999995</v>
      </c>
      <c r="L4" s="41">
        <v>-6.8499999999999991E-2</v>
      </c>
    </row>
    <row r="5" spans="1:12" x14ac:dyDescent="0.2">
      <c r="A5" s="42" t="s">
        <v>15</v>
      </c>
      <c r="B5" s="42">
        <v>3</v>
      </c>
      <c r="C5" s="42">
        <v>14.544437499999997</v>
      </c>
      <c r="D5" s="44">
        <v>0</v>
      </c>
      <c r="E5" s="44">
        <v>2.64</v>
      </c>
      <c r="F5" s="42">
        <v>2</v>
      </c>
      <c r="G5" s="42"/>
      <c r="H5" s="42">
        <v>3.2750000000000001E-2</v>
      </c>
      <c r="I5" s="42">
        <v>0.18373437500000006</v>
      </c>
      <c r="J5" s="42">
        <v>-16.826562500000001</v>
      </c>
      <c r="K5" s="42">
        <v>0.73629687499999996</v>
      </c>
      <c r="L5" s="42">
        <v>-7.0046874999999995E-2</v>
      </c>
    </row>
    <row r="6" spans="1:12" x14ac:dyDescent="0.2">
      <c r="A6" s="41" t="s">
        <v>15</v>
      </c>
      <c r="B6" s="41">
        <v>3</v>
      </c>
      <c r="C6" s="41">
        <v>17.184968749999999</v>
      </c>
      <c r="D6" s="43">
        <v>1</v>
      </c>
      <c r="E6" s="41">
        <v>3.97</v>
      </c>
      <c r="F6" s="41">
        <v>2</v>
      </c>
      <c r="G6" s="41"/>
      <c r="H6" s="41">
        <v>2.775E-2</v>
      </c>
      <c r="I6" s="41">
        <v>0.13510937499999998</v>
      </c>
      <c r="J6" s="41">
        <v>-6.4390624999999995</v>
      </c>
      <c r="K6" s="41">
        <v>0</v>
      </c>
      <c r="L6" s="41">
        <v>-0.11723437500000006</v>
      </c>
    </row>
    <row r="7" spans="1:12" x14ac:dyDescent="0.2">
      <c r="A7" s="45" t="s">
        <v>15</v>
      </c>
      <c r="B7" s="45">
        <v>1</v>
      </c>
      <c r="C7" s="45">
        <v>17.918121212121214</v>
      </c>
      <c r="D7" s="45">
        <v>0</v>
      </c>
      <c r="E7" s="45">
        <v>8.34</v>
      </c>
      <c r="F7" s="45">
        <v>4</v>
      </c>
      <c r="G7" s="45"/>
      <c r="H7" s="45">
        <v>1.6363636363636363E-3</v>
      </c>
      <c r="I7" s="45">
        <v>0.29742424242424242</v>
      </c>
      <c r="J7" s="45">
        <v>0.16060606060606059</v>
      </c>
      <c r="K7" s="45">
        <v>26.729787878787878</v>
      </c>
      <c r="L7" s="45">
        <v>-3.9818181818181822E-2</v>
      </c>
    </row>
    <row r="8" spans="1:12" x14ac:dyDescent="0.2">
      <c r="A8" s="43" t="s">
        <v>15</v>
      </c>
      <c r="B8" s="43">
        <v>1</v>
      </c>
      <c r="C8" s="43">
        <v>13.502848484848485</v>
      </c>
      <c r="D8" s="43">
        <v>0</v>
      </c>
      <c r="E8" s="43">
        <v>11.58</v>
      </c>
      <c r="F8" s="43">
        <v>3</v>
      </c>
      <c r="G8" s="43"/>
      <c r="H8" s="43">
        <v>4.2969696969696977E-2</v>
      </c>
      <c r="I8" s="43">
        <v>0.11733333333333333</v>
      </c>
      <c r="J8" s="43">
        <v>-18.596969696969694</v>
      </c>
      <c r="K8" s="43">
        <v>15.33930303030303</v>
      </c>
      <c r="L8" s="43">
        <v>2.1454545454545473E-2</v>
      </c>
    </row>
    <row r="9" spans="1:12" x14ac:dyDescent="0.2">
      <c r="A9" s="44" t="s">
        <v>15</v>
      </c>
      <c r="B9" s="44">
        <v>1</v>
      </c>
      <c r="C9" s="44">
        <v>20.558121212121211</v>
      </c>
      <c r="D9" s="44">
        <v>1</v>
      </c>
      <c r="E9" s="44">
        <v>14.47</v>
      </c>
      <c r="F9" s="44">
        <v>3</v>
      </c>
      <c r="G9" s="44"/>
      <c r="H9" s="44">
        <v>0</v>
      </c>
      <c r="I9" s="44">
        <v>0.18463636363636363</v>
      </c>
      <c r="J9" s="44">
        <v>-4.6515151515151523</v>
      </c>
      <c r="K9" s="44">
        <v>0</v>
      </c>
      <c r="L9" s="44">
        <v>-0.18957575757575759</v>
      </c>
    </row>
    <row r="10" spans="1:12" x14ac:dyDescent="0.2">
      <c r="A10" s="43" t="s">
        <v>15</v>
      </c>
      <c r="B10" s="43">
        <v>1</v>
      </c>
      <c r="C10" s="43">
        <v>19.209787878787875</v>
      </c>
      <c r="D10" s="43">
        <v>0</v>
      </c>
      <c r="E10" s="43">
        <v>1.97</v>
      </c>
      <c r="F10" s="43">
        <v>2</v>
      </c>
      <c r="G10" s="43"/>
      <c r="H10" s="43">
        <v>8.1515151515151527E-3</v>
      </c>
      <c r="I10" s="43">
        <v>0.12463636363636363</v>
      </c>
      <c r="J10" s="43">
        <v>-5.1303030303030308</v>
      </c>
      <c r="K10" s="43">
        <v>46.458606060606066</v>
      </c>
      <c r="L10" s="43">
        <v>-0.30960606060606055</v>
      </c>
    </row>
    <row r="11" spans="1:12" x14ac:dyDescent="0.2">
      <c r="A11" s="44" t="s">
        <v>15</v>
      </c>
      <c r="B11" s="44">
        <v>1</v>
      </c>
      <c r="C11" s="44">
        <v>8.9868181818181831</v>
      </c>
      <c r="D11" s="44">
        <v>0</v>
      </c>
      <c r="E11" s="44">
        <v>6.11</v>
      </c>
      <c r="F11" s="44">
        <v>2</v>
      </c>
      <c r="G11" s="44"/>
      <c r="H11" s="44">
        <v>3.8545454545454549E-2</v>
      </c>
      <c r="I11" s="44">
        <v>8.6363636363636365E-2</v>
      </c>
      <c r="J11" s="44">
        <v>1.6454545454545455</v>
      </c>
      <c r="K11" s="44">
        <v>14.537181818181821</v>
      </c>
      <c r="L11" s="44">
        <v>-1.6848484848484845E-2</v>
      </c>
    </row>
    <row r="12" spans="1:12" x14ac:dyDescent="0.2">
      <c r="A12" s="46" t="s">
        <v>15</v>
      </c>
      <c r="B12" s="46">
        <v>2</v>
      </c>
      <c r="C12" s="46">
        <v>21.39124906890131</v>
      </c>
      <c r="D12" s="46">
        <v>0</v>
      </c>
      <c r="E12" s="46">
        <v>3.61</v>
      </c>
      <c r="F12" s="46">
        <v>4</v>
      </c>
      <c r="G12" s="46"/>
      <c r="H12" s="46">
        <v>0</v>
      </c>
      <c r="I12" s="46">
        <v>0.31792737430167584</v>
      </c>
      <c r="J12" s="46">
        <v>-1.0760707635009328</v>
      </c>
      <c r="K12" s="46">
        <v>0</v>
      </c>
      <c r="L12" s="46">
        <v>-4.7249999999999973E-2</v>
      </c>
    </row>
    <row r="13" spans="1:12" x14ac:dyDescent="0.2">
      <c r="A13" s="44" t="s">
        <v>15</v>
      </c>
      <c r="B13" s="44">
        <v>2</v>
      </c>
      <c r="C13" s="44">
        <v>25.493155027932957</v>
      </c>
      <c r="D13" s="44">
        <v>0</v>
      </c>
      <c r="E13" s="44">
        <v>4.6500000000000004</v>
      </c>
      <c r="F13" s="42">
        <v>3</v>
      </c>
      <c r="G13" s="44"/>
      <c r="H13" s="44">
        <v>0</v>
      </c>
      <c r="I13" s="44">
        <v>0.17148882681564201</v>
      </c>
      <c r="J13" s="44">
        <v>-8.3168528864059414</v>
      </c>
      <c r="K13" s="44">
        <v>0</v>
      </c>
      <c r="L13" s="44">
        <v>-0.46025744878957153</v>
      </c>
    </row>
    <row r="14" spans="1:12" x14ac:dyDescent="0.2">
      <c r="A14" s="43" t="s">
        <v>15</v>
      </c>
      <c r="B14" s="43">
        <v>2</v>
      </c>
      <c r="C14" s="43">
        <v>23.783282588454423</v>
      </c>
      <c r="D14" s="43">
        <v>0</v>
      </c>
      <c r="E14" s="43">
        <v>5.1100000000000003</v>
      </c>
      <c r="F14" s="41">
        <v>3</v>
      </c>
      <c r="G14" s="43"/>
      <c r="H14" s="43">
        <v>0</v>
      </c>
      <c r="I14" s="43">
        <v>0.25425977653631326</v>
      </c>
      <c r="J14" s="43">
        <v>-9.8882681564246525E-2</v>
      </c>
      <c r="K14" s="43">
        <v>0</v>
      </c>
      <c r="L14" s="43">
        <v>-2.2641992551210383E-2</v>
      </c>
    </row>
    <row r="15" spans="1:12" x14ac:dyDescent="0.2">
      <c r="A15" s="44" t="s">
        <v>15</v>
      </c>
      <c r="B15" s="44">
        <v>2</v>
      </c>
      <c r="C15" s="44">
        <v>27.958170391061465</v>
      </c>
      <c r="D15" s="44">
        <v>0</v>
      </c>
      <c r="E15" s="44">
        <v>3.28</v>
      </c>
      <c r="F15" s="42">
        <v>2</v>
      </c>
      <c r="G15" s="44"/>
      <c r="H15" s="44">
        <v>0</v>
      </c>
      <c r="I15" s="44">
        <v>0.30302746741154268</v>
      </c>
      <c r="J15" s="44">
        <v>-9.8536312849162293</v>
      </c>
      <c r="K15" s="44">
        <v>0</v>
      </c>
      <c r="L15" s="44">
        <v>-0.26818249534450622</v>
      </c>
    </row>
    <row r="16" spans="1:12" x14ac:dyDescent="0.2">
      <c r="A16" s="41" t="s">
        <v>15</v>
      </c>
      <c r="B16" s="41">
        <v>2</v>
      </c>
      <c r="C16" s="41">
        <v>26.063718808193677</v>
      </c>
      <c r="D16" s="41">
        <v>0</v>
      </c>
      <c r="E16" s="41">
        <v>2.38</v>
      </c>
      <c r="F16" s="41">
        <v>2</v>
      </c>
      <c r="G16" s="41"/>
      <c r="H16" s="41">
        <v>7.3030726256983203E-3</v>
      </c>
      <c r="I16" s="41">
        <v>0.23254376163873344</v>
      </c>
      <c r="J16" s="41">
        <v>-0.1541433891992551</v>
      </c>
      <c r="K16" s="41">
        <v>0</v>
      </c>
      <c r="L16" s="41">
        <v>0.32367085661080058</v>
      </c>
    </row>
    <row r="17" spans="1:12" x14ac:dyDescent="0.2">
      <c r="A17" s="45" t="s">
        <v>16</v>
      </c>
      <c r="B17" s="45">
        <v>1</v>
      </c>
      <c r="C17" s="45">
        <v>16.781842105263163</v>
      </c>
      <c r="D17" s="45">
        <v>0</v>
      </c>
      <c r="E17" s="45">
        <v>4.5999999999999996</v>
      </c>
      <c r="F17" s="45">
        <v>4</v>
      </c>
      <c r="G17" s="45"/>
      <c r="H17" s="45">
        <v>7.5526315789473681E-3</v>
      </c>
      <c r="I17" s="45">
        <v>0.17921052631578943</v>
      </c>
      <c r="J17" s="45">
        <v>0.25789473684210512</v>
      </c>
      <c r="K17" s="45">
        <v>48.436368421052634</v>
      </c>
      <c r="L17" s="45">
        <v>0.30913157894736842</v>
      </c>
    </row>
    <row r="18" spans="1:12" x14ac:dyDescent="0.2">
      <c r="A18" s="41" t="s">
        <v>16</v>
      </c>
      <c r="B18" s="41">
        <v>1</v>
      </c>
      <c r="C18" s="41">
        <v>11.579421052631579</v>
      </c>
      <c r="D18" s="41">
        <v>1</v>
      </c>
      <c r="E18" s="41">
        <v>7.91</v>
      </c>
      <c r="F18" s="43">
        <v>3</v>
      </c>
      <c r="G18" s="41"/>
      <c r="H18" s="41">
        <v>1.8763157894736843E-2</v>
      </c>
      <c r="I18" s="41">
        <v>0.10997368421052629</v>
      </c>
      <c r="J18" s="41">
        <v>-17.286842105263158</v>
      </c>
      <c r="K18" s="41">
        <v>41.565605263157899</v>
      </c>
      <c r="L18" s="41">
        <v>-0.14244736842105263</v>
      </c>
    </row>
    <row r="19" spans="1:12" x14ac:dyDescent="0.2">
      <c r="A19" s="44" t="s">
        <v>16</v>
      </c>
      <c r="B19" s="44">
        <v>1</v>
      </c>
      <c r="C19" s="44">
        <v>17.060578947368416</v>
      </c>
      <c r="D19" s="44">
        <v>1</v>
      </c>
      <c r="E19" s="44">
        <v>29.1</v>
      </c>
      <c r="F19" s="44">
        <v>3</v>
      </c>
      <c r="G19" s="44"/>
      <c r="H19" s="44">
        <v>0</v>
      </c>
      <c r="I19" s="44">
        <v>0.13034210526315784</v>
      </c>
      <c r="J19" s="44">
        <v>-3.7552631578947366</v>
      </c>
      <c r="K19" s="44">
        <v>17.376973684210526</v>
      </c>
      <c r="L19" s="44">
        <v>-0.17352631578947364</v>
      </c>
    </row>
    <row r="20" spans="1:12" x14ac:dyDescent="0.2">
      <c r="A20" s="43" t="s">
        <v>16</v>
      </c>
      <c r="B20" s="43">
        <v>1</v>
      </c>
      <c r="C20" s="43">
        <v>13.71207894736842</v>
      </c>
      <c r="D20" s="43">
        <v>0</v>
      </c>
      <c r="E20" s="43">
        <v>1.93</v>
      </c>
      <c r="F20" s="43">
        <v>2</v>
      </c>
      <c r="G20" s="43"/>
      <c r="H20" s="43">
        <v>1.4368421052631581E-2</v>
      </c>
      <c r="I20" s="43">
        <v>0.10986842105263157</v>
      </c>
      <c r="J20" s="43">
        <v>-4.9342105263157894</v>
      </c>
      <c r="K20" s="43">
        <v>21.04747368421053</v>
      </c>
      <c r="L20" s="43">
        <v>-0.50460526315789445</v>
      </c>
    </row>
    <row r="21" spans="1:12" x14ac:dyDescent="0.2">
      <c r="A21" s="44" t="s">
        <v>16</v>
      </c>
      <c r="B21" s="44">
        <v>1</v>
      </c>
      <c r="C21" s="44">
        <v>9.577</v>
      </c>
      <c r="D21" s="44">
        <v>0</v>
      </c>
      <c r="E21" s="44">
        <v>2.74</v>
      </c>
      <c r="F21" s="44">
        <v>2</v>
      </c>
      <c r="G21" s="44"/>
      <c r="H21" s="44">
        <v>0</v>
      </c>
      <c r="I21" s="44">
        <v>4.7815789473684207E-2</v>
      </c>
      <c r="J21" s="44">
        <v>0.13947368421052631</v>
      </c>
      <c r="K21" s="44">
        <v>25.685684210526318</v>
      </c>
      <c r="L21" s="44">
        <v>-0.6271052631578945</v>
      </c>
    </row>
    <row r="22" spans="1:12" x14ac:dyDescent="0.2">
      <c r="A22" s="46" t="s">
        <v>16</v>
      </c>
      <c r="B22" s="46">
        <v>2</v>
      </c>
      <c r="C22" s="46">
        <v>14.698911751662976</v>
      </c>
      <c r="D22" s="46">
        <v>0</v>
      </c>
      <c r="E22" s="46">
        <v>8.58</v>
      </c>
      <c r="F22" s="46">
        <v>4</v>
      </c>
      <c r="G22" s="46"/>
      <c r="H22" s="46">
        <v>0</v>
      </c>
      <c r="I22" s="46">
        <v>0.14764079822616452</v>
      </c>
      <c r="J22" s="46">
        <v>-0.5025277161862518</v>
      </c>
      <c r="K22" s="46">
        <v>0</v>
      </c>
      <c r="L22" s="46">
        <v>0.20679689578713975</v>
      </c>
    </row>
    <row r="23" spans="1:12" x14ac:dyDescent="0.2">
      <c r="A23" s="44" t="s">
        <v>16</v>
      </c>
      <c r="B23" s="44">
        <v>2</v>
      </c>
      <c r="C23" s="44">
        <v>16.373646563192924</v>
      </c>
      <c r="D23" s="44">
        <v>0</v>
      </c>
      <c r="E23" s="44">
        <v>6.07</v>
      </c>
      <c r="F23" s="42">
        <v>3</v>
      </c>
      <c r="G23" s="44"/>
      <c r="H23" s="44">
        <v>0</v>
      </c>
      <c r="I23" s="44">
        <v>0.13508691796008682</v>
      </c>
      <c r="J23" s="44">
        <v>3.3791574279379642E-2</v>
      </c>
      <c r="K23" s="44">
        <v>34.046634146341439</v>
      </c>
      <c r="L23" s="44">
        <v>-0.10442527716186262</v>
      </c>
    </row>
    <row r="24" spans="1:12" x14ac:dyDescent="0.2">
      <c r="A24" s="43" t="s">
        <v>16</v>
      </c>
      <c r="B24" s="43">
        <v>2</v>
      </c>
      <c r="C24" s="43">
        <v>18.227105986696266</v>
      </c>
      <c r="D24" s="43">
        <v>0</v>
      </c>
      <c r="E24" s="43">
        <v>3.8</v>
      </c>
      <c r="F24" s="41">
        <v>3</v>
      </c>
      <c r="G24" s="43"/>
      <c r="H24" s="43">
        <v>0</v>
      </c>
      <c r="I24" s="43">
        <v>0.14324301552106511</v>
      </c>
      <c r="J24" s="43">
        <v>-8.6274501108647268</v>
      </c>
      <c r="K24" s="43">
        <v>63.109701995565423</v>
      </c>
      <c r="L24" s="43">
        <v>-0.37025099778270454</v>
      </c>
    </row>
    <row r="25" spans="1:12" x14ac:dyDescent="0.2">
      <c r="A25" s="44" t="s">
        <v>16</v>
      </c>
      <c r="B25" s="44">
        <v>2</v>
      </c>
      <c r="C25" s="44">
        <v>18.512136585365798</v>
      </c>
      <c r="D25" s="44">
        <v>0</v>
      </c>
      <c r="E25" s="44">
        <v>1.4</v>
      </c>
      <c r="F25" s="42">
        <v>2</v>
      </c>
      <c r="G25" s="44"/>
      <c r="H25" s="44">
        <v>0</v>
      </c>
      <c r="I25" s="44">
        <v>0.14412549889135104</v>
      </c>
      <c r="J25" s="44">
        <v>-7.2727272727272974E-2</v>
      </c>
      <c r="K25" s="44">
        <v>39.223954767184033</v>
      </c>
      <c r="L25" s="44">
        <v>-0.21132949002217305</v>
      </c>
    </row>
    <row r="26" spans="1:12" x14ac:dyDescent="0.2">
      <c r="A26" s="43" t="s">
        <v>16</v>
      </c>
      <c r="B26" s="43">
        <v>2</v>
      </c>
      <c r="C26" s="43">
        <v>18.434257649667355</v>
      </c>
      <c r="D26" s="43">
        <v>0</v>
      </c>
      <c r="E26" s="43">
        <v>2.5499999999999998</v>
      </c>
      <c r="F26" s="41">
        <v>2</v>
      </c>
      <c r="G26" s="43"/>
      <c r="H26" s="43">
        <v>0</v>
      </c>
      <c r="I26" s="43">
        <v>0.14005853658536593</v>
      </c>
      <c r="J26" s="43">
        <v>-6.8446119733924871</v>
      </c>
      <c r="K26" s="43">
        <v>104.90115920177392</v>
      </c>
      <c r="L26" s="43">
        <v>-0.5464390243902445</v>
      </c>
    </row>
    <row r="27" spans="1:12" x14ac:dyDescent="0.2">
      <c r="A27" s="44" t="s">
        <v>16</v>
      </c>
      <c r="B27" s="44">
        <v>3</v>
      </c>
      <c r="C27" s="44">
        <v>14.884921052631578</v>
      </c>
      <c r="D27" s="44">
        <v>2</v>
      </c>
      <c r="E27" s="44">
        <v>13.11</v>
      </c>
      <c r="F27" s="45">
        <v>4</v>
      </c>
      <c r="G27" s="44"/>
      <c r="H27" s="44">
        <v>0</v>
      </c>
      <c r="I27" s="44">
        <v>0.15273684210526317</v>
      </c>
      <c r="J27" s="44">
        <v>6.8421052631578938E-2</v>
      </c>
      <c r="K27" s="44">
        <v>0</v>
      </c>
      <c r="L27" s="44">
        <v>-0.42397368421052634</v>
      </c>
    </row>
    <row r="28" spans="1:12" x14ac:dyDescent="0.2">
      <c r="A28" s="43" t="s">
        <v>16</v>
      </c>
      <c r="B28" s="43">
        <v>3</v>
      </c>
      <c r="C28" s="43">
        <v>8.8142368421052648</v>
      </c>
      <c r="D28" s="43">
        <v>0</v>
      </c>
      <c r="E28" s="43">
        <v>5.15</v>
      </c>
      <c r="F28" s="43">
        <v>3</v>
      </c>
      <c r="G28" s="43"/>
      <c r="H28" s="43">
        <v>2.6236842105263159E-2</v>
      </c>
      <c r="I28" s="43">
        <v>8.6868421052631567E-2</v>
      </c>
      <c r="J28" s="43">
        <v>-16.194736842105261</v>
      </c>
      <c r="K28" s="43">
        <v>48.391263157894741</v>
      </c>
      <c r="L28" s="43">
        <v>-0.3411578947368421</v>
      </c>
    </row>
    <row r="29" spans="1:12" x14ac:dyDescent="0.2">
      <c r="A29" s="44" t="s">
        <v>16</v>
      </c>
      <c r="B29" s="44">
        <v>3</v>
      </c>
      <c r="C29" s="44">
        <v>14.910578947368423</v>
      </c>
      <c r="D29" s="44">
        <v>0</v>
      </c>
      <c r="E29" s="44">
        <v>4.18</v>
      </c>
      <c r="F29" s="44">
        <v>3</v>
      </c>
      <c r="G29" s="44"/>
      <c r="H29" s="44">
        <v>2.9868421052631579E-2</v>
      </c>
      <c r="I29" s="44">
        <v>0.16981578947368428</v>
      </c>
      <c r="J29" s="44">
        <v>-3.9973684210526317</v>
      </c>
      <c r="K29" s="44">
        <v>75.922684210526327</v>
      </c>
      <c r="L29" s="44">
        <v>-0.31115789473684219</v>
      </c>
    </row>
    <row r="30" spans="1:12" x14ac:dyDescent="0.2">
      <c r="A30" s="43" t="s">
        <v>16</v>
      </c>
      <c r="B30" s="43">
        <v>3</v>
      </c>
      <c r="C30" s="43">
        <v>14.968394736842107</v>
      </c>
      <c r="D30" s="43">
        <v>1</v>
      </c>
      <c r="E30" s="43">
        <v>6.33</v>
      </c>
      <c r="F30" s="43">
        <v>2</v>
      </c>
      <c r="G30" s="43"/>
      <c r="H30" s="43">
        <v>2.2105263157894735E-2</v>
      </c>
      <c r="I30" s="43">
        <v>0.14173684210526316</v>
      </c>
      <c r="J30" s="43">
        <v>-5.7789473684210506</v>
      </c>
      <c r="K30" s="43">
        <v>52.047184210526325</v>
      </c>
      <c r="L30" s="43">
        <v>-0.65752631578947374</v>
      </c>
    </row>
    <row r="31" spans="1:12" x14ac:dyDescent="0.2">
      <c r="A31" s="44" t="s">
        <v>16</v>
      </c>
      <c r="B31" s="44">
        <v>3</v>
      </c>
      <c r="C31" s="44">
        <v>9.922842105263161</v>
      </c>
      <c r="D31" s="44">
        <v>0</v>
      </c>
      <c r="E31" s="44">
        <v>2.5</v>
      </c>
      <c r="F31" s="44">
        <v>2</v>
      </c>
      <c r="G31" s="44"/>
      <c r="H31" s="44">
        <v>2.3368421052631583E-2</v>
      </c>
      <c r="I31" s="44">
        <v>7.0368421052631566E-2</v>
      </c>
      <c r="J31" s="44">
        <v>-14.892105263157895</v>
      </c>
      <c r="K31" s="44">
        <v>53.800710526315804</v>
      </c>
      <c r="L31" s="44">
        <v>-0.46136842105263176</v>
      </c>
    </row>
    <row r="32" spans="1:12" x14ac:dyDescent="0.2">
      <c r="A32" s="43" t="s">
        <v>17</v>
      </c>
      <c r="B32" s="43">
        <v>1</v>
      </c>
      <c r="C32" s="43">
        <v>14.505961538461538</v>
      </c>
      <c r="D32" s="43">
        <v>0</v>
      </c>
      <c r="E32" s="43">
        <v>5.75</v>
      </c>
      <c r="F32" s="46">
        <v>4</v>
      </c>
      <c r="G32" s="43"/>
      <c r="H32" s="43">
        <v>0</v>
      </c>
      <c r="I32" s="43">
        <v>0.14451923076923079</v>
      </c>
      <c r="J32" s="43">
        <v>0.20576923076923079</v>
      </c>
      <c r="K32" s="43">
        <v>84.348365384615363</v>
      </c>
      <c r="L32" s="43">
        <v>0.25021153846153843</v>
      </c>
    </row>
    <row r="33" spans="1:12" x14ac:dyDescent="0.2">
      <c r="A33" s="44" t="s">
        <v>17</v>
      </c>
      <c r="B33" s="44">
        <v>1</v>
      </c>
      <c r="C33" s="44">
        <v>12.31382692307692</v>
      </c>
      <c r="D33" s="44">
        <v>1</v>
      </c>
      <c r="E33" s="44">
        <v>18.95</v>
      </c>
      <c r="F33" s="42">
        <v>3</v>
      </c>
      <c r="G33" s="44"/>
      <c r="H33" s="44">
        <v>2.5730769230769227E-2</v>
      </c>
      <c r="I33" s="44">
        <v>0.10155769230769232</v>
      </c>
      <c r="J33" s="44">
        <v>-15.898076923076921</v>
      </c>
      <c r="K33" s="44">
        <v>27.123288461538461</v>
      </c>
      <c r="L33" s="44">
        <v>0.11448076923076927</v>
      </c>
    </row>
    <row r="34" spans="1:12" x14ac:dyDescent="0.2">
      <c r="A34" s="43" t="s">
        <v>17</v>
      </c>
      <c r="B34" s="43">
        <v>1</v>
      </c>
      <c r="C34" s="43">
        <v>15.25675</v>
      </c>
      <c r="D34" s="43">
        <v>0</v>
      </c>
      <c r="E34" s="43">
        <v>3.04</v>
      </c>
      <c r="F34" s="41">
        <v>3</v>
      </c>
      <c r="G34" s="43"/>
      <c r="H34" s="43">
        <v>5.3653846153846156E-3</v>
      </c>
      <c r="I34" s="43">
        <v>0.1041538461538461</v>
      </c>
      <c r="J34" s="43">
        <v>-6.6134615384615376</v>
      </c>
      <c r="K34" s="43">
        <v>11.017711538461539</v>
      </c>
      <c r="L34" s="43">
        <v>-0.54619230769230775</v>
      </c>
    </row>
    <row r="35" spans="1:12" x14ac:dyDescent="0.2">
      <c r="A35" s="44" t="s">
        <v>17</v>
      </c>
      <c r="B35" s="44">
        <v>1</v>
      </c>
      <c r="C35" s="44">
        <v>8.8248846153846152</v>
      </c>
      <c r="D35" s="44">
        <v>0</v>
      </c>
      <c r="E35" s="44">
        <v>2.4300000000000002</v>
      </c>
      <c r="F35" s="42">
        <v>2</v>
      </c>
      <c r="G35" s="44"/>
      <c r="H35" s="44">
        <v>4.5499999999999999E-2</v>
      </c>
      <c r="I35" s="44">
        <v>6.9499999999999992E-2</v>
      </c>
      <c r="J35" s="44">
        <v>-0.20961538461538465</v>
      </c>
      <c r="K35" s="44">
        <v>21.517884615384624</v>
      </c>
      <c r="L35" s="44">
        <v>-0.37636538461538477</v>
      </c>
    </row>
    <row r="36" spans="1:12" x14ac:dyDescent="0.2">
      <c r="A36" s="43" t="s">
        <v>17</v>
      </c>
      <c r="B36" s="43">
        <v>1</v>
      </c>
      <c r="C36" s="43">
        <v>3.4714230769230778</v>
      </c>
      <c r="D36" s="43">
        <v>0</v>
      </c>
      <c r="E36" s="43">
        <v>3.11</v>
      </c>
      <c r="F36" s="41">
        <v>2</v>
      </c>
      <c r="G36" s="43"/>
      <c r="H36" s="43">
        <v>4.6884615384615386E-2</v>
      </c>
      <c r="I36" s="43">
        <v>3.1903846153846158E-2</v>
      </c>
      <c r="J36" s="43">
        <v>-17.707692307692302</v>
      </c>
      <c r="K36" s="43">
        <v>45.645461538461532</v>
      </c>
      <c r="L36" s="43">
        <v>0.18923076923076929</v>
      </c>
    </row>
    <row r="37" spans="1:12" x14ac:dyDescent="0.2">
      <c r="A37" s="44" t="s">
        <v>17</v>
      </c>
      <c r="B37" s="44">
        <v>2</v>
      </c>
      <c r="C37" s="44">
        <v>13.319034146341453</v>
      </c>
      <c r="D37" s="44">
        <v>2</v>
      </c>
      <c r="E37" s="44">
        <v>16.96</v>
      </c>
      <c r="F37" s="45">
        <v>4</v>
      </c>
      <c r="G37" s="44"/>
      <c r="H37" s="44">
        <v>0</v>
      </c>
      <c r="I37" s="44">
        <v>0.14295414634146242</v>
      </c>
      <c r="J37" s="44">
        <v>-0.14102439024390434</v>
      </c>
      <c r="K37" s="44">
        <v>25.285427804878051</v>
      </c>
      <c r="L37" s="44">
        <v>0.59911414634146309</v>
      </c>
    </row>
    <row r="38" spans="1:12" x14ac:dyDescent="0.2">
      <c r="A38" s="43" t="s">
        <v>17</v>
      </c>
      <c r="B38" s="43">
        <v>2</v>
      </c>
      <c r="C38" s="43">
        <v>15.471383902439008</v>
      </c>
      <c r="D38" s="43">
        <v>0</v>
      </c>
      <c r="E38" s="43">
        <v>4.18</v>
      </c>
      <c r="F38" s="43">
        <v>3</v>
      </c>
      <c r="G38" s="43"/>
      <c r="H38" s="43">
        <v>0</v>
      </c>
      <c r="I38" s="43">
        <v>0.11217121951219569</v>
      </c>
      <c r="J38" s="43">
        <v>-3.2390243902438928E-2</v>
      </c>
      <c r="K38" s="43">
        <v>0</v>
      </c>
      <c r="L38" s="43">
        <v>0.17283121951219521</v>
      </c>
    </row>
    <row r="39" spans="1:12" x14ac:dyDescent="0.2">
      <c r="A39" s="44" t="s">
        <v>17</v>
      </c>
      <c r="B39" s="44">
        <v>2</v>
      </c>
      <c r="C39" s="44">
        <v>17.859313658536571</v>
      </c>
      <c r="D39" s="44">
        <v>0</v>
      </c>
      <c r="E39" s="44">
        <v>4.54</v>
      </c>
      <c r="F39" s="44">
        <v>3</v>
      </c>
      <c r="G39" s="44"/>
      <c r="H39" s="44">
        <v>0</v>
      </c>
      <c r="I39" s="44">
        <v>0.14277853658536585</v>
      </c>
      <c r="J39" s="44">
        <v>-8.3053658536585431</v>
      </c>
      <c r="K39" s="44">
        <v>0</v>
      </c>
      <c r="L39" s="44">
        <v>-2.8658536585363073E-3</v>
      </c>
    </row>
    <row r="40" spans="1:12" x14ac:dyDescent="0.2">
      <c r="A40" s="43" t="s">
        <v>17</v>
      </c>
      <c r="B40" s="43">
        <v>2</v>
      </c>
      <c r="C40" s="43">
        <v>19.46470097560978</v>
      </c>
      <c r="D40" s="43">
        <v>0</v>
      </c>
      <c r="E40" s="43">
        <v>2.41</v>
      </c>
      <c r="F40" s="43">
        <v>2</v>
      </c>
      <c r="G40" s="43"/>
      <c r="H40" s="43">
        <v>0</v>
      </c>
      <c r="I40" s="43">
        <v>0.17612390243902551</v>
      </c>
      <c r="J40" s="43">
        <v>-1.0513170731707462</v>
      </c>
      <c r="K40" s="43">
        <v>101.36343853658548</v>
      </c>
      <c r="L40" s="43">
        <v>0.37307707317073174</v>
      </c>
    </row>
    <row r="41" spans="1:12" x14ac:dyDescent="0.2">
      <c r="A41" s="44" t="s">
        <v>17</v>
      </c>
      <c r="B41" s="44">
        <v>2</v>
      </c>
      <c r="C41" s="44">
        <v>21.037148780487787</v>
      </c>
      <c r="D41" s="44">
        <v>0</v>
      </c>
      <c r="E41" s="44">
        <v>2.4700000000000002</v>
      </c>
      <c r="F41" s="44">
        <v>2</v>
      </c>
      <c r="G41" s="44"/>
      <c r="H41" s="44">
        <v>0</v>
      </c>
      <c r="I41" s="44">
        <v>0.12960487804877976</v>
      </c>
      <c r="J41" s="44">
        <v>-0.39531707317073145</v>
      </c>
      <c r="K41" s="44">
        <v>151.47205121951211</v>
      </c>
      <c r="L41" s="44">
        <v>-5.8935121951219513E-2</v>
      </c>
    </row>
    <row r="42" spans="1:12" x14ac:dyDescent="0.2">
      <c r="A42" s="43" t="s">
        <v>17</v>
      </c>
      <c r="B42" s="43">
        <v>3</v>
      </c>
      <c r="C42" s="43">
        <v>14.615052631578946</v>
      </c>
      <c r="D42" s="43">
        <v>0</v>
      </c>
      <c r="E42" s="43">
        <v>6.9</v>
      </c>
      <c r="F42" s="46">
        <v>4</v>
      </c>
      <c r="G42" s="43"/>
      <c r="H42" s="43">
        <v>0</v>
      </c>
      <c r="I42" s="43">
        <v>0.17005263157894734</v>
      </c>
      <c r="J42" s="43">
        <v>0.24736842105263163</v>
      </c>
      <c r="K42" s="43">
        <v>0</v>
      </c>
      <c r="L42" s="43">
        <v>-0.33555263157894738</v>
      </c>
    </row>
    <row r="43" spans="1:12" x14ac:dyDescent="0.2">
      <c r="A43" s="44" t="s">
        <v>17</v>
      </c>
      <c r="B43" s="44">
        <v>3</v>
      </c>
      <c r="C43" s="44">
        <v>8.8376842105263176</v>
      </c>
      <c r="D43" s="44">
        <v>0</v>
      </c>
      <c r="E43" s="44">
        <v>4.6399999999999997</v>
      </c>
      <c r="F43" s="42">
        <v>3</v>
      </c>
      <c r="G43" s="44"/>
      <c r="H43" s="44">
        <v>3.9736842105263154E-2</v>
      </c>
      <c r="I43" s="44">
        <v>0.10242105263157894</v>
      </c>
      <c r="J43" s="44">
        <v>-17.352631578947367</v>
      </c>
      <c r="K43" s="44">
        <v>57.24994736842104</v>
      </c>
      <c r="L43" s="44">
        <v>-7.4973684210526317E-2</v>
      </c>
    </row>
    <row r="44" spans="1:12" x14ac:dyDescent="0.2">
      <c r="A44" s="43" t="s">
        <v>17</v>
      </c>
      <c r="B44" s="43">
        <v>3</v>
      </c>
      <c r="C44" s="43">
        <v>11.620368421052634</v>
      </c>
      <c r="D44" s="43">
        <v>0</v>
      </c>
      <c r="E44" s="43">
        <v>3.11</v>
      </c>
      <c r="F44" s="41">
        <v>3</v>
      </c>
      <c r="G44" s="43"/>
      <c r="H44" s="43">
        <v>1.4447368421052632E-2</v>
      </c>
      <c r="I44" s="43">
        <v>0.10549999999999998</v>
      </c>
      <c r="J44" s="43">
        <v>-0.29473684210526313</v>
      </c>
      <c r="K44" s="43">
        <v>72.628499999999988</v>
      </c>
      <c r="L44" s="43">
        <v>8.2894736842105313E-2</v>
      </c>
    </row>
    <row r="45" spans="1:12" x14ac:dyDescent="0.2">
      <c r="A45" s="44" t="s">
        <v>17</v>
      </c>
      <c r="B45" s="44">
        <v>3</v>
      </c>
      <c r="C45" s="44">
        <v>13.855210526315791</v>
      </c>
      <c r="D45" s="44">
        <v>0</v>
      </c>
      <c r="E45" s="44">
        <v>1.81</v>
      </c>
      <c r="F45" s="42">
        <v>2</v>
      </c>
      <c r="G45" s="44"/>
      <c r="H45" s="44">
        <v>4.4631578947368418E-2</v>
      </c>
      <c r="I45" s="44">
        <v>0.16576315789473686</v>
      </c>
      <c r="J45" s="44">
        <v>-9.2947368421052623</v>
      </c>
      <c r="K45" s="44">
        <v>58.606894736842101</v>
      </c>
      <c r="L45" s="44">
        <v>-0.42655263157894735</v>
      </c>
    </row>
    <row r="46" spans="1:12" x14ac:dyDescent="0.2">
      <c r="A46" s="43" t="s">
        <v>17</v>
      </c>
      <c r="B46" s="43">
        <v>3</v>
      </c>
      <c r="C46" s="43">
        <v>10.177289473684212</v>
      </c>
      <c r="D46" s="43">
        <v>0</v>
      </c>
      <c r="E46" s="43">
        <v>2.46</v>
      </c>
      <c r="F46" s="41">
        <v>2</v>
      </c>
      <c r="G46" s="43"/>
      <c r="H46" s="43">
        <v>1.2894736842105263E-2</v>
      </c>
      <c r="I46" s="43">
        <v>4.7684210526315787E-2</v>
      </c>
      <c r="J46" s="43">
        <v>-0.58947368421052648</v>
      </c>
      <c r="K46" s="43">
        <v>58.980131578947386</v>
      </c>
      <c r="L46" s="43">
        <v>-0.45036842105263181</v>
      </c>
    </row>
    <row r="47" spans="1:12" x14ac:dyDescent="0.2">
      <c r="A47" s="44" t="s">
        <v>18</v>
      </c>
      <c r="B47" s="44">
        <v>1</v>
      </c>
      <c r="C47" s="44">
        <v>15.696066666666667</v>
      </c>
      <c r="D47" s="44">
        <v>0</v>
      </c>
      <c r="E47" s="44">
        <v>25.24</v>
      </c>
      <c r="F47" s="45">
        <v>4</v>
      </c>
      <c r="G47" s="44"/>
      <c r="H47" s="44">
        <v>1.755E-2</v>
      </c>
      <c r="I47" s="44">
        <v>0.15078333333333335</v>
      </c>
      <c r="J47" s="44">
        <v>0.54166666666666685</v>
      </c>
      <c r="K47" s="44">
        <v>67.103783333333311</v>
      </c>
      <c r="L47" s="44">
        <v>0.39898333333333319</v>
      </c>
    </row>
    <row r="48" spans="1:12" x14ac:dyDescent="0.2">
      <c r="A48" s="43" t="s">
        <v>18</v>
      </c>
      <c r="B48" s="43">
        <v>1</v>
      </c>
      <c r="C48" s="43">
        <v>16.722316666666668</v>
      </c>
      <c r="D48" s="43">
        <v>0</v>
      </c>
      <c r="E48" s="43">
        <v>6.45</v>
      </c>
      <c r="F48" s="43">
        <v>3</v>
      </c>
      <c r="G48" s="43"/>
      <c r="H48" s="43">
        <v>4.8333333333333327E-3</v>
      </c>
      <c r="I48" s="43">
        <v>0.1955166666666667</v>
      </c>
      <c r="J48" s="43">
        <v>-17.408333333333335</v>
      </c>
      <c r="K48" s="43">
        <v>89.997633333333354</v>
      </c>
      <c r="L48" s="43">
        <v>0.17379999999999995</v>
      </c>
    </row>
    <row r="49" spans="1:12" x14ac:dyDescent="0.2">
      <c r="A49" s="43" t="s">
        <v>18</v>
      </c>
      <c r="B49" s="43">
        <v>1</v>
      </c>
      <c r="C49" s="43">
        <v>15.804366666666668</v>
      </c>
      <c r="D49" s="43">
        <v>0</v>
      </c>
      <c r="E49" s="43">
        <v>12.21</v>
      </c>
      <c r="F49" s="43">
        <v>2</v>
      </c>
      <c r="G49" s="43"/>
      <c r="H49" s="43">
        <v>7.4333333333333343E-3</v>
      </c>
      <c r="I49" s="43">
        <v>0.14145000000000002</v>
      </c>
      <c r="J49" s="43">
        <v>-8.3933333333333326</v>
      </c>
      <c r="K49" s="43">
        <v>53.261533333333333</v>
      </c>
      <c r="L49" s="43">
        <v>0.20244999999999999</v>
      </c>
    </row>
    <row r="50" spans="1:12" x14ac:dyDescent="0.2">
      <c r="A50" s="44" t="s">
        <v>18</v>
      </c>
      <c r="B50" s="44">
        <v>1</v>
      </c>
      <c r="C50" s="44">
        <v>16.662966666666662</v>
      </c>
      <c r="D50" s="44">
        <v>0</v>
      </c>
      <c r="E50" s="44">
        <v>3.24</v>
      </c>
      <c r="F50" s="44">
        <v>2</v>
      </c>
      <c r="G50" s="44"/>
      <c r="H50" s="44">
        <v>2.3033333333333329E-2</v>
      </c>
      <c r="I50" s="44">
        <v>0.17655000000000004</v>
      </c>
      <c r="J50" s="44">
        <v>-12.841666666666667</v>
      </c>
      <c r="K50" s="44">
        <v>2.0240499999999999</v>
      </c>
      <c r="L50" s="44">
        <v>0.26708333333333328</v>
      </c>
    </row>
    <row r="51" spans="1:12" x14ac:dyDescent="0.2">
      <c r="A51" s="43" t="s">
        <v>18</v>
      </c>
      <c r="B51" s="43">
        <v>2</v>
      </c>
      <c r="C51" s="43">
        <v>10.127311529026972</v>
      </c>
      <c r="D51" s="43">
        <v>1</v>
      </c>
      <c r="E51" s="43">
        <v>10.28</v>
      </c>
      <c r="F51" s="46">
        <v>4</v>
      </c>
      <c r="G51" s="43"/>
      <c r="H51" s="43">
        <v>0</v>
      </c>
      <c r="I51" s="43">
        <v>0.11878291087489845</v>
      </c>
      <c r="J51" s="43">
        <v>-6.1488143908422312E-2</v>
      </c>
      <c r="K51" s="43">
        <v>13.419363041700738</v>
      </c>
      <c r="L51" s="43">
        <v>0.8023331970564177</v>
      </c>
    </row>
    <row r="52" spans="1:12" x14ac:dyDescent="0.2">
      <c r="A52" s="44" t="s">
        <v>18</v>
      </c>
      <c r="B52" s="44">
        <v>2</v>
      </c>
      <c r="C52" s="44">
        <v>18.672477923139834</v>
      </c>
      <c r="D52" s="44">
        <v>0</v>
      </c>
      <c r="E52" s="44">
        <v>6.09</v>
      </c>
      <c r="F52" s="42">
        <v>3</v>
      </c>
      <c r="G52" s="44"/>
      <c r="H52" s="44">
        <v>0</v>
      </c>
      <c r="I52" s="44">
        <v>0.1538340147179042</v>
      </c>
      <c r="J52" s="44">
        <v>6.475878986099734E-2</v>
      </c>
      <c r="K52" s="44">
        <v>12.050046197874078</v>
      </c>
      <c r="L52" s="44">
        <v>0.56083524121013872</v>
      </c>
    </row>
    <row r="53" spans="1:12" x14ac:dyDescent="0.2">
      <c r="A53" s="43" t="s">
        <v>18</v>
      </c>
      <c r="B53" s="43">
        <v>2</v>
      </c>
      <c r="C53" s="43">
        <v>20.456005314799643</v>
      </c>
      <c r="D53" s="43">
        <v>0</v>
      </c>
      <c r="E53" s="43">
        <v>4.4000000000000004</v>
      </c>
      <c r="F53" s="41">
        <v>3</v>
      </c>
      <c r="G53" s="43"/>
      <c r="H53" s="43">
        <v>0</v>
      </c>
      <c r="I53" s="43">
        <v>0.16616721177432439</v>
      </c>
      <c r="J53" s="43">
        <v>-7.6947260834014726</v>
      </c>
      <c r="K53" s="43">
        <v>5.4047412101390009</v>
      </c>
      <c r="L53" s="43">
        <v>0.63936426819296865</v>
      </c>
    </row>
    <row r="54" spans="1:12" x14ac:dyDescent="0.2">
      <c r="A54" s="44" t="s">
        <v>18</v>
      </c>
      <c r="B54" s="44">
        <v>2</v>
      </c>
      <c r="C54" s="44">
        <v>21.354136958299254</v>
      </c>
      <c r="D54" s="44">
        <v>0</v>
      </c>
      <c r="E54" s="44">
        <v>3.81</v>
      </c>
      <c r="F54" s="42">
        <v>2</v>
      </c>
      <c r="G54" s="44"/>
      <c r="H54" s="44">
        <v>0</v>
      </c>
      <c r="I54" s="44">
        <v>0.17661692559280429</v>
      </c>
      <c r="J54" s="44">
        <v>4.8814390842191767E-2</v>
      </c>
      <c r="K54" s="44">
        <v>0.27500613246116112</v>
      </c>
      <c r="L54" s="44">
        <v>0.52669419460343436</v>
      </c>
    </row>
    <row r="55" spans="1:12" x14ac:dyDescent="0.2">
      <c r="A55" s="43" t="s">
        <v>18</v>
      </c>
      <c r="B55" s="43">
        <v>2</v>
      </c>
      <c r="C55" s="43">
        <v>20.88450367947673</v>
      </c>
      <c r="D55" s="43">
        <v>0</v>
      </c>
      <c r="E55" s="43">
        <v>3.17</v>
      </c>
      <c r="F55" s="41">
        <v>2</v>
      </c>
      <c r="G55" s="43"/>
      <c r="H55" s="43">
        <v>0</v>
      </c>
      <c r="I55" s="43">
        <v>0.16340760425183826</v>
      </c>
      <c r="J55" s="43">
        <v>-8.0376533115290449</v>
      </c>
      <c r="K55" s="43">
        <v>67.047457890433321</v>
      </c>
      <c r="L55" s="43">
        <v>0.55389452166802977</v>
      </c>
    </row>
    <row r="56" spans="1:12" x14ac:dyDescent="0.2">
      <c r="A56" s="44" t="s">
        <v>18</v>
      </c>
      <c r="B56" s="44">
        <v>3</v>
      </c>
      <c r="C56" s="44">
        <v>10.447785714285711</v>
      </c>
      <c r="D56" s="44">
        <v>0</v>
      </c>
      <c r="E56" s="44">
        <v>5.26</v>
      </c>
      <c r="F56" s="45">
        <v>4</v>
      </c>
      <c r="G56" s="44"/>
      <c r="H56" s="44">
        <v>0</v>
      </c>
      <c r="I56" s="44">
        <v>0.11499999999999998</v>
      </c>
      <c r="J56" s="44">
        <v>-3.0952380952380943E-2</v>
      </c>
      <c r="K56" s="44">
        <v>0</v>
      </c>
      <c r="L56" s="44">
        <v>0.43621428571428567</v>
      </c>
    </row>
    <row r="57" spans="1:12" x14ac:dyDescent="0.2">
      <c r="A57" s="43" t="s">
        <v>18</v>
      </c>
      <c r="B57" s="43">
        <v>3</v>
      </c>
      <c r="C57" s="43">
        <v>7.2987857142857155</v>
      </c>
      <c r="D57" s="43">
        <v>0</v>
      </c>
      <c r="E57" s="43">
        <v>5.54</v>
      </c>
      <c r="F57" s="43">
        <v>3</v>
      </c>
      <c r="G57" s="43"/>
      <c r="H57" s="43">
        <v>0.14507142857142855</v>
      </c>
      <c r="I57" s="43">
        <v>4.9142857142857141E-2</v>
      </c>
      <c r="J57" s="43">
        <v>-21.145238095238096</v>
      </c>
      <c r="K57" s="43">
        <v>7.6451428571428561</v>
      </c>
      <c r="L57" s="43">
        <v>0.92033333333333289</v>
      </c>
    </row>
    <row r="58" spans="1:12" x14ac:dyDescent="0.2">
      <c r="A58" s="44" t="s">
        <v>18</v>
      </c>
      <c r="B58" s="44">
        <v>3</v>
      </c>
      <c r="C58" s="44">
        <v>8.2896428571428569</v>
      </c>
      <c r="D58" s="44">
        <v>1</v>
      </c>
      <c r="E58" s="44">
        <v>2.06</v>
      </c>
      <c r="F58" s="44">
        <v>3</v>
      </c>
      <c r="G58" s="44"/>
      <c r="H58" s="44">
        <v>4.9690476190476195E-2</v>
      </c>
      <c r="I58" s="44">
        <v>9.6833333333333341E-2</v>
      </c>
      <c r="J58" s="44">
        <v>-14.133333333333335</v>
      </c>
      <c r="K58" s="44">
        <v>61.982761904761901</v>
      </c>
      <c r="L58" s="44">
        <v>0.74335714285714294</v>
      </c>
    </row>
    <row r="59" spans="1:12" x14ac:dyDescent="0.2">
      <c r="A59" s="41" t="s">
        <v>18</v>
      </c>
      <c r="B59" s="41">
        <v>3</v>
      </c>
      <c r="C59" s="41">
        <v>14.109404761904759</v>
      </c>
      <c r="D59" s="41">
        <v>1</v>
      </c>
      <c r="E59" s="41">
        <v>3.25</v>
      </c>
      <c r="F59" s="43">
        <v>2</v>
      </c>
      <c r="G59" s="41"/>
      <c r="H59" s="41">
        <v>1.2285714285714285E-2</v>
      </c>
      <c r="I59" s="41">
        <v>0.14992857142857144</v>
      </c>
      <c r="J59" s="41">
        <v>-7.5309523809523808</v>
      </c>
      <c r="K59" s="41">
        <v>46.370738095238089</v>
      </c>
      <c r="L59" s="41">
        <v>0.80469047619047607</v>
      </c>
    </row>
    <row r="60" spans="1:12" x14ac:dyDescent="0.2">
      <c r="A60" s="42" t="s">
        <v>18</v>
      </c>
      <c r="B60" s="42">
        <v>3</v>
      </c>
      <c r="C60" s="42">
        <v>7.7511190476190492</v>
      </c>
      <c r="D60" s="42">
        <v>1</v>
      </c>
      <c r="E60" s="42">
        <v>8.19</v>
      </c>
      <c r="F60" s="44">
        <v>2</v>
      </c>
      <c r="G60" s="42"/>
      <c r="H60" s="42">
        <v>0.14683333333333332</v>
      </c>
      <c r="I60" s="42">
        <v>7.509523809523809E-2</v>
      </c>
      <c r="J60" s="42">
        <v>-1.8214285714285714</v>
      </c>
      <c r="K60" s="42">
        <v>66.414285714285711</v>
      </c>
      <c r="L60" s="42">
        <v>0.34669047619047599</v>
      </c>
    </row>
    <row r="61" spans="1:12" x14ac:dyDescent="0.2">
      <c r="A61" s="41" t="s">
        <v>19</v>
      </c>
      <c r="B61" s="41">
        <v>1</v>
      </c>
      <c r="C61" s="41">
        <v>14.146119047619049</v>
      </c>
      <c r="D61" s="43">
        <v>0</v>
      </c>
      <c r="E61" s="41">
        <v>7.74</v>
      </c>
      <c r="F61" s="46">
        <v>4</v>
      </c>
      <c r="G61" s="41"/>
      <c r="H61" s="41">
        <v>5.261904761904761E-3</v>
      </c>
      <c r="I61" s="41">
        <v>0.14852380952380953</v>
      </c>
      <c r="J61" s="41">
        <v>0.43571428571428555</v>
      </c>
      <c r="K61" s="41">
        <v>107.35461904761902</v>
      </c>
      <c r="L61" s="41">
        <v>0.56850000000000001</v>
      </c>
    </row>
    <row r="62" spans="1:12" x14ac:dyDescent="0.2">
      <c r="A62" s="42" t="s">
        <v>19</v>
      </c>
      <c r="B62" s="42">
        <v>1</v>
      </c>
      <c r="C62" s="42">
        <v>13.871285714285714</v>
      </c>
      <c r="D62" s="44">
        <v>0</v>
      </c>
      <c r="E62" s="42">
        <v>4.9800000000000004</v>
      </c>
      <c r="F62" s="42">
        <v>3</v>
      </c>
      <c r="G62" s="42"/>
      <c r="H62" s="42">
        <v>1.8690476190476188E-2</v>
      </c>
      <c r="I62" s="42">
        <v>0.15307142857142855</v>
      </c>
      <c r="J62" s="42">
        <v>-11.87142857142857</v>
      </c>
      <c r="K62" s="42">
        <v>14.365880952380952</v>
      </c>
      <c r="L62" s="42">
        <v>-3.4333333333333362E-2</v>
      </c>
    </row>
    <row r="63" spans="1:12" x14ac:dyDescent="0.2">
      <c r="A63" s="41" t="s">
        <v>19</v>
      </c>
      <c r="B63" s="41">
        <v>1</v>
      </c>
      <c r="C63" s="41">
        <v>16.344047619047622</v>
      </c>
      <c r="D63" s="43">
        <v>0</v>
      </c>
      <c r="E63" s="41">
        <v>5.12</v>
      </c>
      <c r="F63" s="41">
        <v>3</v>
      </c>
      <c r="G63" s="41"/>
      <c r="H63" s="41">
        <v>0</v>
      </c>
      <c r="I63" s="41">
        <v>0.10169047619047619</v>
      </c>
      <c r="J63" s="41">
        <v>-6.9761904761904763</v>
      </c>
      <c r="K63" s="41">
        <v>0</v>
      </c>
      <c r="L63" s="41">
        <v>0.71723809523809523</v>
      </c>
    </row>
    <row r="64" spans="1:12" x14ac:dyDescent="0.2">
      <c r="A64" s="42" t="s">
        <v>19</v>
      </c>
      <c r="B64" s="42">
        <v>1</v>
      </c>
      <c r="C64" s="42">
        <v>14.988261904761909</v>
      </c>
      <c r="D64" s="44">
        <v>0</v>
      </c>
      <c r="E64" s="42">
        <v>4.2</v>
      </c>
      <c r="F64" s="42">
        <v>2</v>
      </c>
      <c r="G64" s="42"/>
      <c r="H64" s="42">
        <v>0</v>
      </c>
      <c r="I64" s="42">
        <v>0.11428571428571432</v>
      </c>
      <c r="J64" s="42">
        <v>-0.79047619047619089</v>
      </c>
      <c r="K64" s="42">
        <v>8.4364285714285732</v>
      </c>
      <c r="L64" s="42">
        <v>0.196047619047619</v>
      </c>
    </row>
    <row r="65" spans="1:12" x14ac:dyDescent="0.2">
      <c r="A65" s="41" t="s">
        <v>19</v>
      </c>
      <c r="B65" s="41">
        <v>1</v>
      </c>
      <c r="C65" s="41">
        <v>12.014238095238097</v>
      </c>
      <c r="D65" s="43">
        <v>0</v>
      </c>
      <c r="E65" s="41">
        <v>2.76</v>
      </c>
      <c r="F65" s="41">
        <v>2</v>
      </c>
      <c r="G65" s="41"/>
      <c r="H65" s="41">
        <v>1.7119047619047617E-2</v>
      </c>
      <c r="I65" s="41">
        <v>0.12566666666666665</v>
      </c>
      <c r="J65" s="41">
        <v>-15.707142857142859</v>
      </c>
      <c r="K65" s="41">
        <v>20.696428571428573</v>
      </c>
      <c r="L65" s="41">
        <v>-7.047619047619047E-2</v>
      </c>
    </row>
    <row r="66" spans="1:12" x14ac:dyDescent="0.2">
      <c r="A66" s="42" t="s">
        <v>19</v>
      </c>
      <c r="B66" s="42">
        <v>2</v>
      </c>
      <c r="C66" s="42">
        <v>14.181570543702652</v>
      </c>
      <c r="D66" s="44">
        <v>1</v>
      </c>
      <c r="E66" s="42">
        <v>12.24</v>
      </c>
      <c r="F66" s="45">
        <v>4</v>
      </c>
      <c r="G66" s="42"/>
      <c r="H66" s="42">
        <v>0</v>
      </c>
      <c r="I66" s="42">
        <v>0.13664624913970999</v>
      </c>
      <c r="J66" s="42">
        <v>-0.27852718513420849</v>
      </c>
      <c r="K66" s="42">
        <v>11.14174294562973</v>
      </c>
      <c r="L66" s="42">
        <v>0.94688953888506278</v>
      </c>
    </row>
    <row r="67" spans="1:12" x14ac:dyDescent="0.2">
      <c r="A67" s="41" t="s">
        <v>19</v>
      </c>
      <c r="B67" s="41">
        <v>2</v>
      </c>
      <c r="C67" s="41">
        <v>18.402519270474858</v>
      </c>
      <c r="D67" s="43">
        <v>2</v>
      </c>
      <c r="E67" s="41">
        <v>14.48</v>
      </c>
      <c r="F67" s="43">
        <v>3</v>
      </c>
      <c r="G67" s="41"/>
      <c r="H67" s="41">
        <v>0</v>
      </c>
      <c r="I67" s="41">
        <v>0.13380144528561524</v>
      </c>
      <c r="J67" s="41">
        <v>-5.7195801789401184</v>
      </c>
      <c r="K67" s="41">
        <v>68.882732622160958</v>
      </c>
      <c r="L67" s="41">
        <v>0.58880213351686272</v>
      </c>
    </row>
    <row r="68" spans="1:12" x14ac:dyDescent="0.2">
      <c r="A68" s="42" t="s">
        <v>19</v>
      </c>
      <c r="B68" s="42">
        <v>2</v>
      </c>
      <c r="C68" s="42">
        <v>18.075516517549826</v>
      </c>
      <c r="D68" s="44">
        <v>0</v>
      </c>
      <c r="E68" s="42">
        <v>8.67</v>
      </c>
      <c r="F68" s="44">
        <v>3</v>
      </c>
      <c r="G68" s="42"/>
      <c r="H68" s="42">
        <v>0</v>
      </c>
      <c r="I68" s="42">
        <v>0.15413833448038528</v>
      </c>
      <c r="J68" s="42">
        <v>-0.87914659325532774</v>
      </c>
      <c r="K68" s="42">
        <v>8.5168799036476237</v>
      </c>
      <c r="L68" s="42">
        <v>0.49590880935994641</v>
      </c>
    </row>
    <row r="69" spans="1:12" x14ac:dyDescent="0.2">
      <c r="A69" s="41" t="s">
        <v>19</v>
      </c>
      <c r="B69" s="41">
        <v>2</v>
      </c>
      <c r="C69" s="41">
        <v>18.117944941500372</v>
      </c>
      <c r="D69" s="43">
        <v>0</v>
      </c>
      <c r="E69" s="41">
        <v>3.65</v>
      </c>
      <c r="F69" s="43">
        <v>2</v>
      </c>
      <c r="G69" s="41"/>
      <c r="H69" s="41">
        <v>2.2670337233310395E-3</v>
      </c>
      <c r="I69" s="41">
        <v>0.13406434962147207</v>
      </c>
      <c r="J69" s="41">
        <v>-7.0411562284927793</v>
      </c>
      <c r="K69" s="41">
        <v>110.22790467997243</v>
      </c>
      <c r="L69" s="41">
        <v>0.40300550584996608</v>
      </c>
    </row>
    <row r="70" spans="1:12" x14ac:dyDescent="0.2">
      <c r="A70" s="42" t="s">
        <v>19</v>
      </c>
      <c r="B70" s="42">
        <v>2</v>
      </c>
      <c r="C70" s="42">
        <v>17.365099793530671</v>
      </c>
      <c r="D70" s="44">
        <v>0</v>
      </c>
      <c r="E70" s="42">
        <v>4.71</v>
      </c>
      <c r="F70" s="44">
        <v>2</v>
      </c>
      <c r="G70" s="42"/>
      <c r="H70" s="42">
        <v>1.4460426703372321E-2</v>
      </c>
      <c r="I70" s="42">
        <v>0.13854507914659314</v>
      </c>
      <c r="J70" s="42">
        <v>-7.0818995182379413E-2</v>
      </c>
      <c r="K70" s="42">
        <v>94.699694425327138</v>
      </c>
      <c r="L70" s="42">
        <v>0.24894115622849325</v>
      </c>
    </row>
    <row r="71" spans="1:12" x14ac:dyDescent="0.2">
      <c r="A71" s="41" t="s">
        <v>19</v>
      </c>
      <c r="B71" s="41">
        <v>3</v>
      </c>
      <c r="C71" s="41">
        <v>16.088153846153848</v>
      </c>
      <c r="D71" s="43">
        <v>0</v>
      </c>
      <c r="E71" s="41">
        <v>7.21</v>
      </c>
      <c r="F71" s="46">
        <v>4</v>
      </c>
      <c r="G71" s="41"/>
      <c r="H71" s="41">
        <v>0</v>
      </c>
      <c r="I71" s="41">
        <v>0.18930769230769232</v>
      </c>
      <c r="J71" s="41">
        <v>0.24102564102564103</v>
      </c>
      <c r="K71" s="41">
        <v>0</v>
      </c>
      <c r="L71" s="41">
        <v>-0.10264102564102565</v>
      </c>
    </row>
    <row r="72" spans="1:12" x14ac:dyDescent="0.2">
      <c r="A72" s="42" t="s">
        <v>19</v>
      </c>
      <c r="B72" s="42">
        <v>3</v>
      </c>
      <c r="C72" s="42">
        <v>12.649230769230771</v>
      </c>
      <c r="D72" s="44">
        <v>0</v>
      </c>
      <c r="E72" s="42">
        <v>5.38</v>
      </c>
      <c r="F72" s="42">
        <v>3</v>
      </c>
      <c r="G72" s="42"/>
      <c r="H72" s="42">
        <v>4.1461538461538459E-2</v>
      </c>
      <c r="I72" s="42">
        <v>0.13130769230769229</v>
      </c>
      <c r="J72" s="42">
        <v>-17.517948717948709</v>
      </c>
      <c r="K72" s="42">
        <v>30.479435897435906</v>
      </c>
      <c r="L72" s="42">
        <v>0.26469230769230773</v>
      </c>
    </row>
    <row r="73" spans="1:12" x14ac:dyDescent="0.2">
      <c r="A73" s="41" t="s">
        <v>19</v>
      </c>
      <c r="B73" s="41">
        <v>3</v>
      </c>
      <c r="C73" s="41">
        <v>15.210307692307687</v>
      </c>
      <c r="D73" s="43">
        <v>0</v>
      </c>
      <c r="E73" s="41">
        <v>5.52</v>
      </c>
      <c r="F73" s="41">
        <v>3</v>
      </c>
      <c r="G73" s="41"/>
      <c r="H73" s="41">
        <v>0</v>
      </c>
      <c r="I73" s="41">
        <v>0.10694871794871794</v>
      </c>
      <c r="J73" s="41">
        <v>-9.2358974358974368</v>
      </c>
      <c r="K73" s="41">
        <v>6.5324871794871795</v>
      </c>
      <c r="L73" s="41">
        <v>-2.5641025641025664E-2</v>
      </c>
    </row>
    <row r="74" spans="1:12" x14ac:dyDescent="0.2">
      <c r="A74" s="42" t="s">
        <v>19</v>
      </c>
      <c r="B74" s="42">
        <v>3</v>
      </c>
      <c r="C74" s="42">
        <v>15.038051282051283</v>
      </c>
      <c r="D74" s="44">
        <v>0</v>
      </c>
      <c r="E74" s="42">
        <v>3.94</v>
      </c>
      <c r="F74" s="42">
        <v>2</v>
      </c>
      <c r="G74" s="42"/>
      <c r="H74" s="42">
        <v>1.9E-2</v>
      </c>
      <c r="I74" s="42">
        <v>0.11046153846153849</v>
      </c>
      <c r="J74" s="42">
        <v>-16.043589743589745</v>
      </c>
      <c r="K74" s="42">
        <v>4.6249487179487181</v>
      </c>
      <c r="L74" s="42">
        <v>4.9999999999999906E-3</v>
      </c>
    </row>
    <row r="75" spans="1:12" x14ac:dyDescent="0.2">
      <c r="A75" s="41" t="s">
        <v>19</v>
      </c>
      <c r="B75" s="41">
        <v>3</v>
      </c>
      <c r="C75" s="41">
        <v>9.1251282051282043</v>
      </c>
      <c r="D75" s="43">
        <v>0</v>
      </c>
      <c r="E75" s="41">
        <v>4.51</v>
      </c>
      <c r="F75" s="41">
        <v>2</v>
      </c>
      <c r="G75" s="41"/>
      <c r="H75" s="41">
        <v>7.9846153846153844E-2</v>
      </c>
      <c r="I75" s="41">
        <v>9.274358974358976E-2</v>
      </c>
      <c r="J75" s="41">
        <v>1.0717948717948718</v>
      </c>
      <c r="K75" s="41">
        <v>82.758153846153846</v>
      </c>
      <c r="L75" s="41">
        <v>-0.34866666666666662</v>
      </c>
    </row>
    <row r="76" spans="1:12" x14ac:dyDescent="0.2">
      <c r="A76" s="42" t="s">
        <v>21</v>
      </c>
      <c r="B76" s="42">
        <v>1</v>
      </c>
      <c r="C76" s="42">
        <v>19.56165789473685</v>
      </c>
      <c r="D76" s="42">
        <v>0</v>
      </c>
      <c r="E76" s="42">
        <v>9.2899999999999991</v>
      </c>
      <c r="F76" s="45">
        <v>4</v>
      </c>
      <c r="G76" s="42"/>
      <c r="H76" s="42">
        <v>0</v>
      </c>
      <c r="I76" s="42">
        <v>0.23423684210526316</v>
      </c>
      <c r="J76" s="42">
        <v>0.23421052631578942</v>
      </c>
      <c r="K76" s="42">
        <v>145.22147368421048</v>
      </c>
      <c r="L76" s="42">
        <v>0.48413157894736847</v>
      </c>
    </row>
    <row r="77" spans="1:12" x14ac:dyDescent="0.2">
      <c r="A77" s="41" t="s">
        <v>21</v>
      </c>
      <c r="B77" s="41">
        <v>1</v>
      </c>
      <c r="C77" s="41">
        <v>16.486368421052632</v>
      </c>
      <c r="D77" s="41">
        <v>0</v>
      </c>
      <c r="E77" s="41">
        <v>8.6300000000000008</v>
      </c>
      <c r="F77" s="43">
        <v>4</v>
      </c>
      <c r="G77" s="41"/>
      <c r="H77" s="41">
        <v>4.3631578947368417E-2</v>
      </c>
      <c r="I77" s="41">
        <v>0.16842105263157894</v>
      </c>
      <c r="J77" s="41">
        <v>-13.286842105263156</v>
      </c>
      <c r="K77" s="41">
        <v>45.274973684210529</v>
      </c>
      <c r="L77" s="41">
        <v>0.1746842105263158</v>
      </c>
    </row>
    <row r="78" spans="1:12" x14ac:dyDescent="0.2">
      <c r="A78" s="42" t="s">
        <v>21</v>
      </c>
      <c r="B78" s="42">
        <v>1</v>
      </c>
      <c r="C78" s="42">
        <v>19.956342105263154</v>
      </c>
      <c r="D78" s="42">
        <v>1</v>
      </c>
      <c r="E78" s="42">
        <v>8.98</v>
      </c>
      <c r="F78" s="44">
        <v>3</v>
      </c>
      <c r="G78" s="42"/>
      <c r="H78" s="42">
        <v>1.5E-3</v>
      </c>
      <c r="I78" s="42">
        <v>0.22784210526315787</v>
      </c>
      <c r="J78" s="42">
        <v>-8.3947368421052655</v>
      </c>
      <c r="K78" s="42">
        <v>28.153868421052632</v>
      </c>
      <c r="L78" s="42">
        <v>0.14549999999999996</v>
      </c>
    </row>
    <row r="79" spans="1:12" x14ac:dyDescent="0.2">
      <c r="A79" s="41" t="s">
        <v>21</v>
      </c>
      <c r="B79" s="41">
        <v>1</v>
      </c>
      <c r="C79" s="41">
        <v>11.710263157894737</v>
      </c>
      <c r="D79" s="41">
        <v>0</v>
      </c>
      <c r="E79" s="41">
        <v>3.74</v>
      </c>
      <c r="F79" s="43">
        <v>3</v>
      </c>
      <c r="G79" s="41"/>
      <c r="H79" s="41">
        <v>1.1157894736842104E-2</v>
      </c>
      <c r="I79" s="41">
        <v>5.105263157894737E-2</v>
      </c>
      <c r="J79" s="41">
        <v>-0.47105263157894733</v>
      </c>
      <c r="K79" s="41">
        <v>33.61771052631579</v>
      </c>
      <c r="L79" s="41">
        <v>1.9763157894736847E-2</v>
      </c>
    </row>
    <row r="80" spans="1:12" x14ac:dyDescent="0.2">
      <c r="A80" s="42" t="s">
        <v>21</v>
      </c>
      <c r="B80" s="42">
        <v>1</v>
      </c>
      <c r="C80" s="42">
        <v>7.7703947368421034</v>
      </c>
      <c r="D80" s="42">
        <v>0</v>
      </c>
      <c r="E80" s="42">
        <v>2.29</v>
      </c>
      <c r="F80" s="44">
        <v>2</v>
      </c>
      <c r="G80" s="42"/>
      <c r="H80" s="42">
        <v>1.973684210526316E-2</v>
      </c>
      <c r="I80" s="42">
        <v>8.0552631578947362E-2</v>
      </c>
      <c r="J80" s="42">
        <v>-16.149999999999999</v>
      </c>
      <c r="K80" s="42">
        <v>17.494263157894739</v>
      </c>
      <c r="L80" s="42">
        <v>0.24539473684210525</v>
      </c>
    </row>
    <row r="81" spans="1:12" x14ac:dyDescent="0.2">
      <c r="A81" s="41" t="s">
        <v>21</v>
      </c>
      <c r="B81" s="41">
        <v>1</v>
      </c>
      <c r="C81" s="41">
        <v>16.478026315789474</v>
      </c>
      <c r="D81" s="41">
        <v>0</v>
      </c>
      <c r="E81" s="41">
        <v>4.29</v>
      </c>
      <c r="F81" s="41">
        <v>2</v>
      </c>
      <c r="G81" s="41"/>
      <c r="H81" s="41">
        <v>4.6315789473684206E-3</v>
      </c>
      <c r="I81" s="41">
        <v>0.4836052631578947</v>
      </c>
      <c r="J81" s="41">
        <v>-1.5078947368421052</v>
      </c>
      <c r="K81" s="41">
        <v>15.010526315789477</v>
      </c>
      <c r="L81" s="41">
        <v>2.5710526315789458E-2</v>
      </c>
    </row>
    <row r="82" spans="1:12" x14ac:dyDescent="0.2">
      <c r="A82" s="42" t="s">
        <v>21</v>
      </c>
      <c r="B82" s="42">
        <v>2</v>
      </c>
      <c r="C82" s="42">
        <v>23.362260319207493</v>
      </c>
      <c r="D82" s="42">
        <v>0</v>
      </c>
      <c r="E82" s="42">
        <v>4.41</v>
      </c>
      <c r="F82" s="45">
        <v>4</v>
      </c>
      <c r="G82" s="42"/>
      <c r="H82" s="42">
        <v>0</v>
      </c>
      <c r="I82" s="42">
        <v>0.49077875619152395</v>
      </c>
      <c r="J82" s="42">
        <v>0.51034672537148917</v>
      </c>
      <c r="K82" s="42">
        <v>0</v>
      </c>
      <c r="L82" s="42">
        <v>-0.29121794166208037</v>
      </c>
    </row>
    <row r="83" spans="1:12" x14ac:dyDescent="0.2">
      <c r="A83" s="41" t="s">
        <v>21</v>
      </c>
      <c r="B83" s="41">
        <v>2</v>
      </c>
      <c r="C83" s="41">
        <v>34.939642267473857</v>
      </c>
      <c r="D83" s="41">
        <v>0</v>
      </c>
      <c r="E83" s="41">
        <v>5.17</v>
      </c>
      <c r="F83" s="43">
        <v>4</v>
      </c>
      <c r="G83" s="41"/>
      <c r="H83" s="41">
        <v>6.3973582828838757E-3</v>
      </c>
      <c r="I83" s="41">
        <v>0.50325151348376607</v>
      </c>
      <c r="J83" s="41">
        <v>-12.193615850302708</v>
      </c>
      <c r="K83" s="41">
        <v>102.15478315905345</v>
      </c>
      <c r="L83" s="41">
        <v>-0.22411887727022564</v>
      </c>
    </row>
    <row r="84" spans="1:12" x14ac:dyDescent="0.2">
      <c r="A84" s="42" t="s">
        <v>21</v>
      </c>
      <c r="B84" s="42">
        <v>2</v>
      </c>
      <c r="C84" s="42">
        <v>38.007719867914105</v>
      </c>
      <c r="D84" s="42">
        <v>0</v>
      </c>
      <c r="E84" s="42">
        <v>5.4</v>
      </c>
      <c r="F84" s="44">
        <v>3</v>
      </c>
      <c r="G84" s="42"/>
      <c r="H84" s="42">
        <v>2.4986241056686844E-3</v>
      </c>
      <c r="I84" s="42">
        <v>0.66399174463401156</v>
      </c>
      <c r="J84" s="42">
        <v>-6.9895432030819798E-2</v>
      </c>
      <c r="K84" s="42">
        <v>79.319921849201805</v>
      </c>
      <c r="L84" s="42">
        <v>0.21485470555861277</v>
      </c>
    </row>
    <row r="85" spans="1:12" x14ac:dyDescent="0.2">
      <c r="A85" s="41" t="s">
        <v>21</v>
      </c>
      <c r="B85" s="41">
        <v>2</v>
      </c>
      <c r="C85" s="41">
        <v>36.883058888277397</v>
      </c>
      <c r="D85" s="41">
        <v>0</v>
      </c>
      <c r="E85" s="41">
        <v>3.01</v>
      </c>
      <c r="F85" s="43">
        <v>3</v>
      </c>
      <c r="G85" s="41"/>
      <c r="H85" s="41">
        <v>1.8161805173362687E-5</v>
      </c>
      <c r="I85" s="41">
        <v>0.60353824986240812</v>
      </c>
      <c r="J85" s="41">
        <v>-13.309631260319202</v>
      </c>
      <c r="K85" s="41">
        <v>21.35891634562465</v>
      </c>
      <c r="L85" s="41">
        <v>0.29873087506879464</v>
      </c>
    </row>
    <row r="86" spans="1:12" x14ac:dyDescent="0.2">
      <c r="A86" s="42" t="s">
        <v>21</v>
      </c>
      <c r="B86" s="42">
        <v>2</v>
      </c>
      <c r="C86" s="42">
        <v>36.267837094111101</v>
      </c>
      <c r="D86" s="42">
        <v>0</v>
      </c>
      <c r="E86" s="42">
        <v>1.75</v>
      </c>
      <c r="F86" s="44">
        <v>2</v>
      </c>
      <c r="G86" s="42"/>
      <c r="H86" s="42">
        <v>0</v>
      </c>
      <c r="I86" s="42">
        <v>0.53570555861309677</v>
      </c>
      <c r="J86" s="42">
        <v>-12.990203632361041</v>
      </c>
      <c r="K86" s="42">
        <v>31.74100605393507</v>
      </c>
      <c r="L86" s="42">
        <v>0.12026692350027525</v>
      </c>
    </row>
    <row r="87" spans="1:12" x14ac:dyDescent="0.2">
      <c r="A87" s="41" t="s">
        <v>21</v>
      </c>
      <c r="B87" s="41">
        <v>2</v>
      </c>
      <c r="C87" s="41">
        <v>34.750372592184931</v>
      </c>
      <c r="D87" s="41">
        <v>1</v>
      </c>
      <c r="E87" s="41">
        <v>9.8699999999999992</v>
      </c>
      <c r="F87" s="41">
        <v>2</v>
      </c>
      <c r="G87" s="41"/>
      <c r="H87" s="41">
        <v>0</v>
      </c>
      <c r="I87" s="41">
        <v>0.54745514584480304</v>
      </c>
      <c r="J87" s="41">
        <v>-6.0594386351128335E-2</v>
      </c>
      <c r="K87" s="41">
        <v>0</v>
      </c>
      <c r="L87" s="41">
        <v>0.13704127682993941</v>
      </c>
    </row>
    <row r="88" spans="1:12" x14ac:dyDescent="0.2">
      <c r="A88" s="42" t="s">
        <v>21</v>
      </c>
      <c r="B88" s="42">
        <v>3</v>
      </c>
      <c r="C88" s="42">
        <v>18.905793103448271</v>
      </c>
      <c r="D88" s="42">
        <v>0</v>
      </c>
      <c r="E88" s="42">
        <v>4.16</v>
      </c>
      <c r="F88" s="45">
        <v>4</v>
      </c>
      <c r="G88" s="42"/>
      <c r="H88" s="42">
        <v>6.1034482758620685E-3</v>
      </c>
      <c r="I88" s="42">
        <v>0.31000000000000011</v>
      </c>
      <c r="J88" s="42">
        <v>0.11034482758620692</v>
      </c>
      <c r="K88" s="42">
        <v>0</v>
      </c>
      <c r="L88" s="42">
        <v>0.31168965517241376</v>
      </c>
    </row>
    <row r="89" spans="1:12" x14ac:dyDescent="0.2">
      <c r="A89" s="41" t="s">
        <v>21</v>
      </c>
      <c r="B89" s="41">
        <v>3</v>
      </c>
      <c r="C89" s="41">
        <v>9.1640344827586215</v>
      </c>
      <c r="D89" s="41">
        <v>0</v>
      </c>
      <c r="E89" s="41">
        <v>3.42</v>
      </c>
      <c r="F89" s="43">
        <v>4</v>
      </c>
      <c r="G89" s="41"/>
      <c r="H89" s="41">
        <v>4.1482758620689661E-2</v>
      </c>
      <c r="I89" s="41">
        <v>6.9620689655172402E-2</v>
      </c>
      <c r="J89" s="41">
        <v>-17.882758620689657</v>
      </c>
      <c r="K89" s="41">
        <v>9.2116206896551738</v>
      </c>
      <c r="L89" s="41">
        <v>-8.3862068965517234E-2</v>
      </c>
    </row>
    <row r="90" spans="1:12" x14ac:dyDescent="0.2">
      <c r="A90" s="42" t="s">
        <v>21</v>
      </c>
      <c r="B90" s="42">
        <v>3</v>
      </c>
      <c r="C90" s="42">
        <v>15.101551724137931</v>
      </c>
      <c r="D90" s="42">
        <v>0</v>
      </c>
      <c r="E90" s="42">
        <v>2.54</v>
      </c>
      <c r="F90" s="44">
        <v>3</v>
      </c>
      <c r="G90" s="42"/>
      <c r="H90" s="42">
        <v>2.4862068965517244E-2</v>
      </c>
      <c r="I90" s="42">
        <v>0.14048275862068968</v>
      </c>
      <c r="J90" s="42">
        <v>0.39999999999999986</v>
      </c>
      <c r="K90" s="42">
        <v>0</v>
      </c>
      <c r="L90" s="42">
        <v>-0.17306896551724135</v>
      </c>
    </row>
    <row r="91" spans="1:12" x14ac:dyDescent="0.2">
      <c r="A91" s="41" t="s">
        <v>21</v>
      </c>
      <c r="B91" s="41">
        <v>3</v>
      </c>
      <c r="C91" s="41">
        <v>16.546482758620691</v>
      </c>
      <c r="D91" s="41">
        <v>0</v>
      </c>
      <c r="E91" s="41">
        <v>4.34</v>
      </c>
      <c r="F91" s="43">
        <v>3</v>
      </c>
      <c r="G91" s="41"/>
      <c r="H91" s="41">
        <v>2.379310344827586E-2</v>
      </c>
      <c r="I91" s="41">
        <v>0.18075862068965518</v>
      </c>
      <c r="J91" s="41">
        <v>-12.075862068965519</v>
      </c>
      <c r="K91" s="41">
        <v>22.481655172413795</v>
      </c>
      <c r="L91" s="41">
        <v>-3.4827586206896658E-3</v>
      </c>
    </row>
    <row r="92" spans="1:12" x14ac:dyDescent="0.2">
      <c r="A92" s="42" t="s">
        <v>21</v>
      </c>
      <c r="B92" s="42">
        <v>3</v>
      </c>
      <c r="C92" s="42">
        <v>14.982931034482759</v>
      </c>
      <c r="D92" s="42">
        <v>0</v>
      </c>
      <c r="E92" s="42">
        <v>1.57</v>
      </c>
      <c r="F92" s="44">
        <v>2</v>
      </c>
      <c r="G92" s="42"/>
      <c r="H92" s="42">
        <v>7.9310344827586213E-3</v>
      </c>
      <c r="I92" s="42">
        <v>0.18637931034482763</v>
      </c>
      <c r="J92" s="42">
        <v>-3.4482758620689523E-2</v>
      </c>
      <c r="K92" s="42">
        <v>28.824206896551726</v>
      </c>
      <c r="L92" s="42">
        <v>-1.1206896551724127E-2</v>
      </c>
    </row>
    <row r="93" spans="1:12" x14ac:dyDescent="0.2">
      <c r="A93" s="41" t="s">
        <v>21</v>
      </c>
      <c r="B93" s="41">
        <v>3</v>
      </c>
      <c r="C93" s="41">
        <v>13.144793103448272</v>
      </c>
      <c r="D93" s="41">
        <v>0</v>
      </c>
      <c r="E93" s="41">
        <v>2.6</v>
      </c>
      <c r="F93" s="41">
        <v>2</v>
      </c>
      <c r="G93" s="41"/>
      <c r="H93" s="41">
        <v>2.7413793103448277E-2</v>
      </c>
      <c r="I93" s="41">
        <v>9.8896551724137943E-2</v>
      </c>
      <c r="J93" s="41">
        <v>-18.310344827586217</v>
      </c>
      <c r="K93" s="41">
        <v>34.72706896551724</v>
      </c>
      <c r="L93" s="41">
        <v>0.30144827586206885</v>
      </c>
    </row>
    <row r="94" spans="1:12" x14ac:dyDescent="0.2">
      <c r="A94" s="42" t="s">
        <v>11</v>
      </c>
      <c r="B94" s="42">
        <v>1</v>
      </c>
      <c r="C94" s="42">
        <v>13.200259259259258</v>
      </c>
      <c r="D94" s="42">
        <v>0</v>
      </c>
      <c r="E94" s="42">
        <v>5.09</v>
      </c>
      <c r="F94" s="45">
        <v>4</v>
      </c>
      <c r="G94" s="42"/>
      <c r="H94" s="42">
        <v>0</v>
      </c>
      <c r="I94" s="42">
        <v>0.17603703703703696</v>
      </c>
      <c r="J94" s="42">
        <v>-5.7814814814814799</v>
      </c>
      <c r="K94" s="42">
        <v>0</v>
      </c>
      <c r="L94" s="42">
        <v>5.2555555555555557E-2</v>
      </c>
    </row>
    <row r="95" spans="1:12" x14ac:dyDescent="0.2">
      <c r="A95" s="41" t="s">
        <v>11</v>
      </c>
      <c r="B95" s="41">
        <v>1</v>
      </c>
      <c r="C95" s="41">
        <v>19.608296296296299</v>
      </c>
      <c r="D95" s="41">
        <v>0</v>
      </c>
      <c r="E95" s="41">
        <v>4.58</v>
      </c>
      <c r="F95" s="43">
        <v>4</v>
      </c>
      <c r="G95" s="41"/>
      <c r="H95" s="41">
        <v>8.518518518518519E-3</v>
      </c>
      <c r="I95" s="41">
        <v>0.14888888888888888</v>
      </c>
      <c r="J95" s="41">
        <v>0.11111111111111115</v>
      </c>
      <c r="K95" s="41">
        <v>0</v>
      </c>
      <c r="L95" s="41">
        <v>0.18211111111111108</v>
      </c>
    </row>
    <row r="96" spans="1:12" x14ac:dyDescent="0.2">
      <c r="A96" s="42" t="s">
        <v>11</v>
      </c>
      <c r="B96" s="42">
        <v>1</v>
      </c>
      <c r="C96" s="42">
        <v>11.583111111111112</v>
      </c>
      <c r="D96" s="42">
        <v>0</v>
      </c>
      <c r="E96" s="42">
        <v>2.58</v>
      </c>
      <c r="F96" s="44">
        <v>3</v>
      </c>
      <c r="G96" s="42"/>
      <c r="H96" s="42">
        <v>1.988888888888889E-2</v>
      </c>
      <c r="I96" s="42">
        <v>0.1411111111111111</v>
      </c>
      <c r="J96" s="42">
        <v>-21.225925925925921</v>
      </c>
      <c r="K96" s="42">
        <v>35.946296296296296</v>
      </c>
      <c r="L96" s="42">
        <v>9.6888888888888899E-2</v>
      </c>
    </row>
    <row r="97" spans="1:12" x14ac:dyDescent="0.2">
      <c r="A97" s="41" t="s">
        <v>11</v>
      </c>
      <c r="B97" s="41">
        <v>1</v>
      </c>
      <c r="C97" s="41">
        <v>19.694518518518517</v>
      </c>
      <c r="D97" s="41">
        <v>0</v>
      </c>
      <c r="E97" s="41">
        <v>5.33</v>
      </c>
      <c r="F97" s="43">
        <v>3</v>
      </c>
      <c r="G97" s="41"/>
      <c r="H97" s="41">
        <v>0</v>
      </c>
      <c r="I97" s="41">
        <v>0.16366666666666665</v>
      </c>
      <c r="J97" s="41">
        <v>-5.9888888888888898</v>
      </c>
      <c r="K97" s="41">
        <v>0</v>
      </c>
      <c r="L97" s="41">
        <v>5.9185185185185188E-2</v>
      </c>
    </row>
    <row r="98" spans="1:12" x14ac:dyDescent="0.2">
      <c r="A98" s="42" t="s">
        <v>11</v>
      </c>
      <c r="B98" s="42">
        <v>1</v>
      </c>
      <c r="C98" s="42">
        <v>16.37233333333333</v>
      </c>
      <c r="D98" s="42">
        <v>0</v>
      </c>
      <c r="E98" s="42">
        <v>1.36</v>
      </c>
      <c r="F98" s="44">
        <v>2</v>
      </c>
      <c r="G98" s="42"/>
      <c r="H98" s="42">
        <v>1.4592592592592593E-2</v>
      </c>
      <c r="I98" s="42">
        <v>7.5444444444444439E-2</v>
      </c>
      <c r="J98" s="42">
        <v>-5.7814814814814799</v>
      </c>
      <c r="K98" s="42">
        <v>27.994703703703703</v>
      </c>
      <c r="L98" s="42">
        <v>-0.102925925925926</v>
      </c>
    </row>
    <row r="99" spans="1:12" x14ac:dyDescent="0.2">
      <c r="A99" s="41" t="s">
        <v>11</v>
      </c>
      <c r="B99" s="41">
        <v>1</v>
      </c>
      <c r="C99" s="41">
        <v>9.4452962962962967</v>
      </c>
      <c r="D99" s="41">
        <v>0</v>
      </c>
      <c r="E99" s="41">
        <v>3.72</v>
      </c>
      <c r="F99" s="41">
        <v>2</v>
      </c>
      <c r="G99" s="41"/>
      <c r="H99" s="41">
        <v>0</v>
      </c>
      <c r="I99" s="41">
        <v>7.4333333333333335E-2</v>
      </c>
      <c r="J99" s="41">
        <v>0.11111111111111108</v>
      </c>
      <c r="K99" s="41">
        <v>18.113333333333326</v>
      </c>
      <c r="L99" s="41">
        <v>2.3962962962962967E-2</v>
      </c>
    </row>
    <row r="100" spans="1:12" x14ac:dyDescent="0.2">
      <c r="A100" s="42" t="s">
        <v>11</v>
      </c>
      <c r="B100" s="42">
        <v>3</v>
      </c>
      <c r="C100" s="42">
        <v>12.314965517241381</v>
      </c>
      <c r="D100" s="42">
        <v>0</v>
      </c>
      <c r="E100" s="42">
        <v>6.2</v>
      </c>
      <c r="F100" s="45">
        <v>4</v>
      </c>
      <c r="G100" s="42"/>
      <c r="H100" s="42">
        <v>0</v>
      </c>
      <c r="I100" s="42">
        <v>0.16782758620689661</v>
      </c>
      <c r="J100" s="42">
        <v>-0.59999999999999987</v>
      </c>
      <c r="K100" s="42">
        <v>20.736586206896551</v>
      </c>
      <c r="L100" s="42">
        <v>9.2862068965517214E-2</v>
      </c>
    </row>
    <row r="101" spans="1:12" x14ac:dyDescent="0.2">
      <c r="A101" s="41" t="s">
        <v>11</v>
      </c>
      <c r="B101" s="41">
        <v>3</v>
      </c>
      <c r="C101" s="41">
        <v>13.487275862068964</v>
      </c>
      <c r="D101" s="41">
        <v>0</v>
      </c>
      <c r="E101" s="41">
        <v>7.73</v>
      </c>
      <c r="F101" s="43">
        <v>4</v>
      </c>
      <c r="G101" s="41"/>
      <c r="H101" s="41">
        <v>3.7068965517241384E-2</v>
      </c>
      <c r="I101" s="41">
        <v>7.5241379310344844E-2</v>
      </c>
      <c r="J101" s="41">
        <v>-0.18965517241379309</v>
      </c>
      <c r="K101" s="41">
        <v>5.1388275862068955</v>
      </c>
      <c r="L101" s="41">
        <v>-0.19982758620689656</v>
      </c>
    </row>
    <row r="102" spans="1:12" x14ac:dyDescent="0.2">
      <c r="A102" s="42" t="s">
        <v>11</v>
      </c>
      <c r="B102" s="42">
        <v>3</v>
      </c>
      <c r="C102" s="42">
        <v>13.731</v>
      </c>
      <c r="D102" s="42">
        <v>0</v>
      </c>
      <c r="E102" s="42">
        <v>8.31</v>
      </c>
      <c r="F102" s="44">
        <v>3</v>
      </c>
      <c r="G102" s="42"/>
      <c r="H102" s="42">
        <v>0</v>
      </c>
      <c r="I102" s="42">
        <v>0.16679310344827589</v>
      </c>
      <c r="J102" s="42">
        <v>-19.572413793103436</v>
      </c>
      <c r="K102" s="42">
        <v>60.851137931034479</v>
      </c>
      <c r="L102" s="42">
        <v>-3.9379310344827577E-2</v>
      </c>
    </row>
    <row r="103" spans="1:12" x14ac:dyDescent="0.2">
      <c r="A103" s="41" t="s">
        <v>11</v>
      </c>
      <c r="B103" s="41">
        <v>3</v>
      </c>
      <c r="C103" s="41">
        <v>14.823758620689659</v>
      </c>
      <c r="D103" s="41">
        <v>0</v>
      </c>
      <c r="E103" s="41">
        <v>4.29</v>
      </c>
      <c r="F103" s="43">
        <v>3</v>
      </c>
      <c r="G103" s="41"/>
      <c r="H103" s="41">
        <v>1.0586206896551724E-2</v>
      </c>
      <c r="I103" s="41">
        <v>0.13344827586206898</v>
      </c>
      <c r="J103" s="41">
        <v>-8.586206896551726</v>
      </c>
      <c r="K103" s="41">
        <v>6.8657241379310356</v>
      </c>
      <c r="L103" s="41">
        <v>-0.12975862068965516</v>
      </c>
    </row>
    <row r="104" spans="1:12" x14ac:dyDescent="0.2">
      <c r="A104" s="42" t="s">
        <v>11</v>
      </c>
      <c r="B104" s="42">
        <v>3</v>
      </c>
      <c r="C104" s="42">
        <v>14.458517241379313</v>
      </c>
      <c r="D104" s="42">
        <v>0</v>
      </c>
      <c r="E104" s="42">
        <v>3.14</v>
      </c>
      <c r="F104" s="44">
        <v>2</v>
      </c>
      <c r="G104" s="42"/>
      <c r="H104" s="42">
        <v>3.1310344827586205E-2</v>
      </c>
      <c r="I104" s="42">
        <v>0.16034482758620691</v>
      </c>
      <c r="J104" s="42">
        <v>-4.4241379310344815</v>
      </c>
      <c r="K104" s="42">
        <v>26.659137931034479</v>
      </c>
      <c r="L104" s="42">
        <v>-0.26824137931034486</v>
      </c>
    </row>
    <row r="105" spans="1:12" x14ac:dyDescent="0.2">
      <c r="A105" s="41" t="s">
        <v>11</v>
      </c>
      <c r="B105" s="41">
        <v>3</v>
      </c>
      <c r="C105" s="41">
        <v>11.11913793103448</v>
      </c>
      <c r="D105" s="41">
        <v>0</v>
      </c>
      <c r="E105" s="41">
        <v>3.18</v>
      </c>
      <c r="F105" s="41">
        <v>2</v>
      </c>
      <c r="G105" s="41"/>
      <c r="H105" s="41">
        <v>3.5793103448275861E-2</v>
      </c>
      <c r="I105" s="41">
        <v>9.5068965517241352E-2</v>
      </c>
      <c r="J105" s="41">
        <v>-20.286206896551725</v>
      </c>
      <c r="K105" s="41">
        <v>35.898482758620688</v>
      </c>
      <c r="L105" s="41">
        <v>5.5344827586206909E-2</v>
      </c>
    </row>
    <row r="106" spans="1:12" x14ac:dyDescent="0.2">
      <c r="A106" s="42" t="s">
        <v>11</v>
      </c>
      <c r="B106" s="42">
        <v>2</v>
      </c>
      <c r="C106" s="42">
        <v>10.870646070192784</v>
      </c>
      <c r="D106" s="42">
        <v>0</v>
      </c>
      <c r="E106" s="42">
        <v>5</v>
      </c>
      <c r="F106" s="45">
        <v>4</v>
      </c>
      <c r="G106" s="42"/>
      <c r="H106" s="42">
        <v>0</v>
      </c>
      <c r="I106" s="42">
        <v>0.14947899159663813</v>
      </c>
      <c r="J106" s="42">
        <v>1.0389026198714768</v>
      </c>
      <c r="K106" s="42">
        <v>16.970426099851707</v>
      </c>
      <c r="L106" s="42">
        <v>0.6852718734552623</v>
      </c>
    </row>
    <row r="107" spans="1:12" x14ac:dyDescent="0.2">
      <c r="A107" s="41" t="s">
        <v>11</v>
      </c>
      <c r="B107" s="41">
        <v>2</v>
      </c>
      <c r="C107" s="41">
        <v>22.533027681660908</v>
      </c>
      <c r="D107" s="41">
        <v>0</v>
      </c>
      <c r="E107" s="41">
        <v>5.73</v>
      </c>
      <c r="F107" s="43">
        <v>4</v>
      </c>
      <c r="G107" s="41"/>
      <c r="H107" s="41">
        <v>0</v>
      </c>
      <c r="I107" s="41">
        <v>0.22943598615916871</v>
      </c>
      <c r="J107" s="41">
        <v>5.8131487889273699E-2</v>
      </c>
      <c r="K107" s="41">
        <v>4.8088981710331202</v>
      </c>
      <c r="L107" s="41">
        <v>0.29544340088976773</v>
      </c>
    </row>
    <row r="108" spans="1:12" x14ac:dyDescent="0.2">
      <c r="A108" s="42" t="s">
        <v>11</v>
      </c>
      <c r="B108" s="42">
        <v>2</v>
      </c>
      <c r="C108" s="42">
        <v>26.264284725654896</v>
      </c>
      <c r="D108" s="42">
        <v>0</v>
      </c>
      <c r="E108" s="42">
        <v>3.18</v>
      </c>
      <c r="F108" s="44">
        <v>3</v>
      </c>
      <c r="G108" s="42"/>
      <c r="H108" s="42">
        <v>0</v>
      </c>
      <c r="I108" s="42">
        <v>0.25592387543252226</v>
      </c>
      <c r="J108" s="42">
        <v>-9.3825012357884763</v>
      </c>
      <c r="K108" s="42">
        <v>0</v>
      </c>
      <c r="L108" s="42">
        <v>-9.2438952051408771E-2</v>
      </c>
    </row>
    <row r="109" spans="1:12" x14ac:dyDescent="0.2">
      <c r="A109" s="41" t="s">
        <v>11</v>
      </c>
      <c r="B109" s="41">
        <v>2</v>
      </c>
      <c r="C109" s="41">
        <v>28.042085022244201</v>
      </c>
      <c r="D109" s="41">
        <v>0</v>
      </c>
      <c r="E109" s="41">
        <v>3.05</v>
      </c>
      <c r="F109" s="43">
        <v>3</v>
      </c>
      <c r="G109" s="41"/>
      <c r="H109" s="41">
        <v>0</v>
      </c>
      <c r="I109" s="41">
        <v>0.2592199703410793</v>
      </c>
      <c r="J109" s="41">
        <v>-0.54819574888779043</v>
      </c>
      <c r="K109" s="41">
        <v>0</v>
      </c>
      <c r="L109" s="41">
        <v>0.12799555116164135</v>
      </c>
    </row>
    <row r="110" spans="1:12" x14ac:dyDescent="0.2">
      <c r="A110" s="42" t="s">
        <v>11</v>
      </c>
      <c r="B110" s="42">
        <v>2</v>
      </c>
      <c r="C110" s="42">
        <v>28.067464656450838</v>
      </c>
      <c r="D110" s="42">
        <v>0</v>
      </c>
      <c r="E110" s="42">
        <v>14.71</v>
      </c>
      <c r="F110" s="44">
        <v>2</v>
      </c>
      <c r="G110" s="42"/>
      <c r="H110" s="42">
        <v>0</v>
      </c>
      <c r="I110" s="42">
        <v>0.25700939199208922</v>
      </c>
      <c r="J110" s="42">
        <v>-9.7542758279782618</v>
      </c>
      <c r="K110" s="42">
        <v>0</v>
      </c>
      <c r="L110" s="42">
        <v>0.2185931784478499</v>
      </c>
    </row>
    <row r="111" spans="1:12" x14ac:dyDescent="0.2">
      <c r="A111" s="41" t="s">
        <v>11</v>
      </c>
      <c r="B111" s="41">
        <v>2</v>
      </c>
      <c r="C111" s="41">
        <v>28.263288680178125</v>
      </c>
      <c r="D111" s="41">
        <v>2</v>
      </c>
      <c r="E111" s="41">
        <v>3.17</v>
      </c>
      <c r="F111" s="41">
        <v>2</v>
      </c>
      <c r="G111" s="41"/>
      <c r="H111" s="41">
        <v>0</v>
      </c>
      <c r="I111" s="41">
        <v>0.24471379139891491</v>
      </c>
      <c r="J111" s="41">
        <v>-5.3765200197726122</v>
      </c>
      <c r="K111" s="41">
        <v>0</v>
      </c>
      <c r="L111" s="41">
        <v>0.49337320810677271</v>
      </c>
    </row>
    <row r="112" spans="1:12" x14ac:dyDescent="0.2">
      <c r="A112" s="42" t="s">
        <v>12</v>
      </c>
      <c r="B112" s="42">
        <v>1</v>
      </c>
      <c r="C112" s="42">
        <v>13.771275862068968</v>
      </c>
      <c r="D112" s="42">
        <v>0</v>
      </c>
      <c r="E112" s="42">
        <v>4.54</v>
      </c>
      <c r="F112" s="45">
        <v>4</v>
      </c>
      <c r="G112" s="42"/>
      <c r="H112" s="42">
        <v>0</v>
      </c>
      <c r="I112" s="42">
        <v>0.18720689655172409</v>
      </c>
      <c r="J112" s="42">
        <v>1.7275862068965513</v>
      </c>
      <c r="K112" s="42">
        <v>41.897551724137934</v>
      </c>
      <c r="L112" s="42">
        <v>-8.5586206896551748E-2</v>
      </c>
    </row>
    <row r="113" spans="1:12" x14ac:dyDescent="0.2">
      <c r="A113" s="41" t="s">
        <v>12</v>
      </c>
      <c r="B113" s="41">
        <v>1</v>
      </c>
      <c r="C113" s="41">
        <v>16.93241379310345</v>
      </c>
      <c r="D113" s="41">
        <v>0</v>
      </c>
      <c r="E113" s="41">
        <v>5.24</v>
      </c>
      <c r="F113" s="43">
        <v>4</v>
      </c>
      <c r="G113" s="41"/>
      <c r="H113" s="41">
        <v>0</v>
      </c>
      <c r="I113" s="41">
        <v>0.11086206896551723</v>
      </c>
      <c r="J113" s="41">
        <v>-0.57586206896551717</v>
      </c>
      <c r="K113" s="41">
        <v>127.64662068965517</v>
      </c>
      <c r="L113" s="41">
        <v>-0.30134482758620684</v>
      </c>
    </row>
    <row r="114" spans="1:12" x14ac:dyDescent="0.2">
      <c r="A114" s="42" t="s">
        <v>12</v>
      </c>
      <c r="B114" s="42">
        <v>1</v>
      </c>
      <c r="C114" s="42">
        <v>10.145241379310345</v>
      </c>
      <c r="D114" s="42">
        <v>0</v>
      </c>
      <c r="E114" s="42">
        <v>2.84</v>
      </c>
      <c r="F114" s="44">
        <v>3</v>
      </c>
      <c r="G114" s="42"/>
      <c r="H114" s="42">
        <v>3.9E-2</v>
      </c>
      <c r="I114" s="42">
        <v>0.13448275862068967</v>
      </c>
      <c r="J114" s="42">
        <v>-23.627586206896549</v>
      </c>
      <c r="K114" s="42">
        <v>12.403241379310346</v>
      </c>
      <c r="L114" s="42">
        <v>0.20548275862068968</v>
      </c>
    </row>
    <row r="115" spans="1:12" x14ac:dyDescent="0.2">
      <c r="A115" s="41" t="s">
        <v>12</v>
      </c>
      <c r="B115" s="41">
        <v>1</v>
      </c>
      <c r="C115" s="41">
        <v>16.774551724137929</v>
      </c>
      <c r="D115" s="41">
        <v>0</v>
      </c>
      <c r="E115" s="41">
        <v>3.36</v>
      </c>
      <c r="F115" s="43">
        <v>3</v>
      </c>
      <c r="G115" s="41"/>
      <c r="H115" s="41">
        <v>0</v>
      </c>
      <c r="I115" s="41">
        <v>0.10624137931034484</v>
      </c>
      <c r="J115" s="41">
        <v>-4.113793103448276</v>
      </c>
      <c r="K115" s="41">
        <v>0</v>
      </c>
      <c r="L115" s="41">
        <v>-0.23262068965517246</v>
      </c>
    </row>
    <row r="116" spans="1:12" x14ac:dyDescent="0.2">
      <c r="A116" s="42" t="s">
        <v>12</v>
      </c>
      <c r="B116" s="42">
        <v>1</v>
      </c>
      <c r="C116" s="42">
        <v>15.705103448275862</v>
      </c>
      <c r="D116" s="42">
        <v>0</v>
      </c>
      <c r="E116" s="42">
        <v>2.27</v>
      </c>
      <c r="F116" s="44">
        <v>2</v>
      </c>
      <c r="G116" s="42"/>
      <c r="H116" s="42">
        <v>0</v>
      </c>
      <c r="I116" s="42">
        <v>0.10324137931034481</v>
      </c>
      <c r="J116" s="42">
        <v>-7.6620689655172409</v>
      </c>
      <c r="K116" s="42">
        <v>13.090931034482759</v>
      </c>
      <c r="L116" s="42">
        <v>-0.34462068965517245</v>
      </c>
    </row>
    <row r="117" spans="1:12" x14ac:dyDescent="0.2">
      <c r="A117" s="41" t="s">
        <v>12</v>
      </c>
      <c r="B117" s="41">
        <v>1</v>
      </c>
      <c r="C117" s="41">
        <v>10.412517241379309</v>
      </c>
      <c r="D117" s="41">
        <v>0</v>
      </c>
      <c r="E117" s="41">
        <v>1.8</v>
      </c>
      <c r="F117" s="41">
        <v>2</v>
      </c>
      <c r="G117" s="41"/>
      <c r="H117" s="41">
        <v>0</v>
      </c>
      <c r="I117" s="41">
        <v>6.5931034482758624E-2</v>
      </c>
      <c r="J117" s="41">
        <v>9.6551724137931047E-2</v>
      </c>
      <c r="K117" s="41">
        <v>22.173137931034482</v>
      </c>
      <c r="L117" s="41">
        <v>-0.23810344827586205</v>
      </c>
    </row>
    <row r="118" spans="1:12" x14ac:dyDescent="0.2">
      <c r="A118" s="42" t="s">
        <v>12</v>
      </c>
      <c r="B118" s="42">
        <v>1</v>
      </c>
      <c r="C118" s="42">
        <v>13.771275862068968</v>
      </c>
      <c r="D118" s="42">
        <v>0</v>
      </c>
      <c r="E118" s="42">
        <v>4.54</v>
      </c>
      <c r="F118" s="45">
        <v>4</v>
      </c>
      <c r="G118" s="42"/>
      <c r="H118" s="42">
        <v>0</v>
      </c>
      <c r="I118" s="42">
        <v>0.18720689655172409</v>
      </c>
      <c r="J118" s="42">
        <v>1.7275862068965513</v>
      </c>
      <c r="K118" s="42">
        <v>41.897551724137934</v>
      </c>
      <c r="L118" s="42">
        <v>-8.5586206896551748E-2</v>
      </c>
    </row>
    <row r="119" spans="1:12" x14ac:dyDescent="0.2">
      <c r="A119" s="41" t="s">
        <v>12</v>
      </c>
      <c r="B119" s="41">
        <v>1</v>
      </c>
      <c r="C119" s="41">
        <v>16.93241379310345</v>
      </c>
      <c r="D119" s="41">
        <v>0</v>
      </c>
      <c r="E119" s="41">
        <v>5.24</v>
      </c>
      <c r="F119" s="43">
        <v>4</v>
      </c>
      <c r="G119" s="41"/>
      <c r="H119" s="41">
        <v>0</v>
      </c>
      <c r="I119" s="41">
        <v>0.11086206896551723</v>
      </c>
      <c r="J119" s="41">
        <v>-0.57586206896551717</v>
      </c>
      <c r="K119" s="41">
        <v>127.64662068965517</v>
      </c>
      <c r="L119" s="41">
        <v>-0.30134482758620684</v>
      </c>
    </row>
    <row r="120" spans="1:12" x14ac:dyDescent="0.2">
      <c r="A120" s="42" t="s">
        <v>12</v>
      </c>
      <c r="B120" s="42">
        <v>1</v>
      </c>
      <c r="C120" s="42">
        <v>10.145241379310345</v>
      </c>
      <c r="D120" s="42">
        <v>0</v>
      </c>
      <c r="E120" s="42">
        <v>2.84</v>
      </c>
      <c r="F120" s="44">
        <v>3</v>
      </c>
      <c r="G120" s="42"/>
      <c r="H120" s="42">
        <v>3.9E-2</v>
      </c>
      <c r="I120" s="42">
        <v>0.13448275862068967</v>
      </c>
      <c r="J120" s="42">
        <v>-23.627586206896549</v>
      </c>
      <c r="K120" s="42">
        <v>12.403241379310346</v>
      </c>
      <c r="L120" s="42">
        <v>0.20548275862068968</v>
      </c>
    </row>
    <row r="121" spans="1:12" x14ac:dyDescent="0.2">
      <c r="A121" s="41" t="s">
        <v>12</v>
      </c>
      <c r="B121" s="41">
        <v>1</v>
      </c>
      <c r="C121" s="41">
        <v>16.774551724137929</v>
      </c>
      <c r="D121" s="41">
        <v>0</v>
      </c>
      <c r="E121" s="41">
        <v>3.36</v>
      </c>
      <c r="F121" s="43">
        <v>3</v>
      </c>
      <c r="G121" s="41"/>
      <c r="H121" s="41">
        <v>0</v>
      </c>
      <c r="I121" s="41">
        <v>0.10624137931034484</v>
      </c>
      <c r="J121" s="41">
        <v>-4.113793103448276</v>
      </c>
      <c r="K121" s="41">
        <v>0</v>
      </c>
      <c r="L121" s="41">
        <v>-0.23262068965517246</v>
      </c>
    </row>
    <row r="122" spans="1:12" x14ac:dyDescent="0.2">
      <c r="A122" s="42" t="s">
        <v>12</v>
      </c>
      <c r="B122" s="42">
        <v>1</v>
      </c>
      <c r="C122" s="42">
        <v>15.705103448275862</v>
      </c>
      <c r="D122" s="42">
        <v>0</v>
      </c>
      <c r="E122" s="42">
        <v>2.27</v>
      </c>
      <c r="F122" s="44">
        <v>2</v>
      </c>
      <c r="G122" s="42"/>
      <c r="H122" s="42">
        <v>0</v>
      </c>
      <c r="I122" s="42">
        <v>0.10324137931034481</v>
      </c>
      <c r="J122" s="42">
        <v>-7.6620689655172409</v>
      </c>
      <c r="K122" s="42">
        <v>13.090931034482759</v>
      </c>
      <c r="L122" s="42">
        <v>-0.34462068965517245</v>
      </c>
    </row>
    <row r="123" spans="1:12" x14ac:dyDescent="0.2">
      <c r="A123" s="41" t="s">
        <v>12</v>
      </c>
      <c r="B123" s="41">
        <v>1</v>
      </c>
      <c r="C123" s="41">
        <v>10.412517241379309</v>
      </c>
      <c r="D123" s="41">
        <v>0</v>
      </c>
      <c r="E123" s="41">
        <v>1.8</v>
      </c>
      <c r="F123" s="41">
        <v>2</v>
      </c>
      <c r="G123" s="41"/>
      <c r="H123" s="41">
        <v>0</v>
      </c>
      <c r="I123" s="41">
        <v>6.5931034482758624E-2</v>
      </c>
      <c r="J123" s="41">
        <v>9.6551724137931047E-2</v>
      </c>
      <c r="K123" s="41">
        <v>22.173137931034482</v>
      </c>
      <c r="L123" s="41">
        <v>-0.23810344827586205</v>
      </c>
    </row>
    <row r="124" spans="1:12" x14ac:dyDescent="0.2">
      <c r="A124" s="42" t="s">
        <v>13</v>
      </c>
      <c r="B124" s="42">
        <v>1</v>
      </c>
      <c r="C124" s="42">
        <v>9.7285128205128206</v>
      </c>
      <c r="D124" s="42">
        <v>1</v>
      </c>
      <c r="E124" s="42">
        <v>10.38</v>
      </c>
      <c r="F124" s="45">
        <v>4</v>
      </c>
      <c r="G124" s="42"/>
      <c r="H124" s="42">
        <v>0</v>
      </c>
      <c r="I124" s="42">
        <v>0.15133333333333335</v>
      </c>
      <c r="J124" s="42">
        <v>0.59487179487179487</v>
      </c>
      <c r="K124" s="42">
        <v>0</v>
      </c>
      <c r="L124" s="42">
        <v>-4.0512820512820527E-2</v>
      </c>
    </row>
    <row r="125" spans="1:12" x14ac:dyDescent="0.2">
      <c r="A125" s="41" t="s">
        <v>13</v>
      </c>
      <c r="B125" s="41">
        <v>1</v>
      </c>
      <c r="C125" s="41">
        <v>14.612179487179487</v>
      </c>
      <c r="D125" s="41">
        <v>1</v>
      </c>
      <c r="E125" s="41">
        <v>14.59</v>
      </c>
      <c r="F125" s="43">
        <v>4</v>
      </c>
      <c r="G125" s="41"/>
      <c r="H125" s="41">
        <v>9.948717948717949E-3</v>
      </c>
      <c r="I125" s="41">
        <v>4.5435897435897425E-2</v>
      </c>
      <c r="J125" s="41">
        <v>5.1282051282051336E-2</v>
      </c>
      <c r="K125" s="41">
        <v>0</v>
      </c>
      <c r="L125" s="41">
        <v>-0.44289743589743596</v>
      </c>
    </row>
    <row r="126" spans="1:12" x14ac:dyDescent="0.2">
      <c r="A126" s="42" t="s">
        <v>13</v>
      </c>
      <c r="B126" s="42">
        <v>1</v>
      </c>
      <c r="C126" s="42">
        <v>11.87553846153846</v>
      </c>
      <c r="D126" s="42">
        <v>0</v>
      </c>
      <c r="E126" s="42">
        <v>5.69</v>
      </c>
      <c r="F126" s="44">
        <v>3</v>
      </c>
      <c r="G126" s="42"/>
      <c r="H126" s="42">
        <v>3.5128205128205129E-3</v>
      </c>
      <c r="I126" s="42">
        <v>0.11787179487179482</v>
      </c>
      <c r="J126" s="42">
        <v>-16.117948717948728</v>
      </c>
      <c r="K126" s="42">
        <v>23.671846153846158</v>
      </c>
      <c r="L126" s="42">
        <v>-0.18515384615384611</v>
      </c>
    </row>
    <row r="127" spans="1:12" x14ac:dyDescent="0.2">
      <c r="A127" s="41" t="s">
        <v>13</v>
      </c>
      <c r="B127" s="41">
        <v>1</v>
      </c>
      <c r="C127" s="41">
        <v>17.539615384615388</v>
      </c>
      <c r="D127" s="41">
        <v>0</v>
      </c>
      <c r="E127" s="41">
        <v>4.16</v>
      </c>
      <c r="F127" s="43">
        <v>3</v>
      </c>
      <c r="G127" s="41"/>
      <c r="H127" s="41">
        <v>0</v>
      </c>
      <c r="I127" s="41">
        <v>0.14133333333333331</v>
      </c>
      <c r="J127" s="41">
        <v>-8.4871794871794872</v>
      </c>
      <c r="K127" s="41">
        <v>13.903692307692305</v>
      </c>
      <c r="L127" s="41">
        <v>-0.27425641025641029</v>
      </c>
    </row>
    <row r="128" spans="1:12" x14ac:dyDescent="0.2">
      <c r="A128" s="42" t="s">
        <v>13</v>
      </c>
      <c r="B128" s="42">
        <v>1</v>
      </c>
      <c r="C128" s="42">
        <v>11.774333333333333</v>
      </c>
      <c r="D128" s="42">
        <v>0</v>
      </c>
      <c r="E128" s="42">
        <v>4.37</v>
      </c>
      <c r="F128" s="44">
        <v>2</v>
      </c>
      <c r="G128" s="42"/>
      <c r="H128" s="42">
        <v>0</v>
      </c>
      <c r="I128" s="42">
        <v>8.1435897435897422E-2</v>
      </c>
      <c r="J128" s="42">
        <v>-0.26410256410256405</v>
      </c>
      <c r="K128" s="42">
        <v>74.536589743589744</v>
      </c>
      <c r="L128" s="42">
        <v>-0.93546153846153834</v>
      </c>
    </row>
    <row r="129" spans="1:12" x14ac:dyDescent="0.2">
      <c r="A129" s="41" t="s">
        <v>13</v>
      </c>
      <c r="B129" s="41">
        <v>1</v>
      </c>
      <c r="C129" s="41">
        <v>6.7756923076923083</v>
      </c>
      <c r="D129" s="41">
        <v>1</v>
      </c>
      <c r="E129" s="41">
        <v>3.56</v>
      </c>
      <c r="F129" s="41">
        <v>2</v>
      </c>
      <c r="G129" s="41"/>
      <c r="H129" s="41">
        <v>1.8974358974358976E-2</v>
      </c>
      <c r="I129" s="41">
        <v>5.3410256410256415E-2</v>
      </c>
      <c r="J129" s="41">
        <v>-24.04871794871795</v>
      </c>
      <c r="K129" s="41">
        <v>66.453564102564101</v>
      </c>
      <c r="L129" s="41">
        <v>-0.20115384615384613</v>
      </c>
    </row>
    <row r="130" spans="1:12" x14ac:dyDescent="0.2">
      <c r="A130" s="42" t="s">
        <v>14</v>
      </c>
      <c r="B130" s="42">
        <v>1</v>
      </c>
      <c r="C130" s="42">
        <v>12.783705882352942</v>
      </c>
      <c r="D130" s="42">
        <v>0</v>
      </c>
      <c r="E130" s="42">
        <v>10.56</v>
      </c>
      <c r="F130" s="45">
        <v>4</v>
      </c>
      <c r="G130" s="42"/>
      <c r="H130" s="42">
        <v>0</v>
      </c>
      <c r="I130" s="42">
        <v>0.14649999999999996</v>
      </c>
      <c r="J130" s="42">
        <v>-3.2352941176470598E-2</v>
      </c>
      <c r="K130" s="42">
        <v>20.633529411764705</v>
      </c>
      <c r="L130" s="42">
        <v>-0.13523529411764704</v>
      </c>
    </row>
    <row r="131" spans="1:12" x14ac:dyDescent="0.2">
      <c r="A131" s="41" t="s">
        <v>14</v>
      </c>
      <c r="B131" s="41">
        <v>1</v>
      </c>
      <c r="C131" s="41">
        <v>15.205794117647057</v>
      </c>
      <c r="D131" s="41">
        <v>0</v>
      </c>
      <c r="E131" s="41">
        <v>8.01</v>
      </c>
      <c r="F131" s="43">
        <v>4</v>
      </c>
      <c r="G131" s="41"/>
      <c r="H131" s="41">
        <v>2.5294117647058828E-2</v>
      </c>
      <c r="I131" s="41">
        <v>8.6147058823529368E-2</v>
      </c>
      <c r="J131" s="41">
        <v>-5.2941176470588228E-2</v>
      </c>
      <c r="K131" s="41">
        <v>13.178529411764705</v>
      </c>
      <c r="L131" s="41">
        <v>-0.18847058823529411</v>
      </c>
    </row>
    <row r="132" spans="1:12" x14ac:dyDescent="0.2">
      <c r="A132" s="42" t="s">
        <v>14</v>
      </c>
      <c r="B132" s="42">
        <v>1</v>
      </c>
      <c r="C132" s="42">
        <v>0.49811764705882355</v>
      </c>
      <c r="D132" s="42">
        <v>0</v>
      </c>
      <c r="E132" s="42">
        <v>3.77</v>
      </c>
      <c r="F132" s="44">
        <v>3</v>
      </c>
      <c r="G132" s="42"/>
      <c r="H132" s="42">
        <v>9.9794117647058825E-2</v>
      </c>
      <c r="I132" s="42">
        <v>6.6764705882352941E-3</v>
      </c>
      <c r="J132" s="42">
        <v>-1.7</v>
      </c>
      <c r="K132" s="42">
        <v>53.402323529411753</v>
      </c>
      <c r="L132" s="42">
        <v>0.10302941176470583</v>
      </c>
    </row>
    <row r="133" spans="1:12" x14ac:dyDescent="0.2">
      <c r="A133" s="41" t="s">
        <v>14</v>
      </c>
      <c r="B133" s="41">
        <v>1</v>
      </c>
      <c r="C133" s="41">
        <v>11.662823529411767</v>
      </c>
      <c r="D133" s="41">
        <v>0</v>
      </c>
      <c r="E133" s="41">
        <v>4.2</v>
      </c>
      <c r="F133" s="43">
        <v>3</v>
      </c>
      <c r="G133" s="41"/>
      <c r="H133" s="41">
        <v>4.2352941176470593E-3</v>
      </c>
      <c r="I133" s="41">
        <v>0.13614705882352943</v>
      </c>
      <c r="J133" s="41">
        <v>-33.120588235294115</v>
      </c>
      <c r="K133" s="41">
        <v>8.663117647058824</v>
      </c>
      <c r="L133" s="41">
        <v>-0.2412352941176471</v>
      </c>
    </row>
    <row r="134" spans="1:12" x14ac:dyDescent="0.2">
      <c r="A134" s="42" t="s">
        <v>14</v>
      </c>
      <c r="B134" s="42">
        <v>1</v>
      </c>
      <c r="C134" s="42">
        <v>16.680235294117647</v>
      </c>
      <c r="D134" s="42">
        <v>1</v>
      </c>
      <c r="E134" s="42">
        <v>5.23</v>
      </c>
      <c r="F134" s="44">
        <v>2</v>
      </c>
      <c r="G134" s="42"/>
      <c r="H134" s="42">
        <v>0</v>
      </c>
      <c r="I134" s="42">
        <v>0.1178529411764706</v>
      </c>
      <c r="J134" s="42">
        <v>-9.5558823529411754</v>
      </c>
      <c r="K134" s="42">
        <v>0</v>
      </c>
      <c r="L134" s="42">
        <v>-0.2662647058823529</v>
      </c>
    </row>
    <row r="135" spans="1:12" x14ac:dyDescent="0.2">
      <c r="A135" s="41" t="s">
        <v>14</v>
      </c>
      <c r="B135" s="41">
        <v>1</v>
      </c>
      <c r="C135" s="41">
        <v>12.710382352941178</v>
      </c>
      <c r="D135" s="41">
        <v>0</v>
      </c>
      <c r="E135" s="41">
        <v>2.19</v>
      </c>
      <c r="F135" s="41">
        <v>2</v>
      </c>
      <c r="G135" s="41"/>
      <c r="H135" s="41">
        <v>0</v>
      </c>
      <c r="I135" s="41">
        <v>6.8941176470588214E-2</v>
      </c>
      <c r="J135" s="41">
        <v>-0.12058823529411761</v>
      </c>
      <c r="K135" s="41">
        <v>43.935470588235283</v>
      </c>
      <c r="L135" s="41">
        <v>-0.47744117647058837</v>
      </c>
    </row>
    <row r="136" spans="1:12" x14ac:dyDescent="0.2">
      <c r="A136" s="42" t="s">
        <v>20</v>
      </c>
      <c r="B136" s="42">
        <v>1</v>
      </c>
      <c r="C136" s="42">
        <v>15.298696969696969</v>
      </c>
      <c r="D136" s="42">
        <v>1</v>
      </c>
      <c r="E136" s="42">
        <v>16.53</v>
      </c>
      <c r="F136" s="45">
        <v>4</v>
      </c>
      <c r="G136" s="42"/>
      <c r="H136" s="42">
        <v>0</v>
      </c>
      <c r="I136" s="42">
        <v>0.15578787878787881</v>
      </c>
      <c r="J136" s="42">
        <v>0.36666666666666675</v>
      </c>
      <c r="K136" s="42">
        <v>121.78563636363634</v>
      </c>
      <c r="L136" s="42">
        <v>0.17924242424242409</v>
      </c>
    </row>
    <row r="137" spans="1:12" x14ac:dyDescent="0.2">
      <c r="A137" s="41" t="s">
        <v>20</v>
      </c>
      <c r="B137" s="41">
        <v>1</v>
      </c>
      <c r="C137" s="41">
        <v>14.899303030303024</v>
      </c>
      <c r="D137" s="41">
        <v>0</v>
      </c>
      <c r="E137" s="41">
        <v>12.93</v>
      </c>
      <c r="F137" s="43">
        <v>4</v>
      </c>
      <c r="G137" s="41"/>
      <c r="H137" s="41">
        <v>5.787878787878788E-3</v>
      </c>
      <c r="I137" s="41">
        <v>9.0727272727272726E-2</v>
      </c>
      <c r="J137" s="41">
        <v>-15.060606060606061</v>
      </c>
      <c r="K137" s="41">
        <v>93.411757575757562</v>
      </c>
      <c r="L137" s="41">
        <v>4.7818181818181829E-2</v>
      </c>
    </row>
    <row r="138" spans="1:12" x14ac:dyDescent="0.2">
      <c r="A138" s="42" t="s">
        <v>20</v>
      </c>
      <c r="B138" s="42">
        <v>1</v>
      </c>
      <c r="C138" s="42">
        <v>17.628999999999994</v>
      </c>
      <c r="D138" s="42">
        <v>1</v>
      </c>
      <c r="E138" s="42">
        <v>5.13</v>
      </c>
      <c r="F138" s="44">
        <v>3</v>
      </c>
      <c r="G138" s="42"/>
      <c r="H138" s="42">
        <v>0</v>
      </c>
      <c r="I138" s="42">
        <v>0.1863030303030303</v>
      </c>
      <c r="J138" s="42">
        <v>-1.9848484848484849</v>
      </c>
      <c r="K138" s="42">
        <v>71.914272727272717</v>
      </c>
      <c r="L138" s="42">
        <v>0.1745454545454545</v>
      </c>
    </row>
    <row r="139" spans="1:12" x14ac:dyDescent="0.2">
      <c r="A139" s="41" t="s">
        <v>20</v>
      </c>
      <c r="B139" s="41">
        <v>1</v>
      </c>
      <c r="C139" s="41">
        <v>19.570121212121219</v>
      </c>
      <c r="D139" s="41">
        <v>0</v>
      </c>
      <c r="E139" s="41">
        <v>6.18</v>
      </c>
      <c r="F139" s="43">
        <v>3</v>
      </c>
      <c r="G139" s="41"/>
      <c r="H139" s="41">
        <v>9.3939393939393937E-3</v>
      </c>
      <c r="I139" s="41">
        <v>0.14690909090909093</v>
      </c>
      <c r="J139" s="41">
        <v>-8.1696969696969681</v>
      </c>
      <c r="K139" s="41">
        <v>16.189454545454542</v>
      </c>
      <c r="L139" s="41">
        <v>-7.4424242424242434E-2</v>
      </c>
    </row>
    <row r="140" spans="1:12" x14ac:dyDescent="0.2">
      <c r="A140" s="42" t="s">
        <v>20</v>
      </c>
      <c r="B140" s="42">
        <v>1</v>
      </c>
      <c r="C140" s="42">
        <v>12.046272727272727</v>
      </c>
      <c r="D140" s="42">
        <v>2</v>
      </c>
      <c r="E140" s="42">
        <v>8.6199999999999992</v>
      </c>
      <c r="F140" s="44">
        <v>2</v>
      </c>
      <c r="G140" s="42"/>
      <c r="H140" s="42">
        <v>2.290909090909091E-2</v>
      </c>
      <c r="I140" s="42">
        <v>9.9151515151515157E-2</v>
      </c>
      <c r="J140" s="42">
        <v>-1.5060606060606061</v>
      </c>
      <c r="K140" s="42">
        <v>20.941939393939393</v>
      </c>
      <c r="L140" s="42">
        <v>0.41118181818181809</v>
      </c>
    </row>
    <row r="141" spans="1:12" x14ac:dyDescent="0.2">
      <c r="A141" s="41" t="s">
        <v>20</v>
      </c>
      <c r="B141" s="41">
        <v>1</v>
      </c>
      <c r="C141" s="41">
        <v>4.1048181818181817</v>
      </c>
      <c r="D141" s="41">
        <v>0</v>
      </c>
      <c r="E141" s="41">
        <v>3.24</v>
      </c>
      <c r="F141" s="41">
        <v>2</v>
      </c>
      <c r="G141" s="41"/>
      <c r="H141" s="41">
        <v>5.2575757575757567E-2</v>
      </c>
      <c r="I141" s="41">
        <v>5.4696969696969695E-2</v>
      </c>
      <c r="J141" s="41">
        <v>-7.542424242424242</v>
      </c>
      <c r="K141" s="41">
        <v>31.866454545454548</v>
      </c>
      <c r="L141" s="41">
        <v>0.29263636363636375</v>
      </c>
    </row>
    <row r="142" spans="1:12" x14ac:dyDescent="0.2">
      <c r="A142" s="42" t="s">
        <v>22</v>
      </c>
      <c r="B142" s="42">
        <v>1</v>
      </c>
      <c r="C142" s="42">
        <v>18.459147058823532</v>
      </c>
      <c r="D142" s="42">
        <v>0</v>
      </c>
      <c r="E142" s="42">
        <v>6.93</v>
      </c>
      <c r="F142" s="45">
        <v>4</v>
      </c>
      <c r="G142" s="42"/>
      <c r="H142" s="42">
        <v>0</v>
      </c>
      <c r="I142" s="42">
        <v>0.28541176470588231</v>
      </c>
      <c r="J142" s="42">
        <v>8.8235294117647078E-2</v>
      </c>
      <c r="K142" s="42">
        <v>47.453705882352949</v>
      </c>
      <c r="L142" s="42">
        <v>-0.16194117647058826</v>
      </c>
    </row>
    <row r="143" spans="1:12" x14ac:dyDescent="0.2">
      <c r="A143" s="41" t="s">
        <v>22</v>
      </c>
      <c r="B143" s="41">
        <v>1</v>
      </c>
      <c r="C143" s="41">
        <v>10.228294117647058</v>
      </c>
      <c r="D143" s="41">
        <v>0</v>
      </c>
      <c r="E143" s="41">
        <v>11.15</v>
      </c>
      <c r="F143" s="43">
        <v>4</v>
      </c>
      <c r="G143" s="41"/>
      <c r="H143" s="41">
        <v>5.864705882352942E-2</v>
      </c>
      <c r="I143" s="41">
        <v>6.9999999999999979E-2</v>
      </c>
      <c r="J143" s="41">
        <v>-4.7705882352941176</v>
      </c>
      <c r="K143" s="41">
        <v>34.217470588235294</v>
      </c>
      <c r="L143" s="41">
        <v>0.14767647058823524</v>
      </c>
    </row>
    <row r="144" spans="1:12" x14ac:dyDescent="0.2">
      <c r="A144" s="42" t="s">
        <v>22</v>
      </c>
      <c r="B144" s="42">
        <v>1</v>
      </c>
      <c r="C144" s="42">
        <v>19.553441176470585</v>
      </c>
      <c r="D144" s="42">
        <v>0</v>
      </c>
      <c r="E144" s="42">
        <v>6.3</v>
      </c>
      <c r="F144" s="44">
        <v>3</v>
      </c>
      <c r="G144" s="42"/>
      <c r="H144" s="42">
        <v>0</v>
      </c>
      <c r="I144" s="42">
        <v>0.28429411764705881</v>
      </c>
      <c r="J144" s="42">
        <v>-14.067647058823528</v>
      </c>
      <c r="K144" s="42">
        <v>0.74820588235294117</v>
      </c>
      <c r="L144" s="42">
        <v>-0.72435294117647064</v>
      </c>
    </row>
    <row r="145" spans="1:12" x14ac:dyDescent="0.2">
      <c r="A145" s="41" t="s">
        <v>22</v>
      </c>
      <c r="B145" s="41">
        <v>1</v>
      </c>
      <c r="C145" s="41">
        <v>21.292941176470585</v>
      </c>
      <c r="D145" s="41">
        <v>0</v>
      </c>
      <c r="E145" s="41">
        <v>3.73</v>
      </c>
      <c r="F145" s="43">
        <v>3</v>
      </c>
      <c r="G145" s="41"/>
      <c r="H145" s="41">
        <v>5.4411764705882349E-3</v>
      </c>
      <c r="I145" s="41">
        <v>0.13976470588235296</v>
      </c>
      <c r="J145" s="41">
        <v>-6.4558823529411757</v>
      </c>
      <c r="K145" s="41">
        <v>39.667676470588241</v>
      </c>
      <c r="L145" s="41">
        <v>-0.37852941176470584</v>
      </c>
    </row>
    <row r="146" spans="1:12" x14ac:dyDescent="0.2">
      <c r="A146" s="42" t="s">
        <v>22</v>
      </c>
      <c r="B146" s="42">
        <v>1</v>
      </c>
      <c r="C146" s="42">
        <v>9.2062941176470598</v>
      </c>
      <c r="D146" s="42">
        <v>1</v>
      </c>
      <c r="E146" s="42">
        <v>4.68</v>
      </c>
      <c r="F146" s="44">
        <v>2</v>
      </c>
      <c r="G146" s="42"/>
      <c r="H146" s="42">
        <v>3.2088235294117647E-2</v>
      </c>
      <c r="I146" s="42">
        <v>5.1911764705882352E-2</v>
      </c>
      <c r="J146" s="42">
        <v>-2.1411764705882357</v>
      </c>
      <c r="K146" s="42">
        <v>13.302294117647056</v>
      </c>
      <c r="L146" s="42">
        <v>2.5823529411764721E-2</v>
      </c>
    </row>
    <row r="147" spans="1:12" x14ac:dyDescent="0.2">
      <c r="A147" s="41" t="s">
        <v>22</v>
      </c>
      <c r="B147" s="41">
        <v>1</v>
      </c>
      <c r="C147" s="41">
        <v>10.612264705882357</v>
      </c>
      <c r="D147" s="41">
        <v>0</v>
      </c>
      <c r="E147" s="41">
        <v>2.98</v>
      </c>
      <c r="F147" s="41">
        <v>2</v>
      </c>
      <c r="G147" s="41"/>
      <c r="H147" s="41">
        <v>1.1941176470588235E-2</v>
      </c>
      <c r="I147" s="41">
        <v>0.13685294117647057</v>
      </c>
      <c r="J147" s="41">
        <v>-27.347058823529412</v>
      </c>
      <c r="K147" s="41">
        <v>28.522058823529413</v>
      </c>
      <c r="L147" s="41">
        <v>-2.2470588235294117E-2</v>
      </c>
    </row>
    <row r="148" spans="1:12" x14ac:dyDescent="0.2">
      <c r="A148" s="42" t="s">
        <v>23</v>
      </c>
      <c r="B148" s="42">
        <v>1</v>
      </c>
      <c r="C148" s="42">
        <v>18.273315789473688</v>
      </c>
      <c r="D148" s="42">
        <v>1</v>
      </c>
      <c r="E148" s="42">
        <v>23.44</v>
      </c>
      <c r="F148" s="45">
        <v>4</v>
      </c>
      <c r="G148" s="42"/>
      <c r="H148" s="42">
        <v>1.5552631578947368E-2</v>
      </c>
      <c r="I148" s="42">
        <v>0.28568421052631582</v>
      </c>
      <c r="J148" s="42">
        <v>-0.21052631578947362</v>
      </c>
      <c r="K148" s="42">
        <v>20.577578947368419</v>
      </c>
      <c r="L148" s="42">
        <v>-0.24634210526315781</v>
      </c>
    </row>
    <row r="149" spans="1:12" x14ac:dyDescent="0.2">
      <c r="A149" s="41" t="s">
        <v>23</v>
      </c>
      <c r="B149" s="41">
        <v>1</v>
      </c>
      <c r="C149" s="41">
        <v>9.6676578947368412</v>
      </c>
      <c r="D149" s="41">
        <v>0</v>
      </c>
      <c r="E149" s="41">
        <v>8.4</v>
      </c>
      <c r="F149" s="43">
        <v>4</v>
      </c>
      <c r="G149" s="41"/>
      <c r="H149" s="41">
        <v>0.10068421052631578</v>
      </c>
      <c r="I149" s="41">
        <v>0.10828947368421053</v>
      </c>
      <c r="J149" s="41">
        <v>-13.397368421052631</v>
      </c>
      <c r="K149" s="41">
        <v>30.919921052631576</v>
      </c>
      <c r="L149" s="41">
        <v>6.2684210526315787E-2</v>
      </c>
    </row>
    <row r="150" spans="1:12" x14ac:dyDescent="0.2">
      <c r="A150" s="42" t="s">
        <v>23</v>
      </c>
      <c r="B150" s="42">
        <v>1</v>
      </c>
      <c r="C150" s="42">
        <v>25.787736842105264</v>
      </c>
      <c r="D150" s="42">
        <v>0</v>
      </c>
      <c r="E150" s="42">
        <v>3.4</v>
      </c>
      <c r="F150" s="44">
        <v>3</v>
      </c>
      <c r="G150" s="42"/>
      <c r="H150" s="42">
        <v>2.3684210526315788E-4</v>
      </c>
      <c r="I150" s="42">
        <v>0.56984210526315759</v>
      </c>
      <c r="J150" s="42">
        <v>-10.168421052631579</v>
      </c>
      <c r="K150" s="42">
        <v>35.480710526315782</v>
      </c>
      <c r="L150" s="42">
        <v>-0.1658421052631579</v>
      </c>
    </row>
    <row r="151" spans="1:12" x14ac:dyDescent="0.2">
      <c r="A151" s="41" t="s">
        <v>23</v>
      </c>
      <c r="B151" s="41">
        <v>1</v>
      </c>
      <c r="C151" s="41">
        <v>13.587026315789471</v>
      </c>
      <c r="D151" s="41">
        <v>0</v>
      </c>
      <c r="E151" s="41">
        <v>3.32</v>
      </c>
      <c r="F151" s="43">
        <v>3</v>
      </c>
      <c r="G151" s="41"/>
      <c r="H151" s="41">
        <v>2.8131578947368421E-2</v>
      </c>
      <c r="I151" s="41">
        <v>4.4947368421052639E-2</v>
      </c>
      <c r="J151" s="41">
        <v>-4.210526315789475E-2</v>
      </c>
      <c r="K151" s="41">
        <v>28.544289473684206</v>
      </c>
      <c r="L151" s="41">
        <v>-0.35678947368421049</v>
      </c>
    </row>
    <row r="152" spans="1:12" x14ac:dyDescent="0.2">
      <c r="A152" s="42" t="s">
        <v>23</v>
      </c>
      <c r="B152" s="42">
        <v>1</v>
      </c>
      <c r="C152" s="42">
        <v>9.1019736842105257</v>
      </c>
      <c r="D152" s="42">
        <v>0</v>
      </c>
      <c r="E152" s="42">
        <v>3.29</v>
      </c>
      <c r="F152" s="44">
        <v>2</v>
      </c>
      <c r="G152" s="42"/>
      <c r="H152" s="42">
        <v>2.5052631578947368E-2</v>
      </c>
      <c r="I152" s="42">
        <v>8.8710526315789476E-2</v>
      </c>
      <c r="J152" s="42">
        <v>-19.38684210526316</v>
      </c>
      <c r="K152" s="42">
        <v>23.890421052631574</v>
      </c>
      <c r="L152" s="42">
        <v>-4.9210526315788374E-3</v>
      </c>
    </row>
    <row r="153" spans="1:12" x14ac:dyDescent="0.2">
      <c r="A153" s="41" t="s">
        <v>23</v>
      </c>
      <c r="B153" s="41">
        <v>1</v>
      </c>
      <c r="C153" s="41">
        <v>8.6891052631578933</v>
      </c>
      <c r="D153" s="41">
        <v>0</v>
      </c>
      <c r="E153" s="41">
        <v>1.78</v>
      </c>
      <c r="F153" s="41">
        <v>2</v>
      </c>
      <c r="G153" s="41"/>
      <c r="H153" s="41">
        <v>0</v>
      </c>
      <c r="I153" s="41">
        <v>5.4210526315789466E-2</v>
      </c>
      <c r="J153" s="41">
        <v>7.8947368421052613E-2</v>
      </c>
      <c r="K153" s="41">
        <v>24.728000000000002</v>
      </c>
      <c r="L153" s="41">
        <v>-0.3738157894736841</v>
      </c>
    </row>
    <row r="154" spans="1:12" x14ac:dyDescent="0.2">
      <c r="A154" s="42" t="s">
        <v>24</v>
      </c>
      <c r="B154" s="42">
        <v>1</v>
      </c>
      <c r="C154" s="42">
        <v>14.786185185185181</v>
      </c>
      <c r="D154" s="42">
        <v>1</v>
      </c>
      <c r="E154" s="42">
        <v>11.7</v>
      </c>
      <c r="F154" s="45">
        <v>4</v>
      </c>
      <c r="G154" s="42"/>
      <c r="H154" s="42">
        <v>0</v>
      </c>
      <c r="I154" s="42">
        <v>0.14379629629629631</v>
      </c>
      <c r="J154" s="42">
        <v>-0.20740740740740743</v>
      </c>
      <c r="K154" s="42">
        <v>8.8787777777777777</v>
      </c>
      <c r="L154" s="42">
        <v>-0.30853703703703705</v>
      </c>
    </row>
    <row r="155" spans="1:12" x14ac:dyDescent="0.2">
      <c r="A155" s="41" t="s">
        <v>24</v>
      </c>
      <c r="B155" s="41">
        <v>1</v>
      </c>
      <c r="C155" s="41">
        <v>5.1504074074074069</v>
      </c>
      <c r="D155" s="41">
        <v>0</v>
      </c>
      <c r="E155" s="41">
        <v>5.2</v>
      </c>
      <c r="F155" s="43">
        <v>4</v>
      </c>
      <c r="G155" s="41"/>
      <c r="H155" s="41">
        <v>0.16351851851851856</v>
      </c>
      <c r="I155" s="41">
        <v>6.1388888888888889E-2</v>
      </c>
      <c r="J155" s="41">
        <v>-11.642592592592594</v>
      </c>
      <c r="K155" s="41">
        <v>13.54511111111111</v>
      </c>
      <c r="L155" s="41">
        <v>0.32700000000000007</v>
      </c>
    </row>
    <row r="156" spans="1:12" x14ac:dyDescent="0.2">
      <c r="A156" s="42" t="s">
        <v>24</v>
      </c>
      <c r="B156" s="42">
        <v>1</v>
      </c>
      <c r="C156" s="42">
        <v>17.469888888888892</v>
      </c>
      <c r="D156" s="42">
        <v>0</v>
      </c>
      <c r="E156" s="42">
        <v>6.79</v>
      </c>
      <c r="F156" s="44">
        <v>3</v>
      </c>
      <c r="G156" s="42"/>
      <c r="H156" s="42">
        <v>0</v>
      </c>
      <c r="I156" s="42">
        <v>0.15640740740740741</v>
      </c>
      <c r="J156" s="42">
        <v>-5.840740740740741</v>
      </c>
      <c r="K156" s="42">
        <v>8.5067037037037032</v>
      </c>
      <c r="L156" s="42">
        <v>-0.10716666666666665</v>
      </c>
    </row>
    <row r="157" spans="1:12" x14ac:dyDescent="0.2">
      <c r="A157" s="41" t="s">
        <v>24</v>
      </c>
      <c r="B157" s="41">
        <v>1</v>
      </c>
      <c r="C157" s="41">
        <v>11.793388888888886</v>
      </c>
      <c r="D157" s="41">
        <v>0</v>
      </c>
      <c r="E157" s="41">
        <v>3.79</v>
      </c>
      <c r="F157" s="43">
        <v>3</v>
      </c>
      <c r="G157" s="41"/>
      <c r="H157" s="41">
        <v>3.861111111111111E-2</v>
      </c>
      <c r="I157" s="41">
        <v>9.1259259259259262E-2</v>
      </c>
      <c r="J157" s="41">
        <v>-0.48518518518518522</v>
      </c>
      <c r="K157" s="41">
        <v>42.866814814814816</v>
      </c>
      <c r="L157" s="41">
        <v>-0.28051851851851856</v>
      </c>
    </row>
    <row r="158" spans="1:12" x14ac:dyDescent="0.2">
      <c r="A158" s="42" t="s">
        <v>24</v>
      </c>
      <c r="B158" s="42">
        <v>1</v>
      </c>
      <c r="C158" s="42">
        <v>12.173185185185186</v>
      </c>
      <c r="D158" s="42">
        <v>1</v>
      </c>
      <c r="E158" s="42">
        <v>2.86</v>
      </c>
      <c r="F158" s="44">
        <v>2</v>
      </c>
      <c r="G158" s="42"/>
      <c r="H158" s="42">
        <v>0</v>
      </c>
      <c r="I158" s="42">
        <v>0.10733333333333332</v>
      </c>
      <c r="J158" s="42">
        <v>-11.659259259259251</v>
      </c>
      <c r="K158" s="42">
        <v>43.04646296296297</v>
      </c>
      <c r="L158" s="42">
        <v>-0.47096296296296292</v>
      </c>
    </row>
    <row r="159" spans="1:12" x14ac:dyDescent="0.2">
      <c r="A159" s="41" t="s">
        <v>24</v>
      </c>
      <c r="B159" s="41">
        <v>1</v>
      </c>
      <c r="C159" s="41">
        <v>13.990851851851849</v>
      </c>
      <c r="D159" s="41">
        <v>2</v>
      </c>
      <c r="E159" s="41">
        <v>6.02</v>
      </c>
      <c r="F159" s="41">
        <v>2</v>
      </c>
      <c r="G159" s="41"/>
      <c r="H159" s="41">
        <v>2.0555555555555553E-3</v>
      </c>
      <c r="I159" s="41">
        <v>0.15066666666666664</v>
      </c>
      <c r="J159" s="41">
        <v>-10.318518518518518</v>
      </c>
      <c r="K159" s="41">
        <v>2.1810740740740737</v>
      </c>
      <c r="L159" s="41">
        <v>-0.25155555555555553</v>
      </c>
    </row>
    <row r="160" spans="1:12" x14ac:dyDescent="0.2">
      <c r="A160" s="42" t="s">
        <v>25</v>
      </c>
      <c r="B160" s="42">
        <v>1</v>
      </c>
      <c r="C160" s="42">
        <v>19.774093023255812</v>
      </c>
      <c r="D160" s="42">
        <v>0</v>
      </c>
      <c r="E160" s="42">
        <v>5.37</v>
      </c>
      <c r="F160" s="45">
        <v>4</v>
      </c>
      <c r="G160" s="42"/>
      <c r="H160" s="42">
        <v>5.0697674418604651E-3</v>
      </c>
      <c r="I160" s="42">
        <v>0.23599999999999996</v>
      </c>
      <c r="J160" s="42">
        <v>-6.976744186046528E-3</v>
      </c>
      <c r="K160" s="42">
        <v>122.51660465116279</v>
      </c>
      <c r="L160" s="42">
        <v>0.24697674418604657</v>
      </c>
    </row>
    <row r="161" spans="1:12" x14ac:dyDescent="0.2">
      <c r="A161" s="41" t="s">
        <v>25</v>
      </c>
      <c r="B161" s="41">
        <v>1</v>
      </c>
      <c r="C161" s="41">
        <v>18.423674418604651</v>
      </c>
      <c r="D161" s="41">
        <v>0</v>
      </c>
      <c r="E161" s="41">
        <v>4.05</v>
      </c>
      <c r="F161" s="43">
        <v>4</v>
      </c>
      <c r="G161" s="41"/>
      <c r="H161" s="41">
        <v>2.4627906976744184E-2</v>
      </c>
      <c r="I161" s="41">
        <v>0.22200000000000003</v>
      </c>
      <c r="J161" s="41">
        <v>-16.513953488372085</v>
      </c>
      <c r="K161" s="41">
        <v>1.3378604651162791</v>
      </c>
      <c r="L161" s="41">
        <v>0.2752325581395349</v>
      </c>
    </row>
    <row r="162" spans="1:12" x14ac:dyDescent="0.2">
      <c r="A162" s="42" t="s">
        <v>25</v>
      </c>
      <c r="B162" s="42">
        <v>1</v>
      </c>
      <c r="C162" s="42">
        <v>17.850837209302327</v>
      </c>
      <c r="D162" s="42">
        <v>0</v>
      </c>
      <c r="E162" s="42">
        <v>5.43</v>
      </c>
      <c r="F162" s="44">
        <v>3</v>
      </c>
      <c r="G162" s="42"/>
      <c r="H162" s="42">
        <v>1.5534883720930232E-2</v>
      </c>
      <c r="I162" s="42">
        <v>0.11695348837209302</v>
      </c>
      <c r="J162" s="42">
        <v>-5.1348837209302323</v>
      </c>
      <c r="K162" s="42">
        <v>15.708953488372094</v>
      </c>
      <c r="L162" s="42">
        <v>-0.1797674418604652</v>
      </c>
    </row>
    <row r="163" spans="1:12" x14ac:dyDescent="0.2">
      <c r="A163" s="41" t="s">
        <v>25</v>
      </c>
      <c r="B163" s="41">
        <v>1</v>
      </c>
      <c r="C163" s="41">
        <v>7.5917674418604655</v>
      </c>
      <c r="D163" s="41">
        <v>0</v>
      </c>
      <c r="E163" s="41">
        <v>3.21</v>
      </c>
      <c r="F163" s="43">
        <v>3</v>
      </c>
      <c r="G163" s="41"/>
      <c r="H163" s="41">
        <v>1.4325581395348837E-2</v>
      </c>
      <c r="I163" s="41">
        <v>7.244186046511629E-2</v>
      </c>
      <c r="J163" s="41">
        <v>-18.304651162790698</v>
      </c>
      <c r="K163" s="41">
        <v>55.528465116279072</v>
      </c>
      <c r="L163" s="41">
        <v>0.13060465116279071</v>
      </c>
    </row>
    <row r="164" spans="1:12" x14ac:dyDescent="0.2">
      <c r="A164" s="42" t="s">
        <v>25</v>
      </c>
      <c r="B164" s="42">
        <v>1</v>
      </c>
      <c r="C164" s="42">
        <v>16.257348837209303</v>
      </c>
      <c r="D164" s="42">
        <v>1</v>
      </c>
      <c r="E164" s="42">
        <v>13.4</v>
      </c>
      <c r="F164" s="44">
        <v>2</v>
      </c>
      <c r="G164" s="42"/>
      <c r="H164" s="42">
        <v>2.8604651162790696E-2</v>
      </c>
      <c r="I164" s="42">
        <v>0.12348837209302323</v>
      </c>
      <c r="J164" s="42">
        <v>0.16976744186046508</v>
      </c>
      <c r="K164" s="42">
        <v>140.78190697674415</v>
      </c>
      <c r="L164" s="42">
        <v>0.13806976744186042</v>
      </c>
    </row>
    <row r="165" spans="1:12" x14ac:dyDescent="0.2">
      <c r="A165" s="41" t="s">
        <v>25</v>
      </c>
      <c r="B165" s="41">
        <v>1</v>
      </c>
      <c r="C165" s="41">
        <v>8.3150232558139514</v>
      </c>
      <c r="D165" s="41">
        <v>0</v>
      </c>
      <c r="E165" s="41">
        <v>2.69</v>
      </c>
      <c r="F165" s="41">
        <v>2</v>
      </c>
      <c r="G165" s="41"/>
      <c r="H165" s="41">
        <v>2.0883720930232556E-2</v>
      </c>
      <c r="I165" s="41">
        <v>0.11067441860465117</v>
      </c>
      <c r="J165" s="41">
        <v>-8.804651162790698</v>
      </c>
      <c r="K165" s="41">
        <v>52.994465116279073</v>
      </c>
      <c r="L165" s="41">
        <v>0.35765116279069775</v>
      </c>
    </row>
    <row r="166" spans="1:12" x14ac:dyDescent="0.2">
      <c r="A166" s="42" t="s">
        <v>26</v>
      </c>
      <c r="B166" s="42">
        <v>1</v>
      </c>
      <c r="C166" s="42">
        <v>16.922615384615384</v>
      </c>
      <c r="D166" s="42">
        <v>1</v>
      </c>
      <c r="E166" s="42">
        <v>12.75</v>
      </c>
      <c r="F166" s="45">
        <v>4</v>
      </c>
      <c r="G166" s="42"/>
      <c r="H166" s="42">
        <v>8.9230769230769225E-3</v>
      </c>
      <c r="I166" s="42">
        <v>0.19366666666666665</v>
      </c>
      <c r="J166" s="42">
        <v>0.62820512820512853</v>
      </c>
      <c r="K166" s="42">
        <v>34.274794871794867</v>
      </c>
      <c r="L166" s="42">
        <v>0.910205128205128</v>
      </c>
    </row>
    <row r="167" spans="1:12" x14ac:dyDescent="0.2">
      <c r="A167" s="41" t="s">
        <v>26</v>
      </c>
      <c r="B167" s="41">
        <v>1</v>
      </c>
      <c r="C167" s="41">
        <v>12.551435897435896</v>
      </c>
      <c r="D167" s="41">
        <v>0</v>
      </c>
      <c r="E167" s="41">
        <v>7.37</v>
      </c>
      <c r="F167" s="43">
        <v>4</v>
      </c>
      <c r="G167" s="41"/>
      <c r="H167" s="41">
        <v>2.4512820512820516E-2</v>
      </c>
      <c r="I167" s="41">
        <v>0.17974358974358975</v>
      </c>
      <c r="J167" s="41">
        <v>-11.682051282051283</v>
      </c>
      <c r="K167" s="41">
        <v>53.215666666666657</v>
      </c>
      <c r="L167" s="41">
        <v>0.41066666666666662</v>
      </c>
    </row>
    <row r="168" spans="1:12" x14ac:dyDescent="0.2">
      <c r="A168" s="42" t="s">
        <v>26</v>
      </c>
      <c r="B168" s="42">
        <v>1</v>
      </c>
      <c r="C168" s="42">
        <v>17.409410256410254</v>
      </c>
      <c r="D168" s="42">
        <v>0</v>
      </c>
      <c r="E168" s="42">
        <v>5.54</v>
      </c>
      <c r="F168" s="44">
        <v>3</v>
      </c>
      <c r="G168" s="42"/>
      <c r="H168" s="42">
        <v>4.4615384615384619E-2</v>
      </c>
      <c r="I168" s="42">
        <v>0.22528205128205123</v>
      </c>
      <c r="J168" s="42">
        <v>2.5282051282051294</v>
      </c>
      <c r="K168" s="42">
        <v>17.328512820512824</v>
      </c>
      <c r="L168" s="42">
        <v>0.6886923076923076</v>
      </c>
    </row>
    <row r="169" spans="1:12" x14ac:dyDescent="0.2">
      <c r="A169" s="41" t="s">
        <v>26</v>
      </c>
      <c r="B169" s="41">
        <v>1</v>
      </c>
      <c r="C169" s="41">
        <v>13.412589743589741</v>
      </c>
      <c r="D169" s="41">
        <v>0</v>
      </c>
      <c r="E169" s="41">
        <v>4.74</v>
      </c>
      <c r="F169" s="43">
        <v>3</v>
      </c>
      <c r="G169" s="41"/>
      <c r="H169" s="41">
        <v>2.3076923076923079E-3</v>
      </c>
      <c r="I169" s="41">
        <v>5.5948717948717967E-2</v>
      </c>
      <c r="J169" s="41">
        <v>-1.5974358974358978</v>
      </c>
      <c r="K169" s="41">
        <v>21.072051282051277</v>
      </c>
      <c r="L169" s="41">
        <v>0.39997435897435901</v>
      </c>
    </row>
    <row r="170" spans="1:12" x14ac:dyDescent="0.2">
      <c r="A170" s="42" t="s">
        <v>26</v>
      </c>
      <c r="B170" s="42">
        <v>1</v>
      </c>
      <c r="C170" s="42">
        <v>9.382820512820512</v>
      </c>
      <c r="D170" s="42">
        <v>1</v>
      </c>
      <c r="E170" s="42">
        <v>7.23</v>
      </c>
      <c r="F170" s="44">
        <v>2</v>
      </c>
      <c r="G170" s="42"/>
      <c r="H170" s="42">
        <v>1.9820512820512819E-2</v>
      </c>
      <c r="I170" s="42">
        <v>9.166666666666666E-2</v>
      </c>
      <c r="J170" s="42">
        <v>-12.566666666666666</v>
      </c>
      <c r="K170" s="42">
        <v>19.152025641025642</v>
      </c>
      <c r="L170" s="42">
        <v>0.34676923076923072</v>
      </c>
    </row>
    <row r="171" spans="1:12" x14ac:dyDescent="0.2">
      <c r="A171" s="41" t="s">
        <v>26</v>
      </c>
      <c r="B171" s="41">
        <v>1</v>
      </c>
      <c r="C171" s="41">
        <v>15.403794871794871</v>
      </c>
      <c r="D171" s="41">
        <v>0</v>
      </c>
      <c r="E171" s="41">
        <v>1.96</v>
      </c>
      <c r="F171" s="41">
        <v>2</v>
      </c>
      <c r="G171" s="41"/>
      <c r="H171" s="41">
        <v>1.3461538461538459E-2</v>
      </c>
      <c r="I171" s="41">
        <v>0.12912820512820511</v>
      </c>
      <c r="J171" s="41">
        <v>0.33076923076923082</v>
      </c>
      <c r="K171" s="41">
        <v>28.564717948717945</v>
      </c>
      <c r="L171" s="41">
        <v>0.50902564102564107</v>
      </c>
    </row>
    <row r="172" spans="1:12" x14ac:dyDescent="0.2">
      <c r="A172" s="42" t="s">
        <v>27</v>
      </c>
      <c r="B172" s="42">
        <v>1</v>
      </c>
      <c r="C172" s="42">
        <v>17.595763636363639</v>
      </c>
      <c r="D172" s="42">
        <v>0</v>
      </c>
      <c r="E172" s="42">
        <v>13.94</v>
      </c>
      <c r="F172" s="45">
        <v>4</v>
      </c>
      <c r="G172" s="42"/>
      <c r="H172" s="42">
        <v>2.758181818181818E-2</v>
      </c>
      <c r="I172" s="42">
        <v>0.17300000000000004</v>
      </c>
      <c r="J172" s="42">
        <v>4.181818181818181E-2</v>
      </c>
      <c r="K172" s="42">
        <v>88.96074545454546</v>
      </c>
      <c r="L172" s="42">
        <v>-0.15489090909090911</v>
      </c>
    </row>
    <row r="173" spans="1:12" x14ac:dyDescent="0.2">
      <c r="A173" s="41" t="s">
        <v>27</v>
      </c>
      <c r="B173" s="41">
        <v>1</v>
      </c>
      <c r="C173" s="41">
        <v>18.218381818181822</v>
      </c>
      <c r="D173" s="41">
        <v>1</v>
      </c>
      <c r="E173" s="41">
        <v>10.67</v>
      </c>
      <c r="F173" s="43">
        <v>4</v>
      </c>
      <c r="G173" s="41"/>
      <c r="H173" s="41">
        <v>3.9090909090909089E-3</v>
      </c>
      <c r="I173" s="41">
        <v>0.20570909090909095</v>
      </c>
      <c r="J173" s="41">
        <v>-20.945454545454549</v>
      </c>
      <c r="K173" s="41">
        <v>3.4247272727272731</v>
      </c>
      <c r="L173" s="41">
        <v>-0.15054545454545454</v>
      </c>
    </row>
    <row r="174" spans="1:12" x14ac:dyDescent="0.2">
      <c r="A174" s="42" t="s">
        <v>27</v>
      </c>
      <c r="B174" s="42">
        <v>1</v>
      </c>
      <c r="C174" s="42">
        <v>12.506727272727275</v>
      </c>
      <c r="D174" s="42">
        <v>1</v>
      </c>
      <c r="E174" s="42">
        <v>19.57</v>
      </c>
      <c r="F174" s="44">
        <v>3</v>
      </c>
      <c r="G174" s="42"/>
      <c r="H174" s="42">
        <v>2.1054545454545458E-2</v>
      </c>
      <c r="I174" s="42">
        <v>7.0490909090909076E-2</v>
      </c>
      <c r="J174" s="42">
        <v>-0.48000000000000009</v>
      </c>
      <c r="K174" s="42">
        <v>30.608163636363635</v>
      </c>
      <c r="L174" s="42">
        <v>-0.64150909090909114</v>
      </c>
    </row>
    <row r="175" spans="1:12" x14ac:dyDescent="0.2">
      <c r="A175" s="41" t="s">
        <v>27</v>
      </c>
      <c r="B175" s="41">
        <v>1</v>
      </c>
      <c r="C175" s="41">
        <v>10.979781818181815</v>
      </c>
      <c r="D175" s="41">
        <v>0</v>
      </c>
      <c r="E175" s="41">
        <v>2.64</v>
      </c>
      <c r="F175" s="43">
        <v>3</v>
      </c>
      <c r="G175" s="41"/>
      <c r="H175" s="41">
        <v>0</v>
      </c>
      <c r="I175" s="41">
        <v>9.1763636363636381E-2</v>
      </c>
      <c r="J175" s="41">
        <v>-10.879999999999997</v>
      </c>
      <c r="K175" s="41">
        <v>31.75223636363636</v>
      </c>
      <c r="L175" s="41">
        <v>-0.52698181818181822</v>
      </c>
    </row>
    <row r="176" spans="1:12" x14ac:dyDescent="0.2">
      <c r="A176" s="42" t="s">
        <v>27</v>
      </c>
      <c r="B176" s="42">
        <v>1</v>
      </c>
      <c r="C176" s="42">
        <v>13.053672727272728</v>
      </c>
      <c r="D176" s="42">
        <v>0</v>
      </c>
      <c r="E176" s="42">
        <v>5.77</v>
      </c>
      <c r="F176" s="44">
        <v>2</v>
      </c>
      <c r="G176" s="42"/>
      <c r="H176" s="42">
        <v>7.1636363636363642E-3</v>
      </c>
      <c r="I176" s="42">
        <v>0.13185454545454547</v>
      </c>
      <c r="J176" s="42">
        <v>-9.18</v>
      </c>
      <c r="K176" s="42">
        <v>12.149800000000001</v>
      </c>
      <c r="L176" s="42">
        <v>-0.64427272727272755</v>
      </c>
    </row>
    <row r="177" spans="1:12" x14ac:dyDescent="0.2">
      <c r="A177" s="41" t="s">
        <v>27</v>
      </c>
      <c r="B177" s="41">
        <v>1</v>
      </c>
      <c r="C177" s="41">
        <v>15.957763636363639</v>
      </c>
      <c r="D177" s="41">
        <v>0</v>
      </c>
      <c r="E177" s="41">
        <v>4.1399999999999997</v>
      </c>
      <c r="F177" s="41">
        <v>2</v>
      </c>
      <c r="G177" s="41"/>
      <c r="H177" s="41">
        <v>2.7818181818181817E-3</v>
      </c>
      <c r="I177" s="41">
        <v>0.1309818181818182</v>
      </c>
      <c r="J177" s="41">
        <v>-9.3181818181818201</v>
      </c>
      <c r="K177" s="41">
        <v>0</v>
      </c>
      <c r="L177" s="41">
        <v>-0.4078181818181818</v>
      </c>
    </row>
    <row r="178" spans="1:12" x14ac:dyDescent="0.2">
      <c r="A178" s="42" t="s">
        <v>12</v>
      </c>
      <c r="B178" s="42">
        <v>2</v>
      </c>
      <c r="C178" s="42">
        <v>18.257292513368988</v>
      </c>
      <c r="D178" s="42">
        <v>0</v>
      </c>
      <c r="E178" s="42">
        <v>4.4400000000000004</v>
      </c>
      <c r="F178" s="45">
        <v>4</v>
      </c>
      <c r="G178" s="42"/>
      <c r="H178" s="42">
        <v>4.400160427807482E-2</v>
      </c>
      <c r="I178" s="42">
        <v>0.31717914438502431</v>
      </c>
      <c r="J178" s="42">
        <v>-22.282192513369061</v>
      </c>
      <c r="K178" s="42">
        <v>18.35875989304812</v>
      </c>
      <c r="L178" s="42">
        <v>-4.3016042780745769E-3</v>
      </c>
    </row>
    <row r="179" spans="1:12" x14ac:dyDescent="0.2">
      <c r="A179" s="41" t="s">
        <v>12</v>
      </c>
      <c r="B179" s="41">
        <v>2</v>
      </c>
      <c r="C179" s="41">
        <v>28.022241176470608</v>
      </c>
      <c r="D179" s="41">
        <v>0</v>
      </c>
      <c r="E179" s="41">
        <v>4.97</v>
      </c>
      <c r="F179" s="43">
        <v>4</v>
      </c>
      <c r="G179" s="41"/>
      <c r="H179" s="41">
        <v>0</v>
      </c>
      <c r="I179" s="41">
        <v>0.30066042780748337</v>
      </c>
      <c r="J179" s="41">
        <v>-5.1888770053476083</v>
      </c>
      <c r="K179" s="41">
        <v>0</v>
      </c>
      <c r="L179" s="41">
        <v>-0.34459946524064172</v>
      </c>
    </row>
    <row r="180" spans="1:12" x14ac:dyDescent="0.2">
      <c r="A180" s="42" t="s">
        <v>12</v>
      </c>
      <c r="B180" s="42">
        <v>2</v>
      </c>
      <c r="C180" s="42">
        <v>29.335921925133636</v>
      </c>
      <c r="D180" s="42">
        <v>0</v>
      </c>
      <c r="E180" s="42">
        <v>3.85</v>
      </c>
      <c r="F180" s="44">
        <v>3</v>
      </c>
      <c r="G180" s="42"/>
      <c r="H180" s="42">
        <v>0</v>
      </c>
      <c r="I180" s="42">
        <v>0.29833155080213886</v>
      </c>
      <c r="J180" s="42">
        <v>-5.2859358288769842</v>
      </c>
      <c r="K180" s="42">
        <v>0</v>
      </c>
      <c r="L180" s="42">
        <v>-0.42908663101604377</v>
      </c>
    </row>
    <row r="181" spans="1:12" x14ac:dyDescent="0.2">
      <c r="A181" s="41" t="s">
        <v>12</v>
      </c>
      <c r="B181" s="41">
        <v>2</v>
      </c>
      <c r="C181" s="41">
        <v>28.40787540106955</v>
      </c>
      <c r="D181" s="41">
        <v>0</v>
      </c>
      <c r="E181" s="41">
        <v>3.18</v>
      </c>
      <c r="F181" s="43">
        <v>3</v>
      </c>
      <c r="G181" s="41"/>
      <c r="H181" s="41">
        <v>0</v>
      </c>
      <c r="I181" s="41">
        <v>0.26922780748662989</v>
      </c>
      <c r="J181" s="41">
        <v>-8.3367914438502613</v>
      </c>
      <c r="K181" s="41">
        <v>0</v>
      </c>
      <c r="L181" s="41">
        <v>-0.37290374331550769</v>
      </c>
    </row>
    <row r="182" spans="1:12" x14ac:dyDescent="0.2">
      <c r="A182" s="42" t="s">
        <v>12</v>
      </c>
      <c r="B182" s="42">
        <v>2</v>
      </c>
      <c r="C182" s="42">
        <v>29.220411764705936</v>
      </c>
      <c r="D182" s="42">
        <v>0</v>
      </c>
      <c r="E182" s="42">
        <v>2</v>
      </c>
      <c r="F182" s="44">
        <v>2</v>
      </c>
      <c r="G182" s="42"/>
      <c r="H182" s="42">
        <v>0</v>
      </c>
      <c r="I182" s="42">
        <v>0.31382780748663108</v>
      </c>
      <c r="J182" s="42">
        <v>-2.6320855614973113</v>
      </c>
      <c r="K182" s="42">
        <v>0</v>
      </c>
      <c r="L182" s="42">
        <v>-0.28201176470588174</v>
      </c>
    </row>
    <row r="183" spans="1:12" x14ac:dyDescent="0.2">
      <c r="A183" s="41" t="s">
        <v>12</v>
      </c>
      <c r="B183" s="41">
        <v>2</v>
      </c>
      <c r="C183" s="41">
        <v>28.862486631016093</v>
      </c>
      <c r="D183" s="41">
        <v>0</v>
      </c>
      <c r="E183" s="41">
        <v>3.15</v>
      </c>
      <c r="F183" s="41">
        <v>2</v>
      </c>
      <c r="G183" s="41"/>
      <c r="H183" s="41">
        <v>0</v>
      </c>
      <c r="I183" s="41">
        <v>0.25886256684491976</v>
      </c>
      <c r="J183" s="41">
        <v>-10.745775401069519</v>
      </c>
      <c r="K183" s="41">
        <v>30.787400534759374</v>
      </c>
      <c r="L183" s="41">
        <v>-0.16486898395721925</v>
      </c>
    </row>
    <row r="184" spans="1:12" x14ac:dyDescent="0.2">
      <c r="A184" s="42" t="s">
        <v>13</v>
      </c>
      <c r="B184" s="42">
        <v>2</v>
      </c>
      <c r="C184" s="42">
        <v>12.374140748550328</v>
      </c>
      <c r="D184" s="42">
        <v>0</v>
      </c>
      <c r="E184" s="42">
        <v>13.33</v>
      </c>
      <c r="F184" s="45">
        <v>4</v>
      </c>
      <c r="G184" s="42"/>
      <c r="H184" s="42">
        <v>0</v>
      </c>
      <c r="I184" s="42">
        <v>0.13758091723774338</v>
      </c>
      <c r="J184" s="42">
        <v>0.6370585134422776</v>
      </c>
      <c r="K184" s="42">
        <v>23.391360569319971</v>
      </c>
      <c r="L184" s="42">
        <v>-0.32471375856615764</v>
      </c>
    </row>
    <row r="185" spans="1:12" x14ac:dyDescent="0.2">
      <c r="A185" s="41" t="s">
        <v>13</v>
      </c>
      <c r="B185" s="41">
        <v>2</v>
      </c>
      <c r="C185" s="41">
        <v>16.603574591460205</v>
      </c>
      <c r="D185" s="41">
        <v>1</v>
      </c>
      <c r="E185" s="41">
        <v>7.3</v>
      </c>
      <c r="F185" s="43">
        <v>4</v>
      </c>
      <c r="G185" s="41"/>
      <c r="H185" s="41">
        <v>0</v>
      </c>
      <c r="I185" s="41">
        <v>0.13095308381655196</v>
      </c>
      <c r="J185" s="41">
        <v>-6.2994201370584493E-2</v>
      </c>
      <c r="K185" s="41">
        <v>0</v>
      </c>
      <c r="L185" s="41">
        <v>-0.61168371112282405</v>
      </c>
    </row>
    <row r="186" spans="1:12" x14ac:dyDescent="0.2">
      <c r="A186" s="42" t="s">
        <v>13</v>
      </c>
      <c r="B186" s="42">
        <v>2</v>
      </c>
      <c r="C186" s="42">
        <v>18.003654717975738</v>
      </c>
      <c r="D186" s="42">
        <v>1</v>
      </c>
      <c r="E186" s="42">
        <v>12.66</v>
      </c>
      <c r="F186" s="44">
        <v>3</v>
      </c>
      <c r="G186" s="42"/>
      <c r="H186" s="42">
        <v>0</v>
      </c>
      <c r="I186" s="42">
        <v>0.14163468634686302</v>
      </c>
      <c r="J186" s="42">
        <v>-6.3799683711122697</v>
      </c>
      <c r="K186" s="42">
        <v>1.308897206114918</v>
      </c>
      <c r="L186" s="42">
        <v>-0.50049077490775007</v>
      </c>
    </row>
    <row r="187" spans="1:12" x14ac:dyDescent="0.2">
      <c r="A187" s="41" t="s">
        <v>13</v>
      </c>
      <c r="B187" s="41">
        <v>2</v>
      </c>
      <c r="C187" s="41">
        <v>19.167594095940974</v>
      </c>
      <c r="D187" s="41">
        <v>0</v>
      </c>
      <c r="E187" s="41">
        <v>3.47</v>
      </c>
      <c r="F187" s="43">
        <v>3</v>
      </c>
      <c r="G187" s="41"/>
      <c r="H187" s="41">
        <v>0</v>
      </c>
      <c r="I187" s="41">
        <v>0.19594464944649384</v>
      </c>
      <c r="J187" s="41">
        <v>-3.7573010015814576</v>
      </c>
      <c r="K187" s="41">
        <v>80.99920453347373</v>
      </c>
      <c r="L187" s="41">
        <v>0.34793726937269359</v>
      </c>
    </row>
    <row r="188" spans="1:12" x14ac:dyDescent="0.2">
      <c r="A188" s="42" t="s">
        <v>13</v>
      </c>
      <c r="B188" s="42">
        <v>2</v>
      </c>
      <c r="C188" s="42">
        <v>27.020068002108591</v>
      </c>
      <c r="D188" s="42">
        <v>0</v>
      </c>
      <c r="E188" s="42">
        <v>5.35</v>
      </c>
      <c r="F188" s="44">
        <v>2</v>
      </c>
      <c r="G188" s="42"/>
      <c r="H188" s="42">
        <v>1.7146020031628875E-2</v>
      </c>
      <c r="I188" s="42">
        <v>0.44466736953083685</v>
      </c>
      <c r="J188" s="42">
        <v>-0.39868212967843941</v>
      </c>
      <c r="K188" s="42">
        <v>21.7831544544017</v>
      </c>
      <c r="L188" s="42">
        <v>4.8124934106483885E-2</v>
      </c>
    </row>
    <row r="189" spans="1:12" x14ac:dyDescent="0.2">
      <c r="A189" s="41" t="s">
        <v>13</v>
      </c>
      <c r="B189" s="41">
        <v>2</v>
      </c>
      <c r="C189" s="41">
        <v>21.452677912493463</v>
      </c>
      <c r="D189" s="41">
        <v>0</v>
      </c>
      <c r="E189" s="41">
        <v>4.32</v>
      </c>
      <c r="F189" s="41">
        <v>2</v>
      </c>
      <c r="G189" s="41"/>
      <c r="H189" s="41">
        <v>0</v>
      </c>
      <c r="I189" s="41">
        <v>0.22751871375856444</v>
      </c>
      <c r="J189" s="41">
        <v>-10.82076963626781</v>
      </c>
      <c r="K189" s="41">
        <v>36.737424354243565</v>
      </c>
      <c r="L189" s="41">
        <v>-0.80065313653136561</v>
      </c>
    </row>
    <row r="190" spans="1:12" x14ac:dyDescent="0.2">
      <c r="A190" s="42" t="s">
        <v>20</v>
      </c>
      <c r="B190" s="42">
        <v>2</v>
      </c>
      <c r="C190" s="42">
        <v>15.430051566265048</v>
      </c>
      <c r="D190" s="42">
        <v>0</v>
      </c>
      <c r="E190" s="42">
        <v>18.3</v>
      </c>
      <c r="F190" s="45">
        <v>4</v>
      </c>
      <c r="G190" s="42"/>
      <c r="H190" s="42">
        <v>0</v>
      </c>
      <c r="I190" s="42">
        <v>0.20920626506023976</v>
      </c>
      <c r="J190" s="42">
        <v>-0.68183132530120416</v>
      </c>
      <c r="K190" s="42">
        <v>17.440591325301202</v>
      </c>
      <c r="L190" s="42">
        <v>0.66771132530120503</v>
      </c>
    </row>
    <row r="191" spans="1:12" x14ac:dyDescent="0.2">
      <c r="A191" s="41" t="s">
        <v>20</v>
      </c>
      <c r="B191" s="41">
        <v>2</v>
      </c>
      <c r="C191" s="41">
        <v>18.067065542168621</v>
      </c>
      <c r="D191" s="41">
        <v>3</v>
      </c>
      <c r="E191" s="41">
        <v>18.53</v>
      </c>
      <c r="F191" s="43">
        <v>4</v>
      </c>
      <c r="G191" s="41"/>
      <c r="H191" s="41">
        <v>7.5286746987951831E-3</v>
      </c>
      <c r="I191" s="41">
        <v>0.14606698795180775</v>
      </c>
      <c r="J191" s="41">
        <v>9.7831325301205488E-2</v>
      </c>
      <c r="K191" s="41">
        <v>0</v>
      </c>
      <c r="L191" s="41">
        <v>0.32410746987951833</v>
      </c>
    </row>
    <row r="192" spans="1:12" x14ac:dyDescent="0.2">
      <c r="A192" s="42" t="s">
        <v>20</v>
      </c>
      <c r="B192" s="42">
        <v>2</v>
      </c>
      <c r="C192" s="42">
        <v>23.639258313252959</v>
      </c>
      <c r="D192" s="42">
        <v>0</v>
      </c>
      <c r="E192" s="42">
        <v>5.35</v>
      </c>
      <c r="F192" s="44">
        <v>3</v>
      </c>
      <c r="G192" s="42"/>
      <c r="H192" s="42">
        <v>0</v>
      </c>
      <c r="I192" s="42">
        <v>0.20390650602409602</v>
      </c>
      <c r="J192" s="42">
        <v>-9.2773975903613941</v>
      </c>
      <c r="K192" s="42">
        <v>2.975797108433734</v>
      </c>
      <c r="L192" s="42">
        <v>-0.27295084337349368</v>
      </c>
    </row>
    <row r="193" spans="1:12" x14ac:dyDescent="0.2">
      <c r="A193" s="41" t="s">
        <v>20</v>
      </c>
      <c r="B193" s="41">
        <v>2</v>
      </c>
      <c r="C193" s="41">
        <v>24.686160963855436</v>
      </c>
      <c r="D193" s="41">
        <v>2</v>
      </c>
      <c r="E193" s="41">
        <v>15.63</v>
      </c>
      <c r="F193" s="43">
        <v>3</v>
      </c>
      <c r="G193" s="41"/>
      <c r="H193" s="41">
        <v>0</v>
      </c>
      <c r="I193" s="41">
        <v>0.21801156626505869</v>
      </c>
      <c r="J193" s="41">
        <v>8.3421686746987994E-2</v>
      </c>
      <c r="K193" s="41">
        <v>26.476152289156623</v>
      </c>
      <c r="L193" s="41">
        <v>0.13070891566265072</v>
      </c>
    </row>
    <row r="194" spans="1:12" x14ac:dyDescent="0.2">
      <c r="A194" s="42" t="s">
        <v>20</v>
      </c>
      <c r="B194" s="42">
        <v>2</v>
      </c>
      <c r="C194" s="42">
        <v>18.604495903614431</v>
      </c>
      <c r="D194" s="42">
        <v>0</v>
      </c>
      <c r="E194" s="42">
        <v>4.1399999999999997</v>
      </c>
      <c r="F194" s="44">
        <v>2</v>
      </c>
      <c r="G194" s="42"/>
      <c r="H194" s="42">
        <v>6.2891566265060254E-4</v>
      </c>
      <c r="I194" s="42">
        <v>9.0780240963854342E-2</v>
      </c>
      <c r="J194" s="42">
        <v>-9.6091566265060262</v>
      </c>
      <c r="K194" s="42">
        <v>107.04873927710847</v>
      </c>
      <c r="L194" s="42">
        <v>-0.31998361445783119</v>
      </c>
    </row>
    <row r="195" spans="1:12" x14ac:dyDescent="0.2">
      <c r="A195" s="41" t="s">
        <v>20</v>
      </c>
      <c r="B195" s="41">
        <v>2</v>
      </c>
      <c r="C195" s="41">
        <v>20.167737831325283</v>
      </c>
      <c r="D195" s="41">
        <v>0</v>
      </c>
      <c r="E195" s="41">
        <v>3.09</v>
      </c>
      <c r="F195" s="41">
        <v>2</v>
      </c>
      <c r="G195" s="41"/>
      <c r="H195" s="41">
        <v>0</v>
      </c>
      <c r="I195" s="41">
        <v>0.13133542168674697</v>
      </c>
      <c r="J195" s="41">
        <v>5.2722891566265195E-2</v>
      </c>
      <c r="K195" s="41">
        <v>0</v>
      </c>
      <c r="L195" s="41">
        <v>0.10198216867469882</v>
      </c>
    </row>
    <row r="196" spans="1:12" x14ac:dyDescent="0.2">
      <c r="A196" s="42" t="s">
        <v>22</v>
      </c>
      <c r="B196" s="42">
        <v>2</v>
      </c>
      <c r="C196" s="42">
        <v>15.994008849557513</v>
      </c>
      <c r="D196" s="42">
        <v>0</v>
      </c>
      <c r="E196" s="42">
        <v>3.04</v>
      </c>
      <c r="F196" s="45">
        <v>4</v>
      </c>
      <c r="G196" s="42"/>
      <c r="H196" s="42">
        <v>0</v>
      </c>
      <c r="I196" s="42">
        <v>0.22343805309734466</v>
      </c>
      <c r="J196" s="42">
        <v>-0.43279867256637111</v>
      </c>
      <c r="K196" s="42">
        <v>25.735555309734508</v>
      </c>
      <c r="L196" s="42">
        <v>0.34684292035398123</v>
      </c>
    </row>
    <row r="197" spans="1:12" x14ac:dyDescent="0.2">
      <c r="A197" s="41" t="s">
        <v>22</v>
      </c>
      <c r="B197" s="41">
        <v>2</v>
      </c>
      <c r="C197" s="41">
        <v>21.409877765486705</v>
      </c>
      <c r="D197" s="41">
        <v>1</v>
      </c>
      <c r="E197" s="41">
        <v>9.09</v>
      </c>
      <c r="F197" s="43">
        <v>4</v>
      </c>
      <c r="G197" s="41"/>
      <c r="H197" s="41">
        <v>0</v>
      </c>
      <c r="I197" s="41">
        <v>0.17061504424778515</v>
      </c>
      <c r="J197" s="41">
        <v>-4.2311946902654794E-2</v>
      </c>
      <c r="K197" s="41">
        <v>0</v>
      </c>
      <c r="L197" s="41">
        <v>-5.9587942477875716E-2</v>
      </c>
    </row>
    <row r="198" spans="1:12" x14ac:dyDescent="0.2">
      <c r="A198" s="42" t="s">
        <v>22</v>
      </c>
      <c r="B198" s="42">
        <v>2</v>
      </c>
      <c r="C198" s="42">
        <v>19.523138827433623</v>
      </c>
      <c r="D198" s="42">
        <v>0</v>
      </c>
      <c r="E198" s="42">
        <v>3.55</v>
      </c>
      <c r="F198" s="44">
        <v>3</v>
      </c>
      <c r="G198" s="42"/>
      <c r="H198" s="42">
        <v>0</v>
      </c>
      <c r="I198" s="42">
        <v>0.14620298672566293</v>
      </c>
      <c r="J198" s="42">
        <v>-10.500000000000039</v>
      </c>
      <c r="K198" s="42">
        <v>0</v>
      </c>
      <c r="L198" s="42">
        <v>-0.26937665929203569</v>
      </c>
    </row>
    <row r="199" spans="1:12" x14ac:dyDescent="0.2">
      <c r="A199" s="41" t="s">
        <v>22</v>
      </c>
      <c r="B199" s="41">
        <v>2</v>
      </c>
      <c r="C199" s="41">
        <v>23.688831305309741</v>
      </c>
      <c r="D199" s="41">
        <v>0</v>
      </c>
      <c r="E199" s="41">
        <v>4.1399999999999997</v>
      </c>
      <c r="F199" s="43">
        <v>3</v>
      </c>
      <c r="G199" s="41"/>
      <c r="H199" s="41">
        <v>0</v>
      </c>
      <c r="I199" s="41">
        <v>0.24657356194690422</v>
      </c>
      <c r="J199" s="41">
        <v>-8.2300884955752884E-2</v>
      </c>
      <c r="K199" s="41">
        <v>0</v>
      </c>
      <c r="L199" s="41">
        <v>-0.27158241150442475</v>
      </c>
    </row>
    <row r="200" spans="1:12" x14ac:dyDescent="0.2">
      <c r="A200" s="42" t="s">
        <v>22</v>
      </c>
      <c r="B200" s="42">
        <v>2</v>
      </c>
      <c r="C200" s="42">
        <v>25.565670907079664</v>
      </c>
      <c r="D200" s="42">
        <v>0</v>
      </c>
      <c r="E200" s="42">
        <v>3.6</v>
      </c>
      <c r="F200" s="44">
        <v>2</v>
      </c>
      <c r="G200" s="42"/>
      <c r="H200" s="42">
        <v>0</v>
      </c>
      <c r="I200" s="42">
        <v>0.22928097345132642</v>
      </c>
      <c r="J200" s="42">
        <v>-6.9200774336282995</v>
      </c>
      <c r="K200" s="42">
        <v>0</v>
      </c>
      <c r="L200" s="42">
        <v>-5.1699115044247602E-2</v>
      </c>
    </row>
    <row r="201" spans="1:12" x14ac:dyDescent="0.2">
      <c r="A201" s="41" t="s">
        <v>22</v>
      </c>
      <c r="B201" s="41">
        <v>2</v>
      </c>
      <c r="C201" s="41">
        <v>27.82659845132736</v>
      </c>
      <c r="D201" s="41">
        <v>0</v>
      </c>
      <c r="E201" s="41">
        <v>1.78</v>
      </c>
      <c r="F201" s="41">
        <v>2</v>
      </c>
      <c r="G201" s="41"/>
      <c r="H201" s="41">
        <v>0</v>
      </c>
      <c r="I201" s="41">
        <v>0.29848506637168254</v>
      </c>
      <c r="J201" s="41">
        <v>-3.8657632743362811</v>
      </c>
      <c r="K201" s="41">
        <v>25.087951327433622</v>
      </c>
      <c r="L201" s="41">
        <v>-0.34136559734513289</v>
      </c>
    </row>
    <row r="202" spans="1:12" x14ac:dyDescent="0.2">
      <c r="A202" s="42" t="s">
        <v>23</v>
      </c>
      <c r="B202" s="42">
        <v>2</v>
      </c>
      <c r="C202" s="42">
        <v>19.933105840846732</v>
      </c>
      <c r="D202" s="42">
        <v>0</v>
      </c>
      <c r="E202" s="42">
        <v>8.0500000000000007</v>
      </c>
      <c r="F202" s="45">
        <v>4</v>
      </c>
      <c r="G202" s="42"/>
      <c r="H202" s="42">
        <v>0</v>
      </c>
      <c r="I202" s="42">
        <v>0.26322148177185128</v>
      </c>
      <c r="J202" s="42">
        <v>0.34982359858878953</v>
      </c>
      <c r="K202" s="42">
        <v>26.721153273226189</v>
      </c>
      <c r="L202" s="42">
        <v>0.23525362602900701</v>
      </c>
    </row>
    <row r="203" spans="1:12" x14ac:dyDescent="0.2">
      <c r="A203" s="41" t="s">
        <v>23</v>
      </c>
      <c r="B203" s="41">
        <v>2</v>
      </c>
      <c r="C203" s="41">
        <v>27.225206193649527</v>
      </c>
      <c r="D203" s="41">
        <v>0</v>
      </c>
      <c r="E203" s="41">
        <v>3.79</v>
      </c>
      <c r="F203" s="43">
        <v>4</v>
      </c>
      <c r="G203" s="41"/>
      <c r="H203" s="41">
        <v>0</v>
      </c>
      <c r="I203" s="41">
        <v>0.27621364170913382</v>
      </c>
      <c r="J203" s="41">
        <v>-7.702626421011403</v>
      </c>
      <c r="K203" s="41">
        <v>0</v>
      </c>
      <c r="L203" s="41">
        <v>-4.984868678949423E-2</v>
      </c>
    </row>
    <row r="204" spans="1:12" x14ac:dyDescent="0.2">
      <c r="A204" s="42" t="s">
        <v>23</v>
      </c>
      <c r="B204" s="42">
        <v>2</v>
      </c>
      <c r="C204" s="42">
        <v>29.883654645237183</v>
      </c>
      <c r="D204" s="42">
        <v>0</v>
      </c>
      <c r="E204" s="42">
        <v>3.85</v>
      </c>
      <c r="F204" s="44">
        <v>3</v>
      </c>
      <c r="G204" s="42"/>
      <c r="H204" s="42">
        <v>0</v>
      </c>
      <c r="I204" s="42">
        <v>0.30622971383771092</v>
      </c>
      <c r="J204" s="42">
        <v>-6.8502156017248099</v>
      </c>
      <c r="K204" s="42">
        <v>36.791608780870227</v>
      </c>
      <c r="L204" s="42">
        <v>0.20424068992551983</v>
      </c>
    </row>
    <row r="205" spans="1:12" x14ac:dyDescent="0.2">
      <c r="A205" s="41" t="s">
        <v>23</v>
      </c>
      <c r="B205" s="41">
        <v>2</v>
      </c>
      <c r="C205" s="41">
        <v>30.349644845158814</v>
      </c>
      <c r="D205" s="41">
        <v>1</v>
      </c>
      <c r="E205" s="41">
        <v>4.7</v>
      </c>
      <c r="F205" s="43">
        <v>3</v>
      </c>
      <c r="G205" s="41"/>
      <c r="H205" s="41">
        <v>0</v>
      </c>
      <c r="I205" s="41">
        <v>0.29343551548412183</v>
      </c>
      <c r="J205" s="41">
        <v>-1.5155233241865953</v>
      </c>
      <c r="K205" s="41">
        <v>98.428974519796213</v>
      </c>
      <c r="L205" s="41">
        <v>-3.5732653861230868E-2</v>
      </c>
    </row>
    <row r="206" spans="1:12" x14ac:dyDescent="0.2">
      <c r="A206" s="42" t="s">
        <v>23</v>
      </c>
      <c r="B206" s="42">
        <v>2</v>
      </c>
      <c r="C206" s="42">
        <v>30.212862406899525</v>
      </c>
      <c r="D206" s="42">
        <v>0</v>
      </c>
      <c r="E206" s="42">
        <v>3.03</v>
      </c>
      <c r="F206" s="44">
        <v>2</v>
      </c>
      <c r="G206" s="42"/>
      <c r="H206" s="42">
        <v>0</v>
      </c>
      <c r="I206" s="42">
        <v>0.29945433163465618</v>
      </c>
      <c r="J206" s="42">
        <v>-8.3555076440612268</v>
      </c>
      <c r="K206" s="42">
        <v>39.535020384163055</v>
      </c>
      <c r="L206" s="42">
        <v>-3.064994119952957E-2</v>
      </c>
    </row>
    <row r="207" spans="1:12" x14ac:dyDescent="0.2">
      <c r="A207" s="41" t="s">
        <v>23</v>
      </c>
      <c r="B207" s="41">
        <v>2</v>
      </c>
      <c r="C207" s="41">
        <v>27.665030576244611</v>
      </c>
      <c r="D207" s="41">
        <v>2</v>
      </c>
      <c r="E207" s="41">
        <v>6.34</v>
      </c>
      <c r="F207" s="41">
        <v>2</v>
      </c>
      <c r="G207" s="41"/>
      <c r="H207" s="41">
        <v>6.3354370834966561E-2</v>
      </c>
      <c r="I207" s="41">
        <v>0.31743159545276239</v>
      </c>
      <c r="J207" s="41">
        <v>-8.392042336338692</v>
      </c>
      <c r="K207" s="41">
        <v>0</v>
      </c>
      <c r="L207" s="41">
        <v>-8.5713053704429651E-2</v>
      </c>
    </row>
    <row r="208" spans="1:12" x14ac:dyDescent="0.2">
      <c r="A208" s="42" t="s">
        <v>24</v>
      </c>
      <c r="B208" s="42">
        <v>2</v>
      </c>
      <c r="C208" s="42">
        <v>15.992269357495891</v>
      </c>
      <c r="D208" s="42">
        <v>0</v>
      </c>
      <c r="E208" s="42">
        <v>4.43</v>
      </c>
      <c r="F208" s="45">
        <v>4</v>
      </c>
      <c r="G208" s="42"/>
      <c r="H208" s="42">
        <v>4.6945222405271728E-2</v>
      </c>
      <c r="I208" s="42">
        <v>0.170506589785833</v>
      </c>
      <c r="J208" s="42">
        <v>-1.4360790774299863</v>
      </c>
      <c r="K208" s="42">
        <v>14.139497940691921</v>
      </c>
      <c r="L208" s="42">
        <v>0.4063381383855027</v>
      </c>
    </row>
    <row r="209" spans="1:12" x14ac:dyDescent="0.2">
      <c r="A209" s="41" t="s">
        <v>24</v>
      </c>
      <c r="B209" s="41">
        <v>2</v>
      </c>
      <c r="C209" s="41">
        <v>19.168800658978519</v>
      </c>
      <c r="D209" s="41">
        <v>0</v>
      </c>
      <c r="E209" s="41">
        <v>5.33</v>
      </c>
      <c r="F209" s="43">
        <v>4</v>
      </c>
      <c r="G209" s="41"/>
      <c r="H209" s="41">
        <v>0</v>
      </c>
      <c r="I209" s="41">
        <v>0.15994810543657198</v>
      </c>
      <c r="J209" s="41">
        <v>-3.3569604612850106</v>
      </c>
      <c r="K209" s="41">
        <v>3.3291227347611203</v>
      </c>
      <c r="L209" s="41">
        <v>-5.7153212520592918E-2</v>
      </c>
    </row>
    <row r="210" spans="1:12" x14ac:dyDescent="0.2">
      <c r="A210" s="42" t="s">
        <v>24</v>
      </c>
      <c r="B210" s="42">
        <v>2</v>
      </c>
      <c r="C210" s="42">
        <v>21.825616556836916</v>
      </c>
      <c r="D210" s="42">
        <v>0</v>
      </c>
      <c r="E210" s="42">
        <v>3.01</v>
      </c>
      <c r="F210" s="44">
        <v>3</v>
      </c>
      <c r="G210" s="42"/>
      <c r="H210" s="42">
        <v>0</v>
      </c>
      <c r="I210" s="42">
        <v>0.20019398682042899</v>
      </c>
      <c r="J210" s="42">
        <v>-4.4156507413509098</v>
      </c>
      <c r="K210" s="42">
        <v>0</v>
      </c>
      <c r="L210" s="42">
        <v>-0.16583813838550274</v>
      </c>
    </row>
    <row r="211" spans="1:12" x14ac:dyDescent="0.2">
      <c r="A211" s="41" t="s">
        <v>24</v>
      </c>
      <c r="B211" s="41">
        <v>2</v>
      </c>
      <c r="C211" s="41">
        <v>22.301613673805658</v>
      </c>
      <c r="D211" s="41">
        <v>0</v>
      </c>
      <c r="E211" s="41">
        <v>4.8499999999999996</v>
      </c>
      <c r="F211" s="43">
        <v>3</v>
      </c>
      <c r="G211" s="41"/>
      <c r="H211" s="41">
        <v>0</v>
      </c>
      <c r="I211" s="41">
        <v>0.18955766062602972</v>
      </c>
      <c r="J211" s="41">
        <v>-5.6340609555189376</v>
      </c>
      <c r="K211" s="41">
        <v>32.521109555189433</v>
      </c>
      <c r="L211" s="41">
        <v>-4.5200576606260374E-2</v>
      </c>
    </row>
    <row r="212" spans="1:12" x14ac:dyDescent="0.2">
      <c r="A212" s="42" t="s">
        <v>24</v>
      </c>
      <c r="B212" s="42">
        <v>2</v>
      </c>
      <c r="C212" s="42">
        <v>21.699088550247147</v>
      </c>
      <c r="D212" s="42">
        <v>1</v>
      </c>
      <c r="E212" s="42">
        <v>8.02</v>
      </c>
      <c r="F212" s="44">
        <v>2</v>
      </c>
      <c r="G212" s="42"/>
      <c r="H212" s="42">
        <v>0</v>
      </c>
      <c r="I212" s="42">
        <v>0.1678200164744641</v>
      </c>
      <c r="J212" s="42">
        <v>-2.5752471169686935</v>
      </c>
      <c r="K212" s="42">
        <v>121.37443739703437</v>
      </c>
      <c r="L212" s="42">
        <v>-0.20670716639209244</v>
      </c>
    </row>
    <row r="213" spans="1:12" x14ac:dyDescent="0.2">
      <c r="A213" s="41" t="s">
        <v>24</v>
      </c>
      <c r="B213" s="41">
        <v>2</v>
      </c>
      <c r="C213" s="41">
        <v>22.166595963756148</v>
      </c>
      <c r="D213" s="41">
        <v>0</v>
      </c>
      <c r="E213" s="41">
        <v>2.92</v>
      </c>
      <c r="F213" s="41">
        <v>2</v>
      </c>
      <c r="G213" s="41"/>
      <c r="H213" s="41">
        <v>0</v>
      </c>
      <c r="I213" s="41">
        <v>0.18076235584843589</v>
      </c>
      <c r="J213" s="41">
        <v>-4.8994233937397107</v>
      </c>
      <c r="K213" s="41">
        <v>0.9717557660626025</v>
      </c>
      <c r="L213" s="41">
        <v>3.2667215815486018E-2</v>
      </c>
    </row>
    <row r="214" spans="1:12" x14ac:dyDescent="0.2">
      <c r="A214" s="42" t="s">
        <v>25</v>
      </c>
      <c r="B214" s="42">
        <v>2</v>
      </c>
      <c r="C214" s="42">
        <v>11.397116673084321</v>
      </c>
      <c r="D214" s="42">
        <v>0</v>
      </c>
      <c r="E214" s="42">
        <v>4.46</v>
      </c>
      <c r="F214" s="45">
        <v>4</v>
      </c>
      <c r="G214" s="42"/>
      <c r="H214" s="42">
        <v>1.1551790527531768E-6</v>
      </c>
      <c r="I214" s="42">
        <v>0.13852791682710788</v>
      </c>
      <c r="J214" s="42">
        <v>-0.53296110897189042</v>
      </c>
      <c r="K214" s="42">
        <v>13.219548710050057</v>
      </c>
      <c r="L214" s="42">
        <v>0.68178090103966349</v>
      </c>
    </row>
    <row r="215" spans="1:12" x14ac:dyDescent="0.2">
      <c r="A215" s="41" t="s">
        <v>25</v>
      </c>
      <c r="B215" s="41">
        <v>2</v>
      </c>
      <c r="C215" s="41">
        <v>23.394082787832112</v>
      </c>
      <c r="D215" s="41">
        <v>0</v>
      </c>
      <c r="E215" s="41">
        <v>6.31</v>
      </c>
      <c r="F215" s="43">
        <v>4</v>
      </c>
      <c r="G215" s="41"/>
      <c r="H215" s="41">
        <v>0</v>
      </c>
      <c r="I215" s="41">
        <v>0.23117096649980629</v>
      </c>
      <c r="J215" s="41">
        <v>-4.8642664613015008</v>
      </c>
      <c r="K215" s="41">
        <v>0</v>
      </c>
      <c r="L215" s="41">
        <v>0.28345128994994173</v>
      </c>
    </row>
    <row r="216" spans="1:12" x14ac:dyDescent="0.2">
      <c r="A216" s="42" t="s">
        <v>25</v>
      </c>
      <c r="B216" s="42">
        <v>2</v>
      </c>
      <c r="C216" s="42">
        <v>26.535988448209494</v>
      </c>
      <c r="D216" s="42">
        <v>0</v>
      </c>
      <c r="E216" s="42">
        <v>3.6</v>
      </c>
      <c r="F216" s="44">
        <v>3</v>
      </c>
      <c r="G216" s="42"/>
      <c r="H216" s="42">
        <v>0</v>
      </c>
      <c r="I216" s="42">
        <v>0.25641932999614758</v>
      </c>
      <c r="J216" s="42">
        <v>-2.4956488255679536</v>
      </c>
      <c r="K216" s="42">
        <v>0</v>
      </c>
      <c r="L216" s="42">
        <v>-1.9850211782826154E-2</v>
      </c>
    </row>
    <row r="217" spans="1:12" x14ac:dyDescent="0.2">
      <c r="A217" s="41" t="s">
        <v>25</v>
      </c>
      <c r="B217" s="41">
        <v>2</v>
      </c>
      <c r="C217" s="41">
        <v>25.051827878321159</v>
      </c>
      <c r="D217" s="41">
        <v>1</v>
      </c>
      <c r="E217" s="41">
        <v>8.1300000000000008</v>
      </c>
      <c r="F217" s="43">
        <v>3</v>
      </c>
      <c r="G217" s="41"/>
      <c r="H217" s="41">
        <v>0</v>
      </c>
      <c r="I217" s="41">
        <v>0.21901193685021336</v>
      </c>
      <c r="J217" s="41">
        <v>-7.4490180978051814</v>
      </c>
      <c r="K217" s="41">
        <v>75.462857142857118</v>
      </c>
      <c r="L217" s="41">
        <v>-5.1649980747015607E-2</v>
      </c>
    </row>
    <row r="218" spans="1:12" x14ac:dyDescent="0.2">
      <c r="A218" s="42" t="s">
        <v>25</v>
      </c>
      <c r="B218" s="42">
        <v>2</v>
      </c>
      <c r="C218" s="42">
        <v>27.485547169811259</v>
      </c>
      <c r="D218" s="42">
        <v>1</v>
      </c>
      <c r="E218" s="42">
        <v>6.08</v>
      </c>
      <c r="F218" s="44">
        <v>2</v>
      </c>
      <c r="G218" s="42"/>
      <c r="H218" s="42">
        <v>0</v>
      </c>
      <c r="I218" s="42">
        <v>0.20461301501732729</v>
      </c>
      <c r="J218" s="42">
        <v>-5.1814786291875174</v>
      </c>
      <c r="K218" s="42">
        <v>19.991112437427809</v>
      </c>
      <c r="L218" s="42">
        <v>2.58144012321916E-2</v>
      </c>
    </row>
    <row r="219" spans="1:12" x14ac:dyDescent="0.2">
      <c r="A219" s="41" t="s">
        <v>25</v>
      </c>
      <c r="B219" s="41">
        <v>2</v>
      </c>
      <c r="C219" s="41">
        <v>27.045571813631167</v>
      </c>
      <c r="D219" s="41">
        <v>0</v>
      </c>
      <c r="E219" s="41">
        <v>5.17</v>
      </c>
      <c r="F219" s="41">
        <v>2</v>
      </c>
      <c r="G219" s="41"/>
      <c r="H219" s="41">
        <v>3.2033885252214102E-2</v>
      </c>
      <c r="I219" s="41">
        <v>0.29301694262610595</v>
      </c>
      <c r="J219" s="41">
        <v>-1.3725067385444714</v>
      </c>
      <c r="K219" s="41">
        <v>10.350082402772427</v>
      </c>
      <c r="L219" s="41">
        <v>-0.14599576434347331</v>
      </c>
    </row>
    <row r="220" spans="1:12" x14ac:dyDescent="0.2">
      <c r="A220" s="42" t="s">
        <v>26</v>
      </c>
      <c r="B220" s="42">
        <v>2</v>
      </c>
      <c r="C220" s="42">
        <v>21.317959030837006</v>
      </c>
      <c r="D220" s="42">
        <v>0</v>
      </c>
      <c r="E220" s="42">
        <v>3.28</v>
      </c>
      <c r="F220" s="45">
        <v>4</v>
      </c>
      <c r="G220" s="42"/>
      <c r="H220" s="42">
        <v>0</v>
      </c>
      <c r="I220" s="42">
        <v>0.37450704845815164</v>
      </c>
      <c r="J220" s="42">
        <v>-1.5373127753303937</v>
      </c>
      <c r="K220" s="42">
        <v>15.740704845814975</v>
      </c>
      <c r="L220" s="42">
        <v>0.93881233480176418</v>
      </c>
    </row>
    <row r="221" spans="1:12" x14ac:dyDescent="0.2">
      <c r="A221" s="41" t="s">
        <v>26</v>
      </c>
      <c r="B221" s="41">
        <v>2</v>
      </c>
      <c r="C221" s="41">
        <v>27.027283259911879</v>
      </c>
      <c r="D221" s="41">
        <v>1</v>
      </c>
      <c r="E221" s="41">
        <v>10.46</v>
      </c>
      <c r="F221" s="43">
        <v>4</v>
      </c>
      <c r="G221" s="41"/>
      <c r="H221" s="41">
        <v>6.7427312775330461E-3</v>
      </c>
      <c r="I221" s="41">
        <v>0.18702555066079177</v>
      </c>
      <c r="J221" s="41">
        <v>-7.8757709251101158</v>
      </c>
      <c r="K221" s="41">
        <v>0</v>
      </c>
      <c r="L221" s="41">
        <v>0.83082951541850203</v>
      </c>
    </row>
    <row r="222" spans="1:12" x14ac:dyDescent="0.2">
      <c r="A222" s="42" t="s">
        <v>26</v>
      </c>
      <c r="B222" s="42">
        <v>2</v>
      </c>
      <c r="C222" s="42">
        <v>22.604150220264327</v>
      </c>
      <c r="D222" s="42">
        <v>0</v>
      </c>
      <c r="E222" s="42">
        <v>3.8</v>
      </c>
      <c r="F222" s="44">
        <v>3</v>
      </c>
      <c r="G222" s="42"/>
      <c r="H222" s="42">
        <v>0</v>
      </c>
      <c r="I222" s="42">
        <v>0.23164008810572737</v>
      </c>
      <c r="J222" s="42">
        <v>-0.45246696035242134</v>
      </c>
      <c r="K222" s="42">
        <v>0</v>
      </c>
      <c r="L222" s="42">
        <v>0.64873480176211362</v>
      </c>
    </row>
    <row r="223" spans="1:12" x14ac:dyDescent="0.2">
      <c r="A223" s="41" t="s">
        <v>26</v>
      </c>
      <c r="B223" s="41">
        <v>2</v>
      </c>
      <c r="C223" s="41">
        <v>21.866848017621127</v>
      </c>
      <c r="D223" s="41">
        <v>1</v>
      </c>
      <c r="E223" s="41">
        <v>6.43</v>
      </c>
      <c r="F223" s="43">
        <v>3</v>
      </c>
      <c r="G223" s="41"/>
      <c r="H223" s="41">
        <v>0</v>
      </c>
      <c r="I223" s="41">
        <v>0.20689691629955986</v>
      </c>
      <c r="J223" s="41">
        <v>-8.5306167400881066</v>
      </c>
      <c r="K223" s="41">
        <v>22.425866079295162</v>
      </c>
      <c r="L223" s="41">
        <v>0.92045110132158747</v>
      </c>
    </row>
    <row r="224" spans="1:12" x14ac:dyDescent="0.2">
      <c r="A224" s="42" t="s">
        <v>26</v>
      </c>
      <c r="B224" s="42">
        <v>2</v>
      </c>
      <c r="C224" s="42">
        <v>23.848130837004394</v>
      </c>
      <c r="D224" s="42">
        <v>2</v>
      </c>
      <c r="E224" s="42">
        <v>9.5</v>
      </c>
      <c r="F224" s="44">
        <v>2</v>
      </c>
      <c r="G224" s="42"/>
      <c r="H224" s="42">
        <v>0</v>
      </c>
      <c r="I224" s="42">
        <v>0.22036519823788586</v>
      </c>
      <c r="J224" s="42">
        <v>-0.21453744493392127</v>
      </c>
      <c r="K224" s="42">
        <v>0</v>
      </c>
      <c r="L224" s="42">
        <v>0.54748502202643134</v>
      </c>
    </row>
    <row r="225" spans="1:12" x14ac:dyDescent="0.2">
      <c r="A225" s="41" t="s">
        <v>26</v>
      </c>
      <c r="B225" s="41">
        <v>2</v>
      </c>
      <c r="C225" s="41">
        <v>20.090640088105708</v>
      </c>
      <c r="D225" s="41">
        <v>2</v>
      </c>
      <c r="E225" s="41">
        <v>13.58</v>
      </c>
      <c r="F225" s="41">
        <v>2</v>
      </c>
      <c r="G225" s="41"/>
      <c r="H225" s="41">
        <v>0</v>
      </c>
      <c r="I225" s="41">
        <v>0.13711674008810604</v>
      </c>
      <c r="J225" s="41">
        <v>-8.7307048458149623</v>
      </c>
      <c r="K225" s="41">
        <v>22.698274008810589</v>
      </c>
      <c r="L225" s="41">
        <v>0.26754096916299525</v>
      </c>
    </row>
    <row r="226" spans="1:12" x14ac:dyDescent="0.2">
      <c r="A226" s="42" t="s">
        <v>27</v>
      </c>
      <c r="B226" s="42">
        <v>2</v>
      </c>
      <c r="C226" s="42">
        <v>17.236979999999988</v>
      </c>
      <c r="D226" s="42">
        <v>0</v>
      </c>
      <c r="E226" s="42">
        <v>6.78</v>
      </c>
      <c r="F226" s="45">
        <v>4</v>
      </c>
      <c r="G226" s="42"/>
      <c r="H226" s="42">
        <v>0</v>
      </c>
      <c r="I226" s="42">
        <v>0.22278238095238084</v>
      </c>
      <c r="J226" s="42">
        <v>-0.49076190476190751</v>
      </c>
      <c r="K226" s="42">
        <v>22.6847038095238</v>
      </c>
      <c r="L226" s="42">
        <v>0.16036666666666671</v>
      </c>
    </row>
    <row r="227" spans="1:12" x14ac:dyDescent="0.2">
      <c r="A227" s="41" t="s">
        <v>27</v>
      </c>
      <c r="B227" s="41">
        <v>2</v>
      </c>
      <c r="C227" s="41">
        <v>23.091540476190588</v>
      </c>
      <c r="D227" s="41">
        <v>0</v>
      </c>
      <c r="E227" s="41">
        <v>5.36</v>
      </c>
      <c r="F227" s="43">
        <v>4</v>
      </c>
      <c r="G227" s="41"/>
      <c r="H227" s="41">
        <v>0</v>
      </c>
      <c r="I227" s="41">
        <v>0.18504047619047526</v>
      </c>
      <c r="J227" s="41">
        <v>-3.7037619047619046</v>
      </c>
      <c r="K227" s="41">
        <v>0</v>
      </c>
      <c r="L227" s="41">
        <v>-0.61723999999999979</v>
      </c>
    </row>
    <row r="228" spans="1:12" x14ac:dyDescent="0.2">
      <c r="A228" s="42" t="s">
        <v>27</v>
      </c>
      <c r="B228" s="42">
        <v>2</v>
      </c>
      <c r="C228" s="42">
        <v>22.146053809523782</v>
      </c>
      <c r="D228" s="42">
        <v>1</v>
      </c>
      <c r="E228" s="42">
        <v>10.98</v>
      </c>
      <c r="F228" s="44">
        <v>3</v>
      </c>
      <c r="G228" s="42"/>
      <c r="H228" s="42">
        <v>0</v>
      </c>
      <c r="I228" s="42">
        <v>0.17624333333333367</v>
      </c>
      <c r="J228" s="42">
        <v>-5.1362380952380899</v>
      </c>
      <c r="K228" s="42">
        <v>0</v>
      </c>
      <c r="L228" s="42">
        <v>-0.55152238095238015</v>
      </c>
    </row>
    <row r="229" spans="1:12" x14ac:dyDescent="0.2">
      <c r="A229" s="41" t="s">
        <v>27</v>
      </c>
      <c r="B229" s="41">
        <v>2</v>
      </c>
      <c r="C229" s="41">
        <v>22.649106190476154</v>
      </c>
      <c r="D229" s="41">
        <v>0</v>
      </c>
      <c r="E229" s="41">
        <v>6.6</v>
      </c>
      <c r="F229" s="43">
        <v>3</v>
      </c>
      <c r="G229" s="41"/>
      <c r="H229" s="41">
        <v>0</v>
      </c>
      <c r="I229" s="41">
        <v>0.18945238095238182</v>
      </c>
      <c r="J229" s="41">
        <v>-0.82280952380952399</v>
      </c>
      <c r="K229" s="41">
        <v>0</v>
      </c>
      <c r="L229" s="41">
        <v>-0.49533095238095237</v>
      </c>
    </row>
    <row r="230" spans="1:12" x14ac:dyDescent="0.2">
      <c r="A230" s="42" t="s">
        <v>27</v>
      </c>
      <c r="B230" s="42">
        <v>2</v>
      </c>
      <c r="C230" s="42">
        <v>22.993639523809552</v>
      </c>
      <c r="D230" s="42">
        <v>1</v>
      </c>
      <c r="E230" s="42">
        <v>11.16</v>
      </c>
      <c r="F230" s="44">
        <v>2</v>
      </c>
      <c r="G230" s="42"/>
      <c r="H230" s="42">
        <v>0</v>
      </c>
      <c r="I230" s="42">
        <v>0.18177571428571165</v>
      </c>
      <c r="J230" s="42">
        <v>-8.6276190476190671</v>
      </c>
      <c r="K230" s="42">
        <v>0</v>
      </c>
      <c r="L230" s="42">
        <v>-0.76909666666666898</v>
      </c>
    </row>
    <row r="231" spans="1:12" x14ac:dyDescent="0.2">
      <c r="A231" s="41" t="s">
        <v>27</v>
      </c>
      <c r="B231" s="41">
        <v>2</v>
      </c>
      <c r="C231" s="41">
        <v>22.514301904761865</v>
      </c>
      <c r="D231" s="41">
        <v>0</v>
      </c>
      <c r="E231" s="41">
        <v>3.31</v>
      </c>
      <c r="F231" s="41">
        <v>2</v>
      </c>
      <c r="G231" s="41"/>
      <c r="H231" s="41">
        <v>0</v>
      </c>
      <c r="I231" s="41">
        <v>0.18500380952381296</v>
      </c>
      <c r="J231" s="41">
        <v>1.4476190476190452E-2</v>
      </c>
      <c r="K231" s="41">
        <v>0</v>
      </c>
      <c r="L231" s="41">
        <v>-0.51941714285714369</v>
      </c>
    </row>
    <row r="232" spans="1:12" x14ac:dyDescent="0.2">
      <c r="A232" s="42" t="s">
        <v>14</v>
      </c>
      <c r="B232" s="42">
        <v>2</v>
      </c>
      <c r="C232" s="42">
        <v>9.9008503937007806</v>
      </c>
      <c r="D232" s="42">
        <v>0</v>
      </c>
      <c r="E232" s="42">
        <v>9.69</v>
      </c>
      <c r="F232" s="45">
        <v>4</v>
      </c>
      <c r="G232" s="42"/>
      <c r="H232" s="42">
        <v>0.10394698162729647</v>
      </c>
      <c r="I232" s="42">
        <v>0.1626141732283459</v>
      </c>
      <c r="J232" s="42">
        <v>0.68661417322834351</v>
      </c>
      <c r="K232" s="42">
        <v>18.021495538057749</v>
      </c>
      <c r="L232" s="42">
        <v>0.32938005249343638</v>
      </c>
    </row>
    <row r="233" spans="1:12" x14ac:dyDescent="0.2">
      <c r="A233" s="41" t="s">
        <v>14</v>
      </c>
      <c r="B233" s="41">
        <v>2</v>
      </c>
      <c r="C233" s="41">
        <v>25.525191076115586</v>
      </c>
      <c r="D233" s="41">
        <v>0</v>
      </c>
      <c r="E233" s="41">
        <v>16.41</v>
      </c>
      <c r="F233" s="43">
        <v>4</v>
      </c>
      <c r="G233" s="41"/>
      <c r="H233" s="41">
        <v>0</v>
      </c>
      <c r="I233" s="41">
        <v>0.27200682414698008</v>
      </c>
      <c r="J233" s="41">
        <v>3.6272965879265075E-2</v>
      </c>
      <c r="K233" s="41">
        <v>0</v>
      </c>
      <c r="L233" s="41">
        <v>-0.21065931758530274</v>
      </c>
    </row>
    <row r="234" spans="1:12" x14ac:dyDescent="0.2">
      <c r="A234" s="42" t="s">
        <v>14</v>
      </c>
      <c r="B234" s="42">
        <v>2</v>
      </c>
      <c r="C234" s="42">
        <v>26.928525984251952</v>
      </c>
      <c r="D234" s="42">
        <v>0</v>
      </c>
      <c r="E234" s="42">
        <v>5.12</v>
      </c>
      <c r="F234" s="44">
        <v>3</v>
      </c>
      <c r="G234" s="42"/>
      <c r="H234" s="42">
        <v>0</v>
      </c>
      <c r="I234" s="42">
        <v>0.24199790026246626</v>
      </c>
      <c r="J234" s="42">
        <v>-9.980472440944876</v>
      </c>
      <c r="K234" s="42">
        <v>0</v>
      </c>
      <c r="L234" s="42">
        <v>3.2935433070866167E-2</v>
      </c>
    </row>
    <row r="235" spans="1:12" x14ac:dyDescent="0.2">
      <c r="A235" s="41" t="s">
        <v>14</v>
      </c>
      <c r="B235" s="41">
        <v>2</v>
      </c>
      <c r="C235" s="41">
        <v>27.767386351706101</v>
      </c>
      <c r="D235" s="41">
        <v>0</v>
      </c>
      <c r="E235" s="41">
        <v>4.78</v>
      </c>
      <c r="F235" s="43">
        <v>3</v>
      </c>
      <c r="G235" s="41"/>
      <c r="H235" s="41">
        <v>0</v>
      </c>
      <c r="I235" s="41">
        <v>0.24853910761155251</v>
      </c>
      <c r="J235" s="41">
        <v>9.5013123359579989E-3</v>
      </c>
      <c r="K235" s="41">
        <v>0</v>
      </c>
      <c r="L235" s="41">
        <v>-0.28080104986876681</v>
      </c>
    </row>
    <row r="236" spans="1:12" x14ac:dyDescent="0.2">
      <c r="A236" s="42" t="s">
        <v>14</v>
      </c>
      <c r="B236" s="42">
        <v>2</v>
      </c>
      <c r="C236" s="42">
        <v>26.093607349081378</v>
      </c>
      <c r="D236" s="42">
        <v>0</v>
      </c>
      <c r="E236" s="42">
        <v>2.37</v>
      </c>
      <c r="F236" s="44">
        <v>2</v>
      </c>
      <c r="G236" s="42"/>
      <c r="H236" s="42">
        <v>0</v>
      </c>
      <c r="I236" s="42">
        <v>0.20999160104986775</v>
      </c>
      <c r="J236" s="42">
        <v>-10.431233595800592</v>
      </c>
      <c r="K236" s="42">
        <v>12.055869816272974</v>
      </c>
      <c r="L236" s="42">
        <v>-1.248293963254588E-2</v>
      </c>
    </row>
    <row r="237" spans="1:12" x14ac:dyDescent="0.2">
      <c r="A237" s="41" t="s">
        <v>14</v>
      </c>
      <c r="B237" s="41">
        <v>2</v>
      </c>
      <c r="C237" s="41">
        <v>26.047402099737546</v>
      </c>
      <c r="D237" s="41">
        <v>0</v>
      </c>
      <c r="E237" s="41">
        <v>2.2799999999999998</v>
      </c>
      <c r="F237" s="41">
        <v>2</v>
      </c>
      <c r="G237" s="41"/>
      <c r="H237" s="41">
        <v>0</v>
      </c>
      <c r="I237" s="41">
        <v>0.19861417322834635</v>
      </c>
      <c r="J237" s="41">
        <v>3.5380577427821594E-2</v>
      </c>
      <c r="K237" s="41">
        <v>0</v>
      </c>
      <c r="L237" s="41">
        <v>-0.22980052493438388</v>
      </c>
    </row>
    <row r="238" spans="1:12" x14ac:dyDescent="0.2">
      <c r="A238" s="42" t="s">
        <v>12</v>
      </c>
      <c r="B238" s="42">
        <v>3</v>
      </c>
      <c r="C238" s="42">
        <v>15.287879999999996</v>
      </c>
      <c r="D238" s="42">
        <v>0</v>
      </c>
      <c r="E238" s="42">
        <v>4.7</v>
      </c>
      <c r="F238" s="45">
        <v>4</v>
      </c>
      <c r="G238" s="42"/>
      <c r="H238" s="42">
        <v>0</v>
      </c>
      <c r="I238" s="42">
        <v>0.18411999999999998</v>
      </c>
      <c r="J238" s="42">
        <v>0.25999999999999995</v>
      </c>
      <c r="K238" s="42">
        <v>0</v>
      </c>
      <c r="L238" s="42">
        <v>-0.29655999999999999</v>
      </c>
    </row>
    <row r="239" spans="1:12" x14ac:dyDescent="0.2">
      <c r="A239" s="41" t="s">
        <v>12</v>
      </c>
      <c r="B239" s="41">
        <v>3</v>
      </c>
      <c r="C239" s="41">
        <v>14.215839999999998</v>
      </c>
      <c r="D239" s="41">
        <v>0</v>
      </c>
      <c r="E239" s="41">
        <v>5.08</v>
      </c>
      <c r="F239" s="43">
        <v>4</v>
      </c>
      <c r="G239" s="41"/>
      <c r="H239" s="41">
        <v>2.1879999999999997E-2</v>
      </c>
      <c r="I239" s="41">
        <v>6.8879999999999997E-2</v>
      </c>
      <c r="J239" s="41">
        <v>8.0000000000000071E-3</v>
      </c>
      <c r="K239" s="41">
        <v>2.7257599999999997</v>
      </c>
      <c r="L239" s="41">
        <v>-0.37095999999999996</v>
      </c>
    </row>
    <row r="240" spans="1:12" x14ac:dyDescent="0.2">
      <c r="A240" s="42" t="s">
        <v>12</v>
      </c>
      <c r="B240" s="42">
        <v>3</v>
      </c>
      <c r="C240" s="42">
        <v>10.311120000000001</v>
      </c>
      <c r="D240" s="42">
        <v>0</v>
      </c>
      <c r="E240" s="42">
        <v>2.4700000000000002</v>
      </c>
      <c r="F240" s="44">
        <v>3</v>
      </c>
      <c r="G240" s="42"/>
      <c r="H240" s="42">
        <v>1.1160000000000002E-2</v>
      </c>
      <c r="I240" s="42">
        <v>0.15324000000000002</v>
      </c>
      <c r="J240" s="42">
        <v>-22.215999999999994</v>
      </c>
      <c r="K240" s="42">
        <v>39.287959999999991</v>
      </c>
      <c r="L240" s="42">
        <v>8.3040000000000017E-2</v>
      </c>
    </row>
    <row r="241" spans="1:12" x14ac:dyDescent="0.2">
      <c r="A241" s="41" t="s">
        <v>12</v>
      </c>
      <c r="B241" s="41">
        <v>3</v>
      </c>
      <c r="C241" s="41">
        <v>13.461159999999996</v>
      </c>
      <c r="D241" s="41">
        <v>0</v>
      </c>
      <c r="E241" s="41">
        <v>4.9400000000000004</v>
      </c>
      <c r="F241" s="43">
        <v>3</v>
      </c>
      <c r="G241" s="41"/>
      <c r="H241" s="41">
        <v>3.4159999999999996E-2</v>
      </c>
      <c r="I241" s="41">
        <v>0.11075999999999998</v>
      </c>
      <c r="J241" s="41">
        <v>-0.61599999999999999</v>
      </c>
      <c r="K241" s="41">
        <v>41.110799999999998</v>
      </c>
      <c r="L241" s="41">
        <v>-0.29840000000000005</v>
      </c>
    </row>
    <row r="242" spans="1:12" x14ac:dyDescent="0.2">
      <c r="A242" s="42" t="s">
        <v>12</v>
      </c>
      <c r="B242" s="42">
        <v>3</v>
      </c>
      <c r="C242" s="42">
        <v>16.849440000000001</v>
      </c>
      <c r="D242" s="42">
        <v>0</v>
      </c>
      <c r="E242" s="42">
        <v>2.0099999999999998</v>
      </c>
      <c r="F242" s="44">
        <v>2</v>
      </c>
      <c r="G242" s="42"/>
      <c r="H242" s="42">
        <v>2.7919999999999997E-2</v>
      </c>
      <c r="I242" s="42">
        <v>0.12288000000000002</v>
      </c>
      <c r="J242" s="42">
        <v>-13.448000000000002</v>
      </c>
      <c r="K242" s="42">
        <v>43.930640000000004</v>
      </c>
      <c r="L242" s="42">
        <v>-0.24263999999999991</v>
      </c>
    </row>
    <row r="243" spans="1:12" x14ac:dyDescent="0.2">
      <c r="A243" s="41" t="s">
        <v>12</v>
      </c>
      <c r="B243" s="41">
        <v>3</v>
      </c>
      <c r="C243" s="41">
        <v>11.605320000000001</v>
      </c>
      <c r="D243" s="41">
        <v>0</v>
      </c>
      <c r="E243" s="41">
        <v>1.91</v>
      </c>
      <c r="F243" s="41">
        <v>2</v>
      </c>
      <c r="G243" s="41"/>
      <c r="H243" s="41">
        <v>1.4199999999999999E-2</v>
      </c>
      <c r="I243" s="41">
        <v>0.19012000000000001</v>
      </c>
      <c r="J243" s="41">
        <v>-0.24399999999999991</v>
      </c>
      <c r="K243" s="41">
        <v>37.063879999999997</v>
      </c>
      <c r="L243" s="41">
        <v>-0.37056000000000006</v>
      </c>
    </row>
    <row r="244" spans="1:12" x14ac:dyDescent="0.2">
      <c r="A244" s="42" t="s">
        <v>13</v>
      </c>
      <c r="B244" s="42">
        <v>3</v>
      </c>
      <c r="C244" s="42">
        <v>14.510285714285718</v>
      </c>
      <c r="D244" s="42">
        <v>0</v>
      </c>
      <c r="E244" s="42">
        <v>9.17</v>
      </c>
      <c r="F244" s="45">
        <v>4</v>
      </c>
      <c r="G244" s="42"/>
      <c r="H244" s="42">
        <v>0</v>
      </c>
      <c r="I244" s="42">
        <v>0.15538095238095229</v>
      </c>
      <c r="J244" s="42">
        <v>0.78809523809523829</v>
      </c>
      <c r="K244" s="42">
        <v>0</v>
      </c>
      <c r="L244" s="42">
        <v>-0.498</v>
      </c>
    </row>
    <row r="245" spans="1:12" x14ac:dyDescent="0.2">
      <c r="A245" s="41" t="s">
        <v>13</v>
      </c>
      <c r="B245" s="41">
        <v>3</v>
      </c>
      <c r="C245" s="41">
        <v>9.2851904761904756</v>
      </c>
      <c r="D245" s="41">
        <v>1</v>
      </c>
      <c r="E245" s="41">
        <v>19.05</v>
      </c>
      <c r="F245" s="43">
        <v>4</v>
      </c>
      <c r="G245" s="41"/>
      <c r="H245" s="41">
        <v>2.754761904761905E-2</v>
      </c>
      <c r="I245" s="41">
        <v>8.7142857142857147E-2</v>
      </c>
      <c r="J245" s="41">
        <v>-17.94761904761905</v>
      </c>
      <c r="K245" s="41">
        <v>67.811833333333325</v>
      </c>
      <c r="L245" s="41">
        <v>-0.33959523809523817</v>
      </c>
    </row>
    <row r="246" spans="1:12" x14ac:dyDescent="0.2">
      <c r="A246" s="42" t="s">
        <v>13</v>
      </c>
      <c r="B246" s="42">
        <v>3</v>
      </c>
      <c r="C246" s="42">
        <v>17.020333333333337</v>
      </c>
      <c r="D246" s="42">
        <v>1</v>
      </c>
      <c r="E246" s="42">
        <v>12.54</v>
      </c>
      <c r="F246" s="44">
        <v>3</v>
      </c>
      <c r="G246" s="42"/>
      <c r="H246" s="42">
        <v>0</v>
      </c>
      <c r="I246" s="42">
        <v>0.12259523809523809</v>
      </c>
      <c r="J246" s="42">
        <v>-7.6738095238095259</v>
      </c>
      <c r="K246" s="42">
        <v>23.733452380952379</v>
      </c>
      <c r="L246" s="42">
        <v>-0.58885714285714286</v>
      </c>
    </row>
    <row r="247" spans="1:12" x14ac:dyDescent="0.2">
      <c r="A247" s="41" t="s">
        <v>13</v>
      </c>
      <c r="B247" s="41">
        <v>3</v>
      </c>
      <c r="C247" s="41">
        <v>13.760309523809523</v>
      </c>
      <c r="D247" s="41">
        <v>0</v>
      </c>
      <c r="E247" s="41">
        <v>3.33</v>
      </c>
      <c r="F247" s="43">
        <v>3</v>
      </c>
      <c r="G247" s="41"/>
      <c r="H247" s="41">
        <v>6.904761904761904E-3</v>
      </c>
      <c r="I247" s="41">
        <v>8.8357142857142856E-2</v>
      </c>
      <c r="J247" s="41">
        <v>-13.614285714285714</v>
      </c>
      <c r="K247" s="41">
        <v>0.14959523809523811</v>
      </c>
      <c r="L247" s="41">
        <v>-0.49633333333333335</v>
      </c>
    </row>
    <row r="248" spans="1:12" x14ac:dyDescent="0.2">
      <c r="A248" s="42" t="s">
        <v>13</v>
      </c>
      <c r="B248" s="42">
        <v>3</v>
      </c>
      <c r="C248" s="42">
        <v>11.091071428571428</v>
      </c>
      <c r="D248" s="42">
        <v>0</v>
      </c>
      <c r="E248" s="42">
        <v>4.87</v>
      </c>
      <c r="F248" s="44">
        <v>2</v>
      </c>
      <c r="G248" s="42"/>
      <c r="H248" s="42">
        <v>0.10042857142857142</v>
      </c>
      <c r="I248" s="42">
        <v>0.23564285714285715</v>
      </c>
      <c r="J248" s="42">
        <v>-17.459523809523809</v>
      </c>
      <c r="K248" s="42">
        <v>1.6979047619047618</v>
      </c>
      <c r="L248" s="42">
        <v>-0.36783333333333346</v>
      </c>
    </row>
    <row r="249" spans="1:12" x14ac:dyDescent="0.2">
      <c r="A249" s="41" t="s">
        <v>13</v>
      </c>
      <c r="B249" s="41">
        <v>3</v>
      </c>
      <c r="C249" s="41">
        <v>9.3389523809523816</v>
      </c>
      <c r="D249" s="41">
        <v>0</v>
      </c>
      <c r="E249" s="41">
        <v>3.85</v>
      </c>
      <c r="F249" s="41">
        <v>2</v>
      </c>
      <c r="G249" s="41"/>
      <c r="H249" s="41">
        <v>8.1928571428571434E-2</v>
      </c>
      <c r="I249" s="41">
        <v>0.1121190476190476</v>
      </c>
      <c r="J249" s="41">
        <v>-14.369047619047624</v>
      </c>
      <c r="K249" s="41">
        <v>0</v>
      </c>
      <c r="L249" s="41">
        <v>-0.48783333333333329</v>
      </c>
    </row>
    <row r="250" spans="1:12" x14ac:dyDescent="0.2">
      <c r="A250" s="42" t="s">
        <v>20</v>
      </c>
      <c r="B250" s="42">
        <v>3</v>
      </c>
      <c r="C250" s="42">
        <v>13.620303030303029</v>
      </c>
      <c r="D250" s="42">
        <v>0</v>
      </c>
      <c r="E250" s="42">
        <v>5.79</v>
      </c>
      <c r="F250" s="45">
        <v>4</v>
      </c>
      <c r="G250" s="42"/>
      <c r="H250" s="42">
        <v>0</v>
      </c>
      <c r="I250" s="42">
        <v>0.17369696969696977</v>
      </c>
      <c r="J250" s="42">
        <v>0.64242424242424234</v>
      </c>
      <c r="K250" s="42">
        <v>0</v>
      </c>
      <c r="L250" s="42">
        <v>0.58269696969696971</v>
      </c>
    </row>
    <row r="251" spans="1:12" x14ac:dyDescent="0.2">
      <c r="A251" s="41" t="s">
        <v>20</v>
      </c>
      <c r="B251" s="41">
        <v>3</v>
      </c>
      <c r="C251" s="41">
        <v>10.615484848484845</v>
      </c>
      <c r="D251" s="41">
        <v>2</v>
      </c>
      <c r="E251" s="41">
        <v>14.14</v>
      </c>
      <c r="F251" s="43">
        <v>4</v>
      </c>
      <c r="G251" s="41"/>
      <c r="H251" s="41">
        <v>4.8515151515151511E-2</v>
      </c>
      <c r="I251" s="41">
        <v>8.5454545454545464E-2</v>
      </c>
      <c r="J251" s="41">
        <v>-15.633333333333333</v>
      </c>
      <c r="K251" s="41">
        <v>20.092696969696973</v>
      </c>
      <c r="L251" s="41">
        <v>0.58530303030303021</v>
      </c>
    </row>
    <row r="252" spans="1:12" x14ac:dyDescent="0.2">
      <c r="A252" s="42" t="s">
        <v>20</v>
      </c>
      <c r="B252" s="42">
        <v>3</v>
      </c>
      <c r="C252" s="42">
        <v>14.20009090909091</v>
      </c>
      <c r="D252" s="42">
        <v>1</v>
      </c>
      <c r="E252" s="42">
        <v>8.86</v>
      </c>
      <c r="F252" s="44">
        <v>3</v>
      </c>
      <c r="G252" s="42"/>
      <c r="H252" s="42">
        <v>3.3636363636363631E-2</v>
      </c>
      <c r="I252" s="42">
        <v>0.14681818181818179</v>
      </c>
      <c r="J252" s="42">
        <v>0.74545454545454537</v>
      </c>
      <c r="K252" s="42">
        <v>0</v>
      </c>
      <c r="L252" s="42">
        <v>-0.16066666666666662</v>
      </c>
    </row>
    <row r="253" spans="1:12" x14ac:dyDescent="0.2">
      <c r="A253" s="41" t="s">
        <v>20</v>
      </c>
      <c r="B253" s="41">
        <v>3</v>
      </c>
      <c r="C253" s="41">
        <v>14.174454545454545</v>
      </c>
      <c r="D253" s="41">
        <v>0</v>
      </c>
      <c r="E253" s="41">
        <v>9.1199999999999992</v>
      </c>
      <c r="F253" s="43">
        <v>3</v>
      </c>
      <c r="G253" s="41"/>
      <c r="H253" s="41">
        <v>0</v>
      </c>
      <c r="I253" s="41">
        <v>0.15193939393939399</v>
      </c>
      <c r="J253" s="41">
        <v>-11.375757575757577</v>
      </c>
      <c r="K253" s="41">
        <v>64.069515151515148</v>
      </c>
      <c r="L253" s="41">
        <v>-0.27290909090909093</v>
      </c>
    </row>
    <row r="254" spans="1:12" x14ac:dyDescent="0.2">
      <c r="A254" s="42" t="s">
        <v>20</v>
      </c>
      <c r="B254" s="42">
        <v>3</v>
      </c>
      <c r="C254" s="42">
        <v>14.73881818181818</v>
      </c>
      <c r="D254" s="42">
        <v>1</v>
      </c>
      <c r="E254" s="42">
        <v>5.17</v>
      </c>
      <c r="F254" s="44">
        <v>2</v>
      </c>
      <c r="G254" s="42"/>
      <c r="H254" s="42">
        <v>3.1787878787878789E-2</v>
      </c>
      <c r="I254" s="42">
        <v>0.15624242424242424</v>
      </c>
      <c r="J254" s="42">
        <v>-1.0272727272727273</v>
      </c>
      <c r="K254" s="42">
        <v>55.175969696969702</v>
      </c>
      <c r="L254" s="42">
        <v>0.18554545454545454</v>
      </c>
    </row>
    <row r="255" spans="1:12" x14ac:dyDescent="0.2">
      <c r="A255" s="41" t="s">
        <v>20</v>
      </c>
      <c r="B255" s="41">
        <v>3</v>
      </c>
      <c r="C255" s="41">
        <v>7.6552121212121227</v>
      </c>
      <c r="D255" s="41">
        <v>0</v>
      </c>
      <c r="E255" s="41">
        <v>5.67</v>
      </c>
      <c r="F255" s="41">
        <v>2</v>
      </c>
      <c r="G255" s="41"/>
      <c r="H255" s="41">
        <v>5.2727272727272727E-2</v>
      </c>
      <c r="I255" s="41">
        <v>8.5242424242424245E-2</v>
      </c>
      <c r="J255" s="41">
        <v>-13.463636363636363</v>
      </c>
      <c r="K255" s="41">
        <v>85.761545454545455</v>
      </c>
      <c r="L255" s="41">
        <v>0.35363636363636342</v>
      </c>
    </row>
    <row r="256" spans="1:12" x14ac:dyDescent="0.2">
      <c r="A256" s="42" t="s">
        <v>22</v>
      </c>
      <c r="B256" s="42">
        <v>3</v>
      </c>
      <c r="C256" s="42">
        <v>16.035777777777778</v>
      </c>
      <c r="D256" s="42">
        <v>0</v>
      </c>
      <c r="E256" s="42">
        <v>3.98</v>
      </c>
      <c r="F256" s="45">
        <v>4</v>
      </c>
      <c r="G256" s="42"/>
      <c r="H256" s="42">
        <v>0</v>
      </c>
      <c r="I256" s="42">
        <v>0.27200000000000002</v>
      </c>
      <c r="J256" s="42">
        <v>-1.8518518518518504E-2</v>
      </c>
      <c r="K256" s="42">
        <v>0</v>
      </c>
      <c r="L256" s="42">
        <v>-0.28259259259259256</v>
      </c>
    </row>
    <row r="257" spans="1:12" x14ac:dyDescent="0.2">
      <c r="A257" s="41" t="s">
        <v>22</v>
      </c>
      <c r="B257" s="41">
        <v>3</v>
      </c>
      <c r="C257" s="41">
        <v>11.684185185185187</v>
      </c>
      <c r="D257" s="41">
        <v>0</v>
      </c>
      <c r="E257" s="41">
        <v>4.72</v>
      </c>
      <c r="F257" s="43">
        <v>4</v>
      </c>
      <c r="G257" s="41"/>
      <c r="H257" s="41">
        <v>0.13837037037037037</v>
      </c>
      <c r="I257" s="41">
        <v>5.7666666666666679E-2</v>
      </c>
      <c r="J257" s="41">
        <v>-0.52962962962962967</v>
      </c>
      <c r="K257" s="41">
        <v>7.4265925925925922</v>
      </c>
      <c r="L257" s="41">
        <v>-3.0111111111111151E-2</v>
      </c>
    </row>
    <row r="258" spans="1:12" x14ac:dyDescent="0.2">
      <c r="A258" s="42" t="s">
        <v>22</v>
      </c>
      <c r="B258" s="42">
        <v>3</v>
      </c>
      <c r="C258" s="42">
        <v>16.472592592592594</v>
      </c>
      <c r="D258" s="42">
        <v>1</v>
      </c>
      <c r="E258" s="42">
        <v>6.01</v>
      </c>
      <c r="F258" s="44">
        <v>3</v>
      </c>
      <c r="G258" s="42"/>
      <c r="H258" s="42">
        <v>0</v>
      </c>
      <c r="I258" s="42">
        <v>0.28129629629629621</v>
      </c>
      <c r="J258" s="42">
        <v>-20.107407407407408</v>
      </c>
      <c r="K258" s="42">
        <v>59.471296296296295</v>
      </c>
      <c r="L258" s="42">
        <v>0.2844444444444445</v>
      </c>
    </row>
    <row r="259" spans="1:12" x14ac:dyDescent="0.2">
      <c r="A259" s="41" t="s">
        <v>22</v>
      </c>
      <c r="B259" s="41">
        <v>3</v>
      </c>
      <c r="C259" s="41">
        <v>16.595740740740737</v>
      </c>
      <c r="D259" s="41">
        <v>0</v>
      </c>
      <c r="E259" s="41">
        <v>4.99</v>
      </c>
      <c r="F259" s="43">
        <v>3</v>
      </c>
      <c r="G259" s="41"/>
      <c r="H259" s="41">
        <v>3.1259259259259257E-2</v>
      </c>
      <c r="I259" s="41">
        <v>0.15870370370370368</v>
      </c>
      <c r="J259" s="41">
        <v>-11.348148148148148</v>
      </c>
      <c r="K259" s="41">
        <v>1.7234814814814814</v>
      </c>
      <c r="L259" s="41">
        <v>-0.28985185185185181</v>
      </c>
    </row>
    <row r="260" spans="1:12" x14ac:dyDescent="0.2">
      <c r="A260" s="42" t="s">
        <v>22</v>
      </c>
      <c r="B260" s="42">
        <v>3</v>
      </c>
      <c r="C260" s="42">
        <v>14.175740740740743</v>
      </c>
      <c r="D260" s="42">
        <v>0</v>
      </c>
      <c r="E260" s="42">
        <v>2.0299999999999998</v>
      </c>
      <c r="F260" s="44">
        <v>2</v>
      </c>
      <c r="G260" s="42"/>
      <c r="H260" s="42">
        <v>3.3296296296296296E-2</v>
      </c>
      <c r="I260" s="42">
        <v>0.128</v>
      </c>
      <c r="J260" s="42">
        <v>-2.6111111111111094</v>
      </c>
      <c r="K260" s="42">
        <v>29.385185185185179</v>
      </c>
      <c r="L260" s="42">
        <v>-0.25414814814814823</v>
      </c>
    </row>
    <row r="261" spans="1:12" x14ac:dyDescent="0.2">
      <c r="A261" s="41" t="s">
        <v>22</v>
      </c>
      <c r="B261" s="41">
        <v>3</v>
      </c>
      <c r="C261" s="41">
        <v>9.1939259259259281</v>
      </c>
      <c r="D261" s="41">
        <v>0</v>
      </c>
      <c r="E261" s="41">
        <v>3.54</v>
      </c>
      <c r="F261" s="41">
        <v>2</v>
      </c>
      <c r="G261" s="41"/>
      <c r="H261" s="41">
        <v>3.3037037037037031E-2</v>
      </c>
      <c r="I261" s="41">
        <v>7.637037037037038E-2</v>
      </c>
      <c r="J261" s="41">
        <v>-6.1407407407407408</v>
      </c>
      <c r="K261" s="41">
        <v>33.056481481481484</v>
      </c>
      <c r="L261" s="41">
        <v>-3.1407407407407328E-2</v>
      </c>
    </row>
    <row r="262" spans="1:12" x14ac:dyDescent="0.2">
      <c r="A262" s="42" t="s">
        <v>23</v>
      </c>
      <c r="B262" s="42">
        <v>3</v>
      </c>
      <c r="C262" s="42">
        <v>17.403621621621621</v>
      </c>
      <c r="D262" s="42">
        <v>0</v>
      </c>
      <c r="E262" s="42">
        <v>3.62</v>
      </c>
      <c r="F262" s="45">
        <v>4</v>
      </c>
      <c r="G262" s="42"/>
      <c r="H262" s="42">
        <v>0</v>
      </c>
      <c r="I262" s="42">
        <v>0.23883783783783788</v>
      </c>
      <c r="J262" s="42">
        <v>-14.718918918918913</v>
      </c>
      <c r="K262" s="42">
        <v>0</v>
      </c>
      <c r="L262" s="42">
        <v>-0.35105405405405404</v>
      </c>
    </row>
    <row r="263" spans="1:12" x14ac:dyDescent="0.2">
      <c r="A263" s="41" t="s">
        <v>23</v>
      </c>
      <c r="B263" s="41">
        <v>3</v>
      </c>
      <c r="C263" s="41">
        <v>11.28427027027027</v>
      </c>
      <c r="D263" s="41">
        <v>0</v>
      </c>
      <c r="E263" s="41">
        <v>5.58</v>
      </c>
      <c r="F263" s="43">
        <v>4</v>
      </c>
      <c r="G263" s="41"/>
      <c r="H263" s="41">
        <v>5.4108108108108115E-2</v>
      </c>
      <c r="I263" s="41">
        <v>0.14708108108108114</v>
      </c>
      <c r="J263" s="41">
        <v>-14.581081081081072</v>
      </c>
      <c r="K263" s="41">
        <v>16.060243243243242</v>
      </c>
      <c r="L263" s="41">
        <v>-1.2594594594594581E-2</v>
      </c>
    </row>
    <row r="264" spans="1:12" x14ac:dyDescent="0.2">
      <c r="A264" s="42" t="s">
        <v>23</v>
      </c>
      <c r="B264" s="42">
        <v>3</v>
      </c>
      <c r="C264" s="42">
        <v>17.910513513513514</v>
      </c>
      <c r="D264" s="42">
        <v>0</v>
      </c>
      <c r="E264" s="42">
        <v>5.75</v>
      </c>
      <c r="F264" s="44">
        <v>3</v>
      </c>
      <c r="G264" s="42"/>
      <c r="H264" s="42">
        <v>3.491891891891892E-2</v>
      </c>
      <c r="I264" s="42">
        <v>0.21345945945945941</v>
      </c>
      <c r="J264" s="42">
        <v>-8.9054054054054053</v>
      </c>
      <c r="K264" s="42">
        <v>17.10729729729729</v>
      </c>
      <c r="L264" s="42">
        <v>-0.45689189189189183</v>
      </c>
    </row>
    <row r="265" spans="1:12" x14ac:dyDescent="0.2">
      <c r="A265" s="41" t="s">
        <v>23</v>
      </c>
      <c r="B265" s="41">
        <v>3</v>
      </c>
      <c r="C265" s="41">
        <v>14.07254054054054</v>
      </c>
      <c r="D265" s="41">
        <v>0</v>
      </c>
      <c r="E265" s="41">
        <v>2.88</v>
      </c>
      <c r="F265" s="43">
        <v>3</v>
      </c>
      <c r="G265" s="41"/>
      <c r="H265" s="41">
        <v>4.6216216216216209E-2</v>
      </c>
      <c r="I265" s="41">
        <v>0.15194594594594593</v>
      </c>
      <c r="J265" s="41">
        <v>0.95135135135135118</v>
      </c>
      <c r="K265" s="41">
        <v>20.765351351351352</v>
      </c>
      <c r="L265" s="41">
        <v>-0.36581081081081079</v>
      </c>
    </row>
    <row r="266" spans="1:12" x14ac:dyDescent="0.2">
      <c r="A266" s="42" t="s">
        <v>23</v>
      </c>
      <c r="B266" s="42">
        <v>3</v>
      </c>
      <c r="C266" s="42">
        <v>11.960324324324322</v>
      </c>
      <c r="D266" s="42">
        <v>0</v>
      </c>
      <c r="E266" s="42">
        <v>3.37</v>
      </c>
      <c r="F266" s="44">
        <v>2</v>
      </c>
      <c r="G266" s="42"/>
      <c r="H266" s="42">
        <v>3.2675675675675669E-2</v>
      </c>
      <c r="I266" s="42">
        <v>0.17605405405405408</v>
      </c>
      <c r="J266" s="42">
        <v>-14.854054054054052</v>
      </c>
      <c r="K266" s="42">
        <v>33.691621621621621</v>
      </c>
      <c r="L266" s="42">
        <v>-0.2884594594594595</v>
      </c>
    </row>
    <row r="267" spans="1:12" x14ac:dyDescent="0.2">
      <c r="A267" s="41" t="s">
        <v>23</v>
      </c>
      <c r="B267" s="41">
        <v>3</v>
      </c>
      <c r="C267" s="41">
        <v>13.169675675675679</v>
      </c>
      <c r="D267" s="41">
        <v>0</v>
      </c>
      <c r="E267" s="41">
        <v>2.57</v>
      </c>
      <c r="F267" s="41">
        <v>2</v>
      </c>
      <c r="G267" s="41"/>
      <c r="H267" s="41">
        <v>6.0756756756756763E-2</v>
      </c>
      <c r="I267" s="41">
        <v>0.23740540540540542</v>
      </c>
      <c r="J267" s="41">
        <v>-5.4189189189189237</v>
      </c>
      <c r="K267" s="41">
        <v>62.120891891891894</v>
      </c>
      <c r="L267" s="41">
        <v>-5.7135135135135122E-2</v>
      </c>
    </row>
    <row r="268" spans="1:12" x14ac:dyDescent="0.2">
      <c r="A268" s="42" t="s">
        <v>24</v>
      </c>
      <c r="B268" s="42">
        <v>3</v>
      </c>
      <c r="C268" s="42">
        <v>14.96792156862745</v>
      </c>
      <c r="D268" s="42">
        <v>0</v>
      </c>
      <c r="E268" s="42">
        <v>3.9</v>
      </c>
      <c r="F268" s="45">
        <v>4</v>
      </c>
      <c r="G268" s="42"/>
      <c r="H268" s="42">
        <v>0</v>
      </c>
      <c r="I268" s="42">
        <v>0.15254901960784312</v>
      </c>
      <c r="J268" s="42">
        <v>-0.14117647058823521</v>
      </c>
      <c r="K268" s="42">
        <v>1.6688039215686277</v>
      </c>
      <c r="L268" s="42">
        <v>-0.26335294117647051</v>
      </c>
    </row>
    <row r="269" spans="1:12" x14ac:dyDescent="0.2">
      <c r="A269" s="41" t="s">
        <v>24</v>
      </c>
      <c r="B269" s="41">
        <v>3</v>
      </c>
      <c r="C269" s="41">
        <v>11.192411764705884</v>
      </c>
      <c r="D269" s="41">
        <v>0</v>
      </c>
      <c r="E269" s="41">
        <v>10.02</v>
      </c>
      <c r="F269" s="43">
        <v>4</v>
      </c>
      <c r="G269" s="41"/>
      <c r="H269" s="41">
        <v>4.0529411764705883E-2</v>
      </c>
      <c r="I269" s="41">
        <v>0.10990196078431375</v>
      </c>
      <c r="J269" s="41">
        <v>-39.080392156862736</v>
      </c>
      <c r="K269" s="41">
        <v>13.378196078431372</v>
      </c>
      <c r="L269" s="41">
        <v>7.7823529411764666E-2</v>
      </c>
    </row>
    <row r="270" spans="1:12" x14ac:dyDescent="0.2">
      <c r="A270" s="42" t="s">
        <v>24</v>
      </c>
      <c r="B270" s="42">
        <v>3</v>
      </c>
      <c r="C270" s="42">
        <v>13.444647058823527</v>
      </c>
      <c r="D270" s="42">
        <v>0</v>
      </c>
      <c r="E270" s="42">
        <v>7.95</v>
      </c>
      <c r="F270" s="44">
        <v>3</v>
      </c>
      <c r="G270" s="42"/>
      <c r="H270" s="42">
        <v>2.627450980392157E-2</v>
      </c>
      <c r="I270" s="42">
        <v>0.13717647058823534</v>
      </c>
      <c r="J270" s="42">
        <v>-6.9686274509803932</v>
      </c>
      <c r="K270" s="42">
        <v>28.825803921568628</v>
      </c>
      <c r="L270" s="42">
        <v>-0.53862745098039211</v>
      </c>
    </row>
    <row r="271" spans="1:12" x14ac:dyDescent="0.2">
      <c r="A271" s="41" t="s">
        <v>24</v>
      </c>
      <c r="B271" s="41">
        <v>3</v>
      </c>
      <c r="C271" s="41">
        <v>8.0896862745098037</v>
      </c>
      <c r="D271" s="41">
        <v>0</v>
      </c>
      <c r="E271" s="41">
        <v>5.61</v>
      </c>
      <c r="F271" s="43">
        <v>3</v>
      </c>
      <c r="G271" s="41"/>
      <c r="H271" s="41">
        <v>0.13868627450980392</v>
      </c>
      <c r="I271" s="41">
        <v>5.8294117647058823E-2</v>
      </c>
      <c r="J271" s="41">
        <v>-9.264705882352942</v>
      </c>
      <c r="K271" s="41">
        <v>35.425666666666665</v>
      </c>
      <c r="L271" s="41">
        <v>-0.41768627450980372</v>
      </c>
    </row>
    <row r="272" spans="1:12" x14ac:dyDescent="0.2">
      <c r="A272" s="42" t="s">
        <v>24</v>
      </c>
      <c r="B272" s="42">
        <v>3</v>
      </c>
      <c r="C272" s="42">
        <v>11.462470588235297</v>
      </c>
      <c r="D272" s="42">
        <v>0</v>
      </c>
      <c r="E272" s="42">
        <v>2.23</v>
      </c>
      <c r="F272" s="44">
        <v>2</v>
      </c>
      <c r="G272" s="42"/>
      <c r="H272" s="42">
        <v>4.3254901960784312E-2</v>
      </c>
      <c r="I272" s="42">
        <v>0.14315686274509806</v>
      </c>
      <c r="J272" s="42">
        <v>-2.7666666666666648</v>
      </c>
      <c r="K272" s="42">
        <v>1.2577647058823529</v>
      </c>
      <c r="L272" s="42">
        <v>-0.60988235294117621</v>
      </c>
    </row>
    <row r="273" spans="1:12" x14ac:dyDescent="0.2">
      <c r="A273" s="41" t="s">
        <v>24</v>
      </c>
      <c r="B273" s="41">
        <v>3</v>
      </c>
      <c r="C273" s="41">
        <v>10.312980392156863</v>
      </c>
      <c r="D273" s="41">
        <v>0</v>
      </c>
      <c r="E273" s="41">
        <v>3.02</v>
      </c>
      <c r="F273" s="41">
        <v>2</v>
      </c>
      <c r="G273" s="41"/>
      <c r="H273" s="41">
        <v>0.1185686274509804</v>
      </c>
      <c r="I273" s="41">
        <v>0.10133333333333333</v>
      </c>
      <c r="J273" s="41">
        <v>-12.196078431372557</v>
      </c>
      <c r="K273" s="41">
        <v>0</v>
      </c>
      <c r="L273" s="41">
        <v>0.19241176470588239</v>
      </c>
    </row>
    <row r="274" spans="1:12" x14ac:dyDescent="0.2">
      <c r="A274" s="42" t="s">
        <v>25</v>
      </c>
      <c r="B274" s="42">
        <v>3</v>
      </c>
      <c r="C274" s="42">
        <v>15.213500000000003</v>
      </c>
      <c r="D274" s="42">
        <v>0</v>
      </c>
      <c r="E274" s="42">
        <v>6.01</v>
      </c>
      <c r="F274" s="45">
        <v>4</v>
      </c>
      <c r="G274" s="42"/>
      <c r="H274" s="42">
        <v>4.0500000000000001E-2</v>
      </c>
      <c r="I274" s="42">
        <v>0.18718000000000007</v>
      </c>
      <c r="J274" s="42">
        <v>0.67200000000000004</v>
      </c>
      <c r="K274" s="42">
        <v>6.52468</v>
      </c>
      <c r="L274" s="42">
        <v>1.3539999999999964E-2</v>
      </c>
    </row>
    <row r="275" spans="1:12" x14ac:dyDescent="0.2">
      <c r="A275" s="41" t="s">
        <v>25</v>
      </c>
      <c r="B275" s="41">
        <v>3</v>
      </c>
      <c r="C275" s="41">
        <v>16.185919999999999</v>
      </c>
      <c r="D275" s="41">
        <v>0</v>
      </c>
      <c r="E275" s="41">
        <v>6.09</v>
      </c>
      <c r="F275" s="43">
        <v>4</v>
      </c>
      <c r="G275" s="41"/>
      <c r="H275" s="41">
        <v>1.5700000000000002E-2</v>
      </c>
      <c r="I275" s="41">
        <v>0.23871999999999999</v>
      </c>
      <c r="J275" s="41">
        <v>-13.980000000000002</v>
      </c>
      <c r="K275" s="41">
        <v>34.922499999999992</v>
      </c>
      <c r="L275" s="41">
        <v>0.56229999999999991</v>
      </c>
    </row>
    <row r="276" spans="1:12" x14ac:dyDescent="0.2">
      <c r="A276" s="42" t="s">
        <v>25</v>
      </c>
      <c r="B276" s="42">
        <v>3</v>
      </c>
      <c r="C276" s="42">
        <v>14.031140000000001</v>
      </c>
      <c r="D276" s="42">
        <v>1</v>
      </c>
      <c r="E276" s="42">
        <v>16.579999999999998</v>
      </c>
      <c r="F276" s="44">
        <v>3</v>
      </c>
      <c r="G276" s="42"/>
      <c r="H276" s="42">
        <v>6.1340000000000006E-2</v>
      </c>
      <c r="I276" s="42">
        <v>0.15998000000000004</v>
      </c>
      <c r="J276" s="42">
        <v>-4.6639999999999997</v>
      </c>
      <c r="K276" s="42">
        <v>21.009880000000003</v>
      </c>
      <c r="L276" s="42">
        <v>-4.4059999999999988E-2</v>
      </c>
    </row>
    <row r="277" spans="1:12" x14ac:dyDescent="0.2">
      <c r="A277" s="41" t="s">
        <v>25</v>
      </c>
      <c r="B277" s="41">
        <v>3</v>
      </c>
      <c r="C277" s="41">
        <v>14.978619999999994</v>
      </c>
      <c r="D277" s="41">
        <v>0</v>
      </c>
      <c r="E277" s="41">
        <v>5.13</v>
      </c>
      <c r="F277" s="43">
        <v>3</v>
      </c>
      <c r="G277" s="41"/>
      <c r="H277" s="41">
        <v>5.9579999999999994E-2</v>
      </c>
      <c r="I277" s="41">
        <v>0.20381999999999997</v>
      </c>
      <c r="J277" s="41">
        <v>-9.0839999999999943</v>
      </c>
      <c r="K277" s="41">
        <v>99.133039999999994</v>
      </c>
      <c r="L277" s="41">
        <v>0.17757999999999996</v>
      </c>
    </row>
    <row r="278" spans="1:12" x14ac:dyDescent="0.2">
      <c r="A278" s="42" t="s">
        <v>25</v>
      </c>
      <c r="B278" s="42">
        <v>3</v>
      </c>
      <c r="C278" s="42">
        <v>14.507260000000004</v>
      </c>
      <c r="D278" s="42">
        <v>1</v>
      </c>
      <c r="E278" s="42">
        <v>5.24</v>
      </c>
      <c r="F278" s="44">
        <v>2</v>
      </c>
      <c r="G278" s="42"/>
      <c r="H278" s="42">
        <v>6.0200000000000002E-3</v>
      </c>
      <c r="I278" s="42">
        <v>0.13114000000000001</v>
      </c>
      <c r="J278" s="42">
        <v>-11.638</v>
      </c>
      <c r="K278" s="42">
        <v>89.400659999999988</v>
      </c>
      <c r="L278" s="42">
        <v>4.3639999999999998E-2</v>
      </c>
    </row>
    <row r="279" spans="1:12" x14ac:dyDescent="0.2">
      <c r="A279" s="41" t="s">
        <v>25</v>
      </c>
      <c r="B279" s="41">
        <v>3</v>
      </c>
      <c r="C279" s="41">
        <v>7.9502400000000009</v>
      </c>
      <c r="D279" s="41">
        <v>1</v>
      </c>
      <c r="E279" s="41">
        <v>8.1300000000000008</v>
      </c>
      <c r="F279" s="41">
        <v>2</v>
      </c>
      <c r="G279" s="41"/>
      <c r="H279" s="41">
        <v>5.7960000000000005E-2</v>
      </c>
      <c r="I279" s="41">
        <v>0.14586000000000002</v>
      </c>
      <c r="J279" s="41">
        <v>-15.325999999999999</v>
      </c>
      <c r="K279" s="41">
        <v>43.217979999999997</v>
      </c>
      <c r="L279" s="41">
        <v>0.1414</v>
      </c>
    </row>
    <row r="280" spans="1:12" x14ac:dyDescent="0.2">
      <c r="A280" s="42" t="s">
        <v>26</v>
      </c>
      <c r="B280" s="42">
        <v>3</v>
      </c>
      <c r="C280" s="42">
        <v>14.727099999999998</v>
      </c>
      <c r="D280" s="42">
        <v>0</v>
      </c>
      <c r="E280" s="42">
        <v>4.47</v>
      </c>
      <c r="F280" s="45">
        <v>4</v>
      </c>
      <c r="G280" s="42"/>
      <c r="H280" s="42">
        <v>2.7939999999999996E-2</v>
      </c>
      <c r="I280" s="42">
        <v>0.1522</v>
      </c>
      <c r="J280" s="42">
        <v>0.50399999999999989</v>
      </c>
      <c r="K280" s="42">
        <v>14.238900000000001</v>
      </c>
      <c r="L280" s="42">
        <v>0.55393999999999988</v>
      </c>
    </row>
    <row r="281" spans="1:12" x14ac:dyDescent="0.2">
      <c r="A281" s="41" t="s">
        <v>26</v>
      </c>
      <c r="B281" s="41">
        <v>3</v>
      </c>
      <c r="C281" s="41">
        <v>12.155919999999998</v>
      </c>
      <c r="D281" s="41">
        <v>0</v>
      </c>
      <c r="E281" s="41">
        <v>3.76</v>
      </c>
      <c r="F281" s="43">
        <v>4</v>
      </c>
      <c r="G281" s="41"/>
      <c r="H281" s="41">
        <v>1.6239999999999997E-2</v>
      </c>
      <c r="I281" s="41">
        <v>0.15790000000000001</v>
      </c>
      <c r="J281" s="41">
        <v>-11.202000000000005</v>
      </c>
      <c r="K281" s="41">
        <v>40.587439999999994</v>
      </c>
      <c r="L281" s="41">
        <v>0.66412000000000004</v>
      </c>
    </row>
    <row r="282" spans="1:12" x14ac:dyDescent="0.2">
      <c r="A282" s="42" t="s">
        <v>26</v>
      </c>
      <c r="B282" s="42">
        <v>3</v>
      </c>
      <c r="C282" s="42">
        <v>15.545859999999999</v>
      </c>
      <c r="D282" s="42">
        <v>1</v>
      </c>
      <c r="E282" s="42">
        <v>9.08</v>
      </c>
      <c r="F282" s="44">
        <v>3</v>
      </c>
      <c r="G282" s="42"/>
      <c r="H282" s="42">
        <v>9.7199999999999995E-3</v>
      </c>
      <c r="I282" s="42">
        <v>0.13901999999999998</v>
      </c>
      <c r="J282" s="42">
        <v>-6.4660000000000011</v>
      </c>
      <c r="K282" s="42">
        <v>40.228180000000002</v>
      </c>
      <c r="L282" s="42">
        <v>0.44238000000000005</v>
      </c>
    </row>
    <row r="283" spans="1:12" x14ac:dyDescent="0.2">
      <c r="A283" s="41" t="s">
        <v>26</v>
      </c>
      <c r="B283" s="41">
        <v>3</v>
      </c>
      <c r="C283" s="41">
        <v>10.736580000000002</v>
      </c>
      <c r="D283" s="41">
        <v>0</v>
      </c>
      <c r="E283" s="41">
        <v>3.68</v>
      </c>
      <c r="F283" s="43">
        <v>3</v>
      </c>
      <c r="G283" s="41"/>
      <c r="H283" s="41">
        <v>5.21E-2</v>
      </c>
      <c r="I283" s="41">
        <v>0.11045999999999999</v>
      </c>
      <c r="J283" s="41">
        <v>-9.6779999999999973</v>
      </c>
      <c r="K283" s="41">
        <v>59.099040000000002</v>
      </c>
      <c r="L283" s="41">
        <v>0.37265999999999999</v>
      </c>
    </row>
    <row r="284" spans="1:12" x14ac:dyDescent="0.2">
      <c r="A284" s="42" t="s">
        <v>26</v>
      </c>
      <c r="B284" s="42">
        <v>3</v>
      </c>
      <c r="C284" s="42">
        <v>12.106219999999999</v>
      </c>
      <c r="D284" s="42">
        <v>0</v>
      </c>
      <c r="E284" s="42">
        <v>9.25</v>
      </c>
      <c r="F284" s="44">
        <v>2</v>
      </c>
      <c r="G284" s="42"/>
      <c r="H284" s="42">
        <v>3.2840000000000001E-2</v>
      </c>
      <c r="I284" s="42">
        <v>0.18575999999999998</v>
      </c>
      <c r="J284" s="42">
        <v>-10.162000000000006</v>
      </c>
      <c r="K284" s="42">
        <v>71.966859999999983</v>
      </c>
      <c r="L284" s="42">
        <v>0.14652000000000004</v>
      </c>
    </row>
    <row r="285" spans="1:12" x14ac:dyDescent="0.2">
      <c r="A285" s="41" t="s">
        <v>26</v>
      </c>
      <c r="B285" s="41">
        <v>3</v>
      </c>
      <c r="C285" s="41">
        <v>10.872180000000004</v>
      </c>
      <c r="D285" s="41">
        <v>1</v>
      </c>
      <c r="E285" s="41">
        <v>7.32</v>
      </c>
      <c r="F285" s="41">
        <v>2</v>
      </c>
      <c r="G285" s="41"/>
      <c r="H285" s="41">
        <v>4.548E-2</v>
      </c>
      <c r="I285" s="41">
        <v>7.415999999999999E-2</v>
      </c>
      <c r="J285" s="41">
        <v>1.0440000000000011</v>
      </c>
      <c r="K285" s="41">
        <v>3.6884200000000003</v>
      </c>
      <c r="L285" s="41">
        <v>0.35993999999999998</v>
      </c>
    </row>
    <row r="286" spans="1:12" x14ac:dyDescent="0.2">
      <c r="A286" s="42" t="s">
        <v>27</v>
      </c>
      <c r="B286" s="42">
        <v>3</v>
      </c>
      <c r="C286" s="42">
        <v>16.488711111111112</v>
      </c>
      <c r="D286" s="42">
        <v>0</v>
      </c>
      <c r="E286" s="42">
        <v>3.96</v>
      </c>
      <c r="F286" s="45">
        <v>4</v>
      </c>
      <c r="G286" s="42"/>
      <c r="H286" s="42">
        <v>4.8755555555555552E-2</v>
      </c>
      <c r="I286" s="42">
        <v>0.18791111111111114</v>
      </c>
      <c r="J286" s="42">
        <v>0.20222222222222225</v>
      </c>
      <c r="K286" s="42">
        <v>1.8900888888888892</v>
      </c>
      <c r="L286" s="42">
        <v>-0.32282222222222218</v>
      </c>
    </row>
    <row r="287" spans="1:12" x14ac:dyDescent="0.2">
      <c r="A287" s="41" t="s">
        <v>27</v>
      </c>
      <c r="B287" s="41">
        <v>3</v>
      </c>
      <c r="C287" s="41">
        <v>5.5054444444444455</v>
      </c>
      <c r="D287" s="41">
        <v>1</v>
      </c>
      <c r="E287" s="41">
        <v>8.67</v>
      </c>
      <c r="F287" s="43">
        <v>4</v>
      </c>
      <c r="G287" s="41"/>
      <c r="H287" s="41">
        <v>7.3444444444444451E-2</v>
      </c>
      <c r="I287" s="41">
        <v>9.2066666666666658E-2</v>
      </c>
      <c r="J287" s="41">
        <v>-14.824444444444445</v>
      </c>
      <c r="K287" s="41">
        <v>36.296533333333336</v>
      </c>
      <c r="L287" s="41">
        <v>-0.45871111111111124</v>
      </c>
    </row>
    <row r="288" spans="1:12" x14ac:dyDescent="0.2">
      <c r="A288" s="42" t="s">
        <v>27</v>
      </c>
      <c r="B288" s="42">
        <v>3</v>
      </c>
      <c r="C288" s="42">
        <v>17.035977777777777</v>
      </c>
      <c r="D288" s="42">
        <v>0</v>
      </c>
      <c r="E288" s="42">
        <v>7.04</v>
      </c>
      <c r="F288" s="44">
        <v>3</v>
      </c>
      <c r="G288" s="42"/>
      <c r="H288" s="42">
        <v>3.9933333333333335E-2</v>
      </c>
      <c r="I288" s="42">
        <v>0.18526666666666669</v>
      </c>
      <c r="J288" s="42">
        <v>-7.471111111111111</v>
      </c>
      <c r="K288" s="42">
        <v>49.278044444444447</v>
      </c>
      <c r="L288" s="42">
        <v>-0.5381111111111111</v>
      </c>
    </row>
    <row r="289" spans="1:12" x14ac:dyDescent="0.2">
      <c r="A289" s="41" t="s">
        <v>27</v>
      </c>
      <c r="B289" s="41">
        <v>3</v>
      </c>
      <c r="C289" s="41">
        <v>10.889088888888889</v>
      </c>
      <c r="D289" s="41">
        <v>0</v>
      </c>
      <c r="E289" s="41">
        <v>2.78</v>
      </c>
      <c r="F289" s="43">
        <v>3</v>
      </c>
      <c r="G289" s="41"/>
      <c r="H289" s="41">
        <v>4.3377777777777772E-2</v>
      </c>
      <c r="I289" s="41">
        <v>0.1133111111111111</v>
      </c>
      <c r="J289" s="41">
        <v>0.31777777777777771</v>
      </c>
      <c r="K289" s="41">
        <v>41.731444444444442</v>
      </c>
      <c r="L289" s="41">
        <v>-0.58731111111111112</v>
      </c>
    </row>
    <row r="290" spans="1:12" x14ac:dyDescent="0.2">
      <c r="A290" s="42" t="s">
        <v>27</v>
      </c>
      <c r="B290" s="42">
        <v>3</v>
      </c>
      <c r="C290" s="42">
        <v>8.6810222222222215</v>
      </c>
      <c r="D290" s="42">
        <v>0</v>
      </c>
      <c r="E290" s="42">
        <v>2.73</v>
      </c>
      <c r="F290" s="44">
        <v>2</v>
      </c>
      <c r="G290" s="42"/>
      <c r="H290" s="42">
        <v>0.11820000000000001</v>
      </c>
      <c r="I290" s="42">
        <v>0.12577777777777777</v>
      </c>
      <c r="J290" s="42">
        <v>-11.857777777777775</v>
      </c>
      <c r="K290" s="42">
        <v>31.779377777777782</v>
      </c>
      <c r="L290" s="42">
        <v>-0.41513333333333335</v>
      </c>
    </row>
    <row r="291" spans="1:12" x14ac:dyDescent="0.2">
      <c r="A291" s="41" t="s">
        <v>27</v>
      </c>
      <c r="B291" s="41">
        <v>3</v>
      </c>
      <c r="C291" s="41">
        <v>11.081044444444446</v>
      </c>
      <c r="D291" s="41">
        <v>1</v>
      </c>
      <c r="E291" s="41">
        <v>4.78</v>
      </c>
      <c r="F291" s="41">
        <v>2</v>
      </c>
      <c r="G291" s="41"/>
      <c r="H291" s="41">
        <v>0.14440000000000003</v>
      </c>
      <c r="I291" s="41">
        <v>0.1327777777777778</v>
      </c>
      <c r="J291" s="41">
        <v>-10.908888888888889</v>
      </c>
      <c r="K291" s="41">
        <v>1.097</v>
      </c>
      <c r="L291" s="41">
        <v>-0.92235555555555504</v>
      </c>
    </row>
    <row r="292" spans="1:12" x14ac:dyDescent="0.2">
      <c r="A292" s="42" t="s">
        <v>14</v>
      </c>
      <c r="B292" s="42">
        <v>3</v>
      </c>
      <c r="C292" s="42">
        <v>12.092210526315791</v>
      </c>
      <c r="D292" s="42">
        <v>0</v>
      </c>
      <c r="E292" s="42">
        <v>2.42</v>
      </c>
      <c r="F292" s="45">
        <v>4</v>
      </c>
      <c r="G292" s="42"/>
      <c r="H292" s="42">
        <v>0</v>
      </c>
      <c r="I292" s="42">
        <v>0.19063157894736843</v>
      </c>
      <c r="J292" s="42">
        <v>0.17894736842105263</v>
      </c>
      <c r="K292" s="42">
        <v>0</v>
      </c>
      <c r="L292" s="42">
        <v>3.1578947368421061E-2</v>
      </c>
    </row>
    <row r="293" spans="1:12" x14ac:dyDescent="0.2">
      <c r="A293" s="41" t="s">
        <v>14</v>
      </c>
      <c r="B293" s="41">
        <v>3</v>
      </c>
      <c r="C293" s="41">
        <v>16.423052631578948</v>
      </c>
      <c r="D293" s="41">
        <v>0</v>
      </c>
      <c r="E293" s="41">
        <v>5.9</v>
      </c>
      <c r="F293" s="43">
        <v>4</v>
      </c>
      <c r="G293" s="41"/>
      <c r="H293" s="41">
        <v>0</v>
      </c>
      <c r="I293" s="41">
        <v>0.10794736842105261</v>
      </c>
      <c r="J293" s="41">
        <v>1.578947368421053E-2</v>
      </c>
      <c r="K293" s="41">
        <v>0</v>
      </c>
      <c r="L293" s="41">
        <v>-0.35110526315789475</v>
      </c>
    </row>
    <row r="294" spans="1:12" x14ac:dyDescent="0.2">
      <c r="A294" s="42" t="s">
        <v>14</v>
      </c>
      <c r="B294" s="42">
        <v>3</v>
      </c>
      <c r="C294" s="42">
        <v>16.40463157894737</v>
      </c>
      <c r="D294" s="42">
        <v>0</v>
      </c>
      <c r="E294" s="42">
        <v>3.85</v>
      </c>
      <c r="F294" s="44">
        <v>3</v>
      </c>
      <c r="G294" s="42"/>
      <c r="H294" s="42">
        <v>3.5052631578947363E-2</v>
      </c>
      <c r="I294" s="42">
        <v>0.11584210526315793</v>
      </c>
      <c r="J294" s="42">
        <v>1.368421052631579</v>
      </c>
      <c r="K294" s="42">
        <v>5.7295263157894736</v>
      </c>
      <c r="L294" s="42">
        <v>-0.33452631578947373</v>
      </c>
    </row>
    <row r="295" spans="1:12" x14ac:dyDescent="0.2">
      <c r="A295" s="41" t="s">
        <v>14</v>
      </c>
      <c r="B295" s="41">
        <v>3</v>
      </c>
      <c r="C295" s="41">
        <v>5.3563157894736841</v>
      </c>
      <c r="D295" s="41">
        <v>0</v>
      </c>
      <c r="E295" s="41">
        <v>3.12</v>
      </c>
      <c r="F295" s="43">
        <v>3</v>
      </c>
      <c r="G295" s="41"/>
      <c r="H295" s="41">
        <v>3.7368421052631579E-2</v>
      </c>
      <c r="I295" s="41">
        <v>6.3105263157894734E-2</v>
      </c>
      <c r="J295" s="41">
        <v>-125.80000000000001</v>
      </c>
      <c r="K295" s="41">
        <v>0</v>
      </c>
      <c r="L295" s="41">
        <v>0.36789473684210533</v>
      </c>
    </row>
    <row r="296" spans="1:12" x14ac:dyDescent="0.2">
      <c r="A296" s="42" t="s">
        <v>14</v>
      </c>
      <c r="B296" s="42">
        <v>3</v>
      </c>
      <c r="C296" s="42">
        <v>9.9082631578947353</v>
      </c>
      <c r="D296" s="42">
        <v>0</v>
      </c>
      <c r="E296" s="42">
        <v>2.95</v>
      </c>
      <c r="F296" s="44">
        <v>2</v>
      </c>
      <c r="G296" s="42"/>
      <c r="H296" s="42">
        <v>0</v>
      </c>
      <c r="I296" s="42">
        <v>0.14221052631578945</v>
      </c>
      <c r="J296" s="42">
        <v>31.805263157894739</v>
      </c>
      <c r="K296" s="42">
        <v>175.14784210526318</v>
      </c>
      <c r="L296" s="42">
        <v>-0.20536842105263156</v>
      </c>
    </row>
    <row r="297" spans="1:12" x14ac:dyDescent="0.2">
      <c r="A297" s="41" t="s">
        <v>14</v>
      </c>
      <c r="B297" s="41">
        <v>3</v>
      </c>
      <c r="C297" s="41">
        <v>13.746052631578948</v>
      </c>
      <c r="D297" s="41">
        <v>0</v>
      </c>
      <c r="E297" s="41">
        <v>2.2999999999999998</v>
      </c>
      <c r="F297" s="41">
        <v>2</v>
      </c>
      <c r="G297" s="41"/>
      <c r="H297" s="41">
        <v>1.7736842105263155E-2</v>
      </c>
      <c r="I297" s="41">
        <v>7.7315789473684227E-2</v>
      </c>
      <c r="J297" s="41">
        <v>2.1052631578947375E-2</v>
      </c>
      <c r="K297" s="41">
        <v>49.961736842105267</v>
      </c>
      <c r="L297" s="41">
        <v>0.2781578947368421</v>
      </c>
    </row>
    <row r="298" spans="1:12" x14ac:dyDescent="0.2">
      <c r="A298" s="42"/>
      <c r="B298" s="42"/>
      <c r="C298" s="42"/>
      <c r="D298" s="42"/>
      <c r="E298" s="42"/>
      <c r="F298" s="45"/>
      <c r="G298" s="42"/>
      <c r="H298" s="42"/>
      <c r="I298" s="42"/>
      <c r="J298" s="42"/>
      <c r="K298" s="42"/>
      <c r="L298" s="42"/>
    </row>
    <row r="299" spans="1:12" x14ac:dyDescent="0.2">
      <c r="A299" s="41"/>
      <c r="B299" s="41"/>
      <c r="C299" s="41"/>
      <c r="D299" s="41"/>
      <c r="E299" s="41"/>
      <c r="F299" s="43"/>
      <c r="G299" s="41"/>
      <c r="H299" s="41"/>
      <c r="I299" s="41"/>
      <c r="J299" s="41"/>
      <c r="K299" s="41"/>
      <c r="L299" s="41"/>
    </row>
    <row r="300" spans="1:12" x14ac:dyDescent="0.2">
      <c r="A300" s="42"/>
      <c r="B300" s="42"/>
      <c r="C300" s="42"/>
      <c r="D300" s="42"/>
      <c r="E300" s="42"/>
      <c r="F300" s="44"/>
      <c r="G300" s="42"/>
      <c r="H300" s="42"/>
      <c r="I300" s="42"/>
      <c r="J300" s="42"/>
      <c r="K300" s="42"/>
      <c r="L300" s="42"/>
    </row>
    <row r="301" spans="1:12" x14ac:dyDescent="0.2">
      <c r="A301" s="41"/>
      <c r="B301" s="41"/>
      <c r="C301" s="41"/>
      <c r="D301" s="41"/>
      <c r="E301" s="41"/>
      <c r="F301" s="43"/>
      <c r="G301" s="41"/>
      <c r="H301" s="41"/>
      <c r="I301" s="41"/>
      <c r="J301" s="41"/>
      <c r="K301" s="41"/>
      <c r="L301" s="41"/>
    </row>
    <row r="302" spans="1:12" x14ac:dyDescent="0.2">
      <c r="A302" s="42"/>
      <c r="B302" s="42"/>
      <c r="C302" s="42"/>
      <c r="D302" s="42"/>
      <c r="E302" s="42"/>
      <c r="F302" s="44"/>
      <c r="G302" s="42"/>
      <c r="H302" s="42"/>
      <c r="I302" s="42"/>
      <c r="J302" s="42"/>
      <c r="K302" s="42"/>
      <c r="L302" s="42"/>
    </row>
    <row r="303" spans="1:12" x14ac:dyDescent="0.2">
      <c r="A303" s="41"/>
      <c r="B303" s="41"/>
      <c r="C303" s="41"/>
      <c r="D303" s="41"/>
      <c r="E303" s="41"/>
      <c r="F303" s="41"/>
      <c r="G303" s="41"/>
      <c r="H303" s="41"/>
      <c r="I303" s="41"/>
      <c r="J303" s="41"/>
      <c r="K303" s="41"/>
      <c r="L303" s="41"/>
    </row>
    <row r="304" spans="1:12" x14ac:dyDescent="0.2">
      <c r="A304" s="42"/>
      <c r="B304" s="42"/>
      <c r="C304" s="42"/>
      <c r="D304" s="42"/>
      <c r="E304" s="42"/>
      <c r="F304" s="45"/>
      <c r="G304" s="42"/>
      <c r="H304" s="42"/>
      <c r="I304" s="42"/>
      <c r="J304" s="42"/>
      <c r="K304" s="42"/>
      <c r="L304" s="42"/>
    </row>
    <row r="305" spans="1:12" x14ac:dyDescent="0.2">
      <c r="A305" s="41"/>
      <c r="B305" s="41"/>
      <c r="C305" s="41"/>
      <c r="D305" s="41"/>
      <c r="E305" s="41"/>
      <c r="F305" s="43"/>
      <c r="G305" s="41"/>
      <c r="H305" s="41"/>
      <c r="I305" s="41"/>
      <c r="J305" s="41"/>
      <c r="K305" s="41"/>
      <c r="L305" s="41"/>
    </row>
    <row r="306" spans="1:12" x14ac:dyDescent="0.2">
      <c r="A306" s="42"/>
      <c r="B306" s="42"/>
      <c r="C306" s="42"/>
      <c r="D306" s="42"/>
      <c r="E306" s="42"/>
      <c r="F306" s="44"/>
      <c r="G306" s="42"/>
      <c r="H306" s="42"/>
      <c r="I306" s="42"/>
      <c r="J306" s="42"/>
      <c r="K306" s="42"/>
      <c r="L306" s="42"/>
    </row>
    <row r="307" spans="1:12" ht="15.75" customHeight="1" x14ac:dyDescent="0.2">
      <c r="F307" s="43"/>
    </row>
    <row r="308" spans="1:12" ht="15.75" customHeight="1" x14ac:dyDescent="0.2">
      <c r="F308" s="44"/>
    </row>
    <row r="309" spans="1:12" ht="15.75" customHeight="1" x14ac:dyDescent="0.2">
      <c r="F309" s="41"/>
    </row>
    <row r="310" spans="1:12" ht="15.75" customHeight="1" x14ac:dyDescent="0.2">
      <c r="F310" s="45"/>
    </row>
    <row r="311" spans="1:12" ht="15.75" customHeight="1" x14ac:dyDescent="0.2">
      <c r="F311" s="43"/>
    </row>
    <row r="312" spans="1:12" ht="15.75" customHeight="1" x14ac:dyDescent="0.2">
      <c r="F312" s="44"/>
    </row>
    <row r="313" spans="1:12" ht="15.75" customHeight="1" x14ac:dyDescent="0.2">
      <c r="F313" s="43"/>
    </row>
    <row r="314" spans="1:12" ht="15.75" customHeight="1" x14ac:dyDescent="0.2">
      <c r="F314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May</dc:creator>
  <cp:lastModifiedBy>Adam May</cp:lastModifiedBy>
  <dcterms:created xsi:type="dcterms:W3CDTF">2017-02-15T15:10:31Z</dcterms:created>
  <dcterms:modified xsi:type="dcterms:W3CDTF">2017-04-12T05:49:24Z</dcterms:modified>
</cp:coreProperties>
</file>